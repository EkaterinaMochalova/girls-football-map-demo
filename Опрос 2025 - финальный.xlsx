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atemochalova/Downloads/regions/"/>
    </mc:Choice>
  </mc:AlternateContent>
  <xr:revisionPtr revIDLastSave="0" documentId="13_ncr:1_{A782C447-EB02-FA4D-85FD-6C4C04102A82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</sheets>
  <definedNames>
    <definedName name="_xlnm._FilterDatabase" localSheetId="3" hidden="1">Sheet1!$A$1:$AN$765</definedName>
    <definedName name="_xlnm._FilterDatabase" localSheetId="1" hidden="1">Sheet3!$A$1:$J$93</definedName>
  </definedNames>
  <calcPr calcId="191029"/>
  <pivotCaches>
    <pivotCache cacheId="3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65" i="1" l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K765" i="1"/>
  <c r="C99" i="2"/>
  <c r="D99" i="2"/>
  <c r="E99" i="2"/>
  <c r="B99" i="2"/>
  <c r="B93" i="3"/>
  <c r="C93" i="3"/>
  <c r="F93" i="3"/>
  <c r="B82" i="3"/>
  <c r="C82" i="3"/>
  <c r="F82" i="3"/>
  <c r="B69" i="3"/>
  <c r="C69" i="3"/>
  <c r="F69" i="3"/>
  <c r="B59" i="3"/>
  <c r="C59" i="3"/>
  <c r="F59" i="3"/>
  <c r="B46" i="3"/>
  <c r="C46" i="3"/>
  <c r="F46" i="3"/>
  <c r="B35" i="3"/>
  <c r="C35" i="3"/>
  <c r="F35" i="3"/>
  <c r="B23" i="3"/>
  <c r="C23" i="3"/>
  <c r="F23" i="3"/>
  <c r="B20" i="3"/>
  <c r="C20" i="3"/>
  <c r="F20" i="3"/>
  <c r="B2" i="3"/>
  <c r="C2" i="3"/>
  <c r="F2" i="3"/>
  <c r="B11" i="3"/>
  <c r="C11" i="3"/>
  <c r="F11" i="3"/>
  <c r="G2" i="3"/>
  <c r="G11" i="3"/>
  <c r="G20" i="3"/>
  <c r="G23" i="3"/>
  <c r="G35" i="3"/>
  <c r="G46" i="3"/>
  <c r="G59" i="3"/>
  <c r="G69" i="3"/>
  <c r="G82" i="3"/>
  <c r="G93" i="3"/>
  <c r="H92" i="3"/>
  <c r="I92" i="3" s="1"/>
  <c r="H91" i="3"/>
  <c r="I91" i="3" s="1"/>
  <c r="H90" i="3"/>
  <c r="I90" i="3" s="1"/>
  <c r="H89" i="3"/>
  <c r="I89" i="3" s="1"/>
  <c r="H88" i="3"/>
  <c r="I88" i="3" s="1"/>
  <c r="H87" i="3"/>
  <c r="I87" i="3" s="1"/>
  <c r="H86" i="3"/>
  <c r="I86" i="3" s="1"/>
  <c r="H85" i="3"/>
  <c r="I85" i="3" s="1"/>
  <c r="H84" i="3"/>
  <c r="I84" i="3" s="1"/>
  <c r="H83" i="3"/>
  <c r="I83" i="3" s="1"/>
  <c r="H82" i="3"/>
  <c r="I82" i="3" s="1"/>
  <c r="H81" i="3"/>
  <c r="I81" i="3" s="1"/>
  <c r="H80" i="3"/>
  <c r="I80" i="3" s="1"/>
  <c r="H79" i="3"/>
  <c r="I79" i="3" s="1"/>
  <c r="H78" i="3"/>
  <c r="I78" i="3" s="1"/>
  <c r="H77" i="3"/>
  <c r="I77" i="3" s="1"/>
  <c r="H76" i="3"/>
  <c r="I76" i="3" s="1"/>
  <c r="H75" i="3"/>
  <c r="I75" i="3" s="1"/>
  <c r="H74" i="3"/>
  <c r="I74" i="3" s="1"/>
  <c r="H73" i="3"/>
  <c r="I73" i="3" s="1"/>
  <c r="H72" i="3"/>
  <c r="I72" i="3" s="1"/>
  <c r="H71" i="3"/>
  <c r="I71" i="3" s="1"/>
  <c r="H70" i="3"/>
  <c r="I70" i="3" s="1"/>
  <c r="H69" i="3"/>
  <c r="I69" i="3" s="1"/>
  <c r="H68" i="3"/>
  <c r="I68" i="3" s="1"/>
  <c r="H67" i="3"/>
  <c r="I67" i="3" s="1"/>
  <c r="H66" i="3"/>
  <c r="I66" i="3" s="1"/>
  <c r="H65" i="3"/>
  <c r="I65" i="3" s="1"/>
  <c r="H64" i="3"/>
  <c r="I64" i="3" s="1"/>
  <c r="H63" i="3"/>
  <c r="I63" i="3" s="1"/>
  <c r="H62" i="3"/>
  <c r="I62" i="3" s="1"/>
  <c r="H61" i="3"/>
  <c r="I61" i="3" s="1"/>
  <c r="H60" i="3"/>
  <c r="I60" i="3" s="1"/>
  <c r="H58" i="3"/>
  <c r="H57" i="3"/>
  <c r="I57" i="3" s="1"/>
  <c r="H56" i="3"/>
  <c r="I56" i="3" s="1"/>
  <c r="H55" i="3"/>
  <c r="I55" i="3" s="1"/>
  <c r="H54" i="3"/>
  <c r="I54" i="3" s="1"/>
  <c r="H53" i="3"/>
  <c r="I53" i="3" s="1"/>
  <c r="H52" i="3"/>
  <c r="I52" i="3" s="1"/>
  <c r="H51" i="3"/>
  <c r="I51" i="3" s="1"/>
  <c r="H50" i="3"/>
  <c r="I50" i="3" s="1"/>
  <c r="H49" i="3"/>
  <c r="I49" i="3" s="1"/>
  <c r="H48" i="3"/>
  <c r="I48" i="3" s="1"/>
  <c r="H47" i="3"/>
  <c r="I47" i="3" s="1"/>
  <c r="H46" i="3"/>
  <c r="I46" i="3" s="1"/>
  <c r="H45" i="3"/>
  <c r="I45" i="3" s="1"/>
  <c r="H44" i="3"/>
  <c r="I44" i="3" s="1"/>
  <c r="H43" i="3"/>
  <c r="I43" i="3" s="1"/>
  <c r="H42" i="3"/>
  <c r="I42" i="3" s="1"/>
  <c r="H41" i="3"/>
  <c r="I41" i="3" s="1"/>
  <c r="H40" i="3"/>
  <c r="I40" i="3" s="1"/>
  <c r="H39" i="3"/>
  <c r="I39" i="3" s="1"/>
  <c r="H38" i="3"/>
  <c r="I38" i="3" s="1"/>
  <c r="H37" i="3"/>
  <c r="I37" i="3" s="1"/>
  <c r="H36" i="3"/>
  <c r="I36" i="3" s="1"/>
  <c r="H35" i="3"/>
  <c r="I35" i="3" s="1"/>
  <c r="H34" i="3"/>
  <c r="I34" i="3" s="1"/>
  <c r="H33" i="3"/>
  <c r="I33" i="3" s="1"/>
  <c r="H32" i="3"/>
  <c r="I32" i="3" s="1"/>
  <c r="H31" i="3"/>
  <c r="I31" i="3" s="1"/>
  <c r="H30" i="3"/>
  <c r="I30" i="3" s="1"/>
  <c r="H29" i="3"/>
  <c r="I29" i="3" s="1"/>
  <c r="H28" i="3"/>
  <c r="I28" i="3" s="1"/>
  <c r="H27" i="3"/>
  <c r="I27" i="3" s="1"/>
  <c r="H26" i="3"/>
  <c r="I26" i="3" s="1"/>
  <c r="H25" i="3"/>
  <c r="I25" i="3" s="1"/>
  <c r="H24" i="3"/>
  <c r="I24" i="3" s="1"/>
  <c r="H23" i="3"/>
  <c r="I23" i="3" s="1"/>
  <c r="H22" i="3"/>
  <c r="I22" i="3" s="1"/>
  <c r="H21" i="3"/>
  <c r="I21" i="3" s="1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  <c r="H4" i="3"/>
  <c r="I4" i="3" s="1"/>
  <c r="H3" i="3"/>
  <c r="I3" i="3" s="1"/>
  <c r="H2" i="3"/>
  <c r="I2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D13" i="3"/>
  <c r="E13" i="3" s="1"/>
  <c r="D14" i="3"/>
  <c r="E14" i="3" s="1"/>
  <c r="D15" i="3"/>
  <c r="E15" i="3" s="1"/>
  <c r="D16" i="3"/>
  <c r="E16" i="3" s="1"/>
  <c r="D17" i="3"/>
  <c r="E17" i="3" s="1"/>
  <c r="D18" i="3"/>
  <c r="E18" i="3" s="1"/>
  <c r="D19" i="3"/>
  <c r="E19" i="3" s="1"/>
  <c r="D21" i="3"/>
  <c r="E21" i="3" s="1"/>
  <c r="D22" i="3"/>
  <c r="E22" i="3" s="1"/>
  <c r="D24" i="3"/>
  <c r="E24" i="3" s="1"/>
  <c r="D25" i="3"/>
  <c r="E25" i="3" s="1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35" i="3"/>
  <c r="E35" i="3" s="1"/>
  <c r="D36" i="3"/>
  <c r="E36" i="3" s="1"/>
  <c r="D37" i="3"/>
  <c r="E37" i="3" s="1"/>
  <c r="D38" i="3"/>
  <c r="E38" i="3" s="1"/>
  <c r="D39" i="3"/>
  <c r="E39" i="3" s="1"/>
  <c r="D40" i="3"/>
  <c r="E40" i="3" s="1"/>
  <c r="D41" i="3"/>
  <c r="E41" i="3" s="1"/>
  <c r="D42" i="3"/>
  <c r="E42" i="3" s="1"/>
  <c r="D43" i="3"/>
  <c r="E43" i="3" s="1"/>
  <c r="D44" i="3"/>
  <c r="E44" i="3" s="1"/>
  <c r="D45" i="3"/>
  <c r="E45" i="3" s="1"/>
  <c r="D46" i="3"/>
  <c r="E46" i="3" s="1"/>
  <c r="D47" i="3"/>
  <c r="E47" i="3" s="1"/>
  <c r="D48" i="3"/>
  <c r="E48" i="3" s="1"/>
  <c r="D49" i="3"/>
  <c r="E49" i="3" s="1"/>
  <c r="D50" i="3"/>
  <c r="E50" i="3" s="1"/>
  <c r="D51" i="3"/>
  <c r="E51" i="3" s="1"/>
  <c r="D52" i="3"/>
  <c r="E52" i="3" s="1"/>
  <c r="D53" i="3"/>
  <c r="E53" i="3" s="1"/>
  <c r="D54" i="3"/>
  <c r="E54" i="3" s="1"/>
  <c r="D55" i="3"/>
  <c r="E55" i="3" s="1"/>
  <c r="D56" i="3"/>
  <c r="E56" i="3" s="1"/>
  <c r="D57" i="3"/>
  <c r="E57" i="3" s="1"/>
  <c r="D58" i="3"/>
  <c r="D59" i="3"/>
  <c r="E59" i="3" s="1"/>
  <c r="D60" i="3"/>
  <c r="E60" i="3" s="1"/>
  <c r="D61" i="3"/>
  <c r="E61" i="3" s="1"/>
  <c r="D62" i="3"/>
  <c r="E62" i="3" s="1"/>
  <c r="D63" i="3"/>
  <c r="E63" i="3" s="1"/>
  <c r="D64" i="3"/>
  <c r="E64" i="3" s="1"/>
  <c r="D65" i="3"/>
  <c r="E65" i="3" s="1"/>
  <c r="D66" i="3"/>
  <c r="E66" i="3" s="1"/>
  <c r="D67" i="3"/>
  <c r="E67" i="3" s="1"/>
  <c r="D68" i="3"/>
  <c r="E68" i="3" s="1"/>
  <c r="D69" i="3"/>
  <c r="E69" i="3" s="1"/>
  <c r="D70" i="3"/>
  <c r="E70" i="3" s="1"/>
  <c r="D71" i="3"/>
  <c r="E71" i="3" s="1"/>
  <c r="D72" i="3"/>
  <c r="E72" i="3" s="1"/>
  <c r="D73" i="3"/>
  <c r="E73" i="3" s="1"/>
  <c r="D74" i="3"/>
  <c r="E74" i="3" s="1"/>
  <c r="D75" i="3"/>
  <c r="E75" i="3" s="1"/>
  <c r="D76" i="3"/>
  <c r="E76" i="3" s="1"/>
  <c r="D77" i="3"/>
  <c r="E77" i="3" s="1"/>
  <c r="D78" i="3"/>
  <c r="E78" i="3" s="1"/>
  <c r="D79" i="3"/>
  <c r="E79" i="3" s="1"/>
  <c r="D80" i="3"/>
  <c r="E80" i="3" s="1"/>
  <c r="D81" i="3"/>
  <c r="E81" i="3" s="1"/>
  <c r="D82" i="3"/>
  <c r="E82" i="3" s="1"/>
  <c r="D83" i="3"/>
  <c r="E83" i="3" s="1"/>
  <c r="D84" i="3"/>
  <c r="E84" i="3" s="1"/>
  <c r="D85" i="3"/>
  <c r="E85" i="3" s="1"/>
  <c r="D86" i="3"/>
  <c r="E86" i="3" s="1"/>
  <c r="D87" i="3"/>
  <c r="E87" i="3" s="1"/>
  <c r="D88" i="3"/>
  <c r="E88" i="3" s="1"/>
  <c r="D89" i="3"/>
  <c r="E89" i="3" s="1"/>
  <c r="D90" i="3"/>
  <c r="E90" i="3" s="1"/>
  <c r="D91" i="3"/>
  <c r="E91" i="3" s="1"/>
  <c r="D92" i="3"/>
  <c r="E92" i="3" s="1"/>
  <c r="H59" i="3" l="1"/>
  <c r="I59" i="3" s="1"/>
  <c r="D23" i="3"/>
  <c r="E23" i="3" s="1"/>
  <c r="D2" i="3"/>
  <c r="E2" i="3" s="1"/>
  <c r="D93" i="3"/>
  <c r="E93" i="3" s="1"/>
  <c r="H11" i="3"/>
  <c r="I11" i="3" s="1"/>
  <c r="H93" i="3"/>
  <c r="I93" i="3" s="1"/>
  <c r="D20" i="3"/>
  <c r="E20" i="3" s="1"/>
  <c r="H20" i="3"/>
  <c r="I20" i="3" s="1"/>
</calcChain>
</file>

<file path=xl/sharedStrings.xml><?xml version="1.0" encoding="utf-8"?>
<sst xmlns="http://schemas.openxmlformats.org/spreadsheetml/2006/main" count="10813" uniqueCount="4024">
  <si>
    <t>Отметка времени</t>
  </si>
  <si>
    <t>Название организации</t>
  </si>
  <si>
    <t>Область</t>
  </si>
  <si>
    <t>Город / населённый пункт</t>
  </si>
  <si>
    <t>Адрес организации</t>
  </si>
  <si>
    <t>Телефон организации</t>
  </si>
  <si>
    <t>Электронная почта организации</t>
  </si>
  <si>
    <t>Тип организации</t>
  </si>
  <si>
    <t>Имеет ли организация статус РФС?</t>
  </si>
  <si>
    <t>Общая численность занимающихся футболом (мальчики и девочки)</t>
  </si>
  <si>
    <t>Численность занимающихся футболом девочек</t>
  </si>
  <si>
    <t>разница</t>
  </si>
  <si>
    <t>2005 и старше</t>
  </si>
  <si>
    <t>2019 и младше</t>
  </si>
  <si>
    <t xml:space="preserve">Согласно вашей оценке, в каких возрастных категориях недостаточно соревновательной практики для команд девочек и девушек в вашем регионе? </t>
  </si>
  <si>
    <t>Занимаются ли девочки в смешанных группах?</t>
  </si>
  <si>
    <t>Участвуете ли в соревнованиях среди смешанных команд?</t>
  </si>
  <si>
    <t>Общее количество тренеров, работающих с группами девочек</t>
  </si>
  <si>
    <t>Количество тренеров-женщин, работающих с группами девочек</t>
  </si>
  <si>
    <t>ФИО и лицензия УЕФА (если есть) каждого тренера, работающего с группами девочек
Например: Иванова А.А. С-УЕФА</t>
  </si>
  <si>
    <t>C-UEFA</t>
  </si>
  <si>
    <t>B-UEFA</t>
  </si>
  <si>
    <t>A-UEFA</t>
  </si>
  <si>
    <t>PRO</t>
  </si>
  <si>
    <t>Наличие методиста в школе</t>
  </si>
  <si>
    <t>Наличие методиста, работающего с группами девочек</t>
  </si>
  <si>
    <t>Дополнительные комментарии / вопросы / предложения</t>
  </si>
  <si>
    <t>ДЮСШ с. Анучино</t>
  </si>
  <si>
    <t>Дальний Восток</t>
  </si>
  <si>
    <t>Приморский край</t>
  </si>
  <si>
    <t xml:space="preserve">Анучино </t>
  </si>
  <si>
    <t>692300, Россия, Приморский край, Анучинский муниципальный округ, с. Анучино, ул. Юзефовича, 2-А</t>
  </si>
  <si>
    <t>dykfp@mail.ru</t>
  </si>
  <si>
    <t>ДЮСШ</t>
  </si>
  <si>
    <t>Нет</t>
  </si>
  <si>
    <t>Да</t>
  </si>
  <si>
    <t>МКОУ ДОД ДЮСШ "Темп"</t>
  </si>
  <si>
    <t>Артем</t>
  </si>
  <si>
    <t>692778, Приморский край, Артем г, Ленина ул, 3а</t>
  </si>
  <si>
    <t>8-42337-94532</t>
  </si>
  <si>
    <t>sport-temp@bk.ru</t>
  </si>
  <si>
    <t>ДО</t>
  </si>
  <si>
    <t>МАУ ДО "АСШ"</t>
  </si>
  <si>
    <t>Амурская область</t>
  </si>
  <si>
    <t>Архара</t>
  </si>
  <si>
    <t>ул. Больничная д. 9</t>
  </si>
  <si>
    <t>8(41648)33-0-16</t>
  </si>
  <si>
    <t>dyush-arh@yandex.ru</t>
  </si>
  <si>
    <t>нет</t>
  </si>
  <si>
    <t>СШ</t>
  </si>
  <si>
    <t>Соревновательной практики достаточно</t>
  </si>
  <si>
    <t>МБУ ДО "Спортивная школа"</t>
  </si>
  <si>
    <t>Еврейская автономная область</t>
  </si>
  <si>
    <t>Биробиджан</t>
  </si>
  <si>
    <t>Биршоссе 2 км ул., стадион «Дружба»</t>
  </si>
  <si>
    <t>birsport@post.eao.ru</t>
  </si>
  <si>
    <t>-</t>
  </si>
  <si>
    <t>ЖФК Бригантина</t>
  </si>
  <si>
    <t>ВЛАДИВОСТОК</t>
  </si>
  <si>
    <t>Приморский край г. Владивосток ул. Тунгусская 44, кв 186</t>
  </si>
  <si>
    <t>mun-s@mail.ru</t>
  </si>
  <si>
    <t>Общественная организация ЖФК</t>
  </si>
  <si>
    <t>До 10 лет, До 12 лет, До 13 лет, До 15 лет, До 17 лет, До 19 лет</t>
  </si>
  <si>
    <t>КАК ПРОДЛИТЬ КАТЕГОРИЮ ТРЕНЕРА,ВЫДАННУЮ ЦЕНТРОМ ПОДГОТОВКИ СПЕЦИАЛИСТОВ В СФЕРЕ ФУТБОЛА?</t>
  </si>
  <si>
    <t>МБУ ДО СШ "Старт "</t>
  </si>
  <si>
    <t>Владивосток</t>
  </si>
  <si>
    <t>ул. Олега Кошевого 26 а</t>
  </si>
  <si>
    <t>start.shkola@mail.ru</t>
  </si>
  <si>
    <t>МБУ ДО СШ Юниор</t>
  </si>
  <si>
    <t>Вологодская область</t>
  </si>
  <si>
    <t>Вяземский</t>
  </si>
  <si>
    <t>Коммунистическая 10</t>
  </si>
  <si>
    <t>vyzducsh@yandex.ru</t>
  </si>
  <si>
    <t>МБУ ЦФКС ЕМР</t>
  </si>
  <si>
    <t>Камчатский край</t>
  </si>
  <si>
    <t>Елизово</t>
  </si>
  <si>
    <t>пер. Тимирязевский д.7</t>
  </si>
  <si>
    <t>6-42-07</t>
  </si>
  <si>
    <t>dootz@yandex.ru</t>
  </si>
  <si>
    <t>ЦФКС</t>
  </si>
  <si>
    <t>До 12 лет</t>
  </si>
  <si>
    <t>нету</t>
  </si>
  <si>
    <t>если можно хотел бы сдать на лицензию</t>
  </si>
  <si>
    <t>МБОУ ЕСШ 3</t>
  </si>
  <si>
    <t xml:space="preserve">Елизово </t>
  </si>
  <si>
    <t>Сопочная,зд.4</t>
  </si>
  <si>
    <t>School3elizovo@kamgov.ru</t>
  </si>
  <si>
    <t>Только одни в год</t>
  </si>
  <si>
    <t>Корягина Максим Игоревич , Бежацкая СМ</t>
  </si>
  <si>
    <t>МБУ ДО СШОР №1</t>
  </si>
  <si>
    <t>Краснодарский край</t>
  </si>
  <si>
    <t>Комсомольск-на-Амуре</t>
  </si>
  <si>
    <t>s2met@mail.ru</t>
  </si>
  <si>
    <t>СШОР</t>
  </si>
  <si>
    <t>До 10 лет, До 12 лет</t>
  </si>
  <si>
    <t>ЖФК Антураж</t>
  </si>
  <si>
    <t>Хабаровский край</t>
  </si>
  <si>
    <t>Лазо</t>
  </si>
  <si>
    <t>пос. им Лазо</t>
  </si>
  <si>
    <t>shumatova1965@mail.ru</t>
  </si>
  <si>
    <t>частный клуб</t>
  </si>
  <si>
    <t>До 15 лет, До 17 лет, До 19 лет</t>
  </si>
  <si>
    <t>МОГАУДО(СШ по футболу)</t>
  </si>
  <si>
    <t>Магаданская область</t>
  </si>
  <si>
    <t>Магадан</t>
  </si>
  <si>
    <t>г. Магадан ул. Наровчатова д.18</t>
  </si>
  <si>
    <t>84132202026, 89181529105</t>
  </si>
  <si>
    <t xml:space="preserve">football-school-49@mail.ru , football@49gov.ru </t>
  </si>
  <si>
    <t>До 10 лет</t>
  </si>
  <si>
    <t>Бирюков А.А. С-УЕФА</t>
  </si>
  <si>
    <t>МАУ ДО СШ "Океан" НГО</t>
  </si>
  <si>
    <t>Находка</t>
  </si>
  <si>
    <t>Находкинский проспект 108</t>
  </si>
  <si>
    <t>dfh.ocean@mail.ru</t>
  </si>
  <si>
    <t>ДФЦ</t>
  </si>
  <si>
    <t>МБУ ДО «Спортивная школа» Невельского МО имени Героя Советского Союза С.А. Савушкина</t>
  </si>
  <si>
    <t>Сахалинская область</t>
  </si>
  <si>
    <t>Невельск</t>
  </si>
  <si>
    <t>РФ, 694742, Сахалинская область, г. Невельск, ул. Яна Фабрициуса, д. 4.</t>
  </si>
  <si>
    <t>8(42436) 65-245</t>
  </si>
  <si>
    <t>sportschool@bk.ru</t>
  </si>
  <si>
    <t>Павлюк В.А.</t>
  </si>
  <si>
    <t xml:space="preserve">МБУ «ДО» СШ Ноглики </t>
  </si>
  <si>
    <t>Ноглики</t>
  </si>
  <si>
    <t>Ногликский район пгт Ноглики строение 2</t>
  </si>
  <si>
    <t>dssh-nogliki@mail.ru</t>
  </si>
  <si>
    <t>До 10 лет, До 13 лет</t>
  </si>
  <si>
    <t>МБУ ДО спортивная школа р.п. Переяславка</t>
  </si>
  <si>
    <t>Переяславка</t>
  </si>
  <si>
    <t>Пер. Клинский, 13</t>
  </si>
  <si>
    <t>duslhazo@mail.ru</t>
  </si>
  <si>
    <t>До 10 лет, До 12 лет, До 13 лет</t>
  </si>
  <si>
    <t>РМОО "СТУДЕНЧЕСКИЙ СПОРТИВНЫЙ КЛУБ "ПОЛИТЕХНИК"</t>
  </si>
  <si>
    <t xml:space="preserve">Петропавловск- Камчатский </t>
  </si>
  <si>
    <t>Бохняка 13</t>
  </si>
  <si>
    <t>collegepedagog@yandex.ru</t>
  </si>
  <si>
    <t>спортклуб</t>
  </si>
  <si>
    <t>МАУДО "Спортивная школа № 2"</t>
  </si>
  <si>
    <t>Петропавловск-Камчатский</t>
  </si>
  <si>
    <t>г.Петропавловск-Камчатский</t>
  </si>
  <si>
    <t>moudod-dussh-2@pkgo.ru</t>
  </si>
  <si>
    <t>ЖФК" КАМЧАДАЛОЧКА"</t>
  </si>
  <si>
    <t>50 Лет Октября 15/7</t>
  </si>
  <si>
    <t>8-961-969-98-15</t>
  </si>
  <si>
    <t>voitiklidia@gmail.com</t>
  </si>
  <si>
    <t xml:space="preserve">Женская футбольная команда </t>
  </si>
  <si>
    <t>До 19 лет, В основном играют с мальчиками и мужчинами. Раз в год Чемпионат Кам. Края и ДФО.</t>
  </si>
  <si>
    <t>Войтик Л. С. - защита портфолио 24.11.25 С-УЕФА</t>
  </si>
  <si>
    <t xml:space="preserve">КГБУДО сш по футболу г. Петропавловск-Камчатский </t>
  </si>
  <si>
    <t>Ул. Ленинградская 33 а</t>
  </si>
  <si>
    <t>atakasport@yandex.ru</t>
  </si>
  <si>
    <t>До 15 лет, До 17 лет, До 19 лет, Девочки играют с мальчиками в основном.</t>
  </si>
  <si>
    <t>Войтик Л. С -защита портфолио 24.11.25 на C-УЕФА</t>
  </si>
  <si>
    <t>АНО Детский футбольный клуб «Алеут»</t>
  </si>
  <si>
    <t>Подъяпольское</t>
  </si>
  <si>
    <t>Приморский край, Шкотовский округ, пос. Подъяпольское, ул. 40 лет Октября, д. 2</t>
  </si>
  <si>
    <t>12henry14@mail.ru</t>
  </si>
  <si>
    <t>АНО Детский Футбольный Клуб</t>
  </si>
  <si>
    <t>До 13 лет, До 15 лет, До 17 лет, До 19 лет</t>
  </si>
  <si>
    <t xml:space="preserve">Добрый день! Хотелось бы, чтобы в этом году провели кожаный мяч (Лига юных футболистов) и 2010-2011 г.р. Получается 2010 уже в этом году не сможет принять участие, очень жаль. По мальчикам есть эти года в кожаном мяче. Просьба рассмотреть возможность, наши девочки заняли  третье место в этом сезоне на финале в Ессентуках. А в этом получается без статусного турнира, уже ни так интересно. Спасибо </t>
  </si>
  <si>
    <t>МБУ ДО ДЮСШ Шкотовского муниципального округа</t>
  </si>
  <si>
    <t>Смоляниново</t>
  </si>
  <si>
    <t>Приморский край, Шкотовский м.о., пгт Смоляниново, ул. Маяковского д. 33А</t>
  </si>
  <si>
    <t>dussh_smolyninovo2022@mail.ru</t>
  </si>
  <si>
    <t>ФК Поллукс</t>
  </si>
  <si>
    <t>Советская гавань</t>
  </si>
  <si>
    <t>anna.murzina.dv@yandex.ru</t>
  </si>
  <si>
    <t>МБУ ДО "Спортивная школа "Атлант" г</t>
  </si>
  <si>
    <t>Спасск-Дальний</t>
  </si>
  <si>
    <t>692239, Приморский край, г. Спасск-Дальний, ул. Пионерская, 1</t>
  </si>
  <si>
    <t>8 (42352) 32639</t>
  </si>
  <si>
    <t>sps_dussh@mail.ru</t>
  </si>
  <si>
    <t>Факел-Шск-Лотос</t>
  </si>
  <si>
    <t>ул. Пионерская, д.1</t>
  </si>
  <si>
    <t>8 (42352) 3-12-92</t>
  </si>
  <si>
    <t xml:space="preserve">Здравствуйте, очень полезные и интересные вопросы касающийся работы, и вообщем работы с детьми </t>
  </si>
  <si>
    <t>ФК "Локомотив"</t>
  </si>
  <si>
    <t>Уссурийск</t>
  </si>
  <si>
    <t>Приморский край г. Уссурийск ул. Комсомольская 6-101</t>
  </si>
  <si>
    <t>8-914-735-46-24</t>
  </si>
  <si>
    <t>sk_lokomotiv@mail.ru</t>
  </si>
  <si>
    <t>количество соревнований зависит от количества наполняемости групп подготовки</t>
  </si>
  <si>
    <t>Ассоциация "ФК "СКА-Хабаровск"</t>
  </si>
  <si>
    <t>Хабаровск</t>
  </si>
  <si>
    <t>680028 Хабаровский край, г. Хабаровск, стадион им. В.И.Ленина, южная трибуна, оф. 18</t>
  </si>
  <si>
    <t>+7-4212-917899 (917896)</t>
  </si>
  <si>
    <t>fcska-khv@yandex.ru</t>
  </si>
  <si>
    <t>Центр подготовки юных футболистов</t>
  </si>
  <si>
    <t>Футбольная академия</t>
  </si>
  <si>
    <t>До 10 лет, До 12 лет, До 13 лет, До 15 лет</t>
  </si>
  <si>
    <t>Радина Р.А. прошла обучение на В-УЕФА, Литвиненко А.А. прошла обучение на В-УЕФА, Вязьмина С.М.  проходит обучение на С-УЕФА</t>
  </si>
  <si>
    <t>Без коментариев.</t>
  </si>
  <si>
    <t xml:space="preserve"> Спортивный клуб "СКИФ-ДВ"</t>
  </si>
  <si>
    <t>г. Хабаровск, Амурский б-р 1</t>
  </si>
  <si>
    <t>+7(914)-169-01-63</t>
  </si>
  <si>
    <t>popov-pavel96@mail.ru</t>
  </si>
  <si>
    <t>ОО</t>
  </si>
  <si>
    <t>Дирютин К.И. С-УЕФА, Радина Р.А. С-УЕФА</t>
  </si>
  <si>
    <t xml:space="preserve">Спортивный клуб "СКИФ-ДВ" работает с возрастным контингентом девушек и мужчин от 18-30 лет (преимущественно студенты-студентки "Дальневосточной государственной академии физической культуры". </t>
  </si>
  <si>
    <t>ЖФК  "Арсенал"</t>
  </si>
  <si>
    <t>Ул. Гамарника, 4-79</t>
  </si>
  <si>
    <t>8-962-503-86-47</t>
  </si>
  <si>
    <t>samsergey10@rambler.ru</t>
  </si>
  <si>
    <t>МАУ ДО СШ "Заря"</t>
  </si>
  <si>
    <t>Хабаровский край, город Хабаровск, ул. Воровского,17</t>
  </si>
  <si>
    <t>89142064047 Раиса</t>
  </si>
  <si>
    <t>ya.dusch8@yandex.ru</t>
  </si>
  <si>
    <t>До 13 лет, До 15 лет</t>
  </si>
  <si>
    <t>Икар</t>
  </si>
  <si>
    <t>Хор</t>
  </si>
  <si>
    <t>Хабаровский край, район Лазо, р.п. Хор, ул. Безымянная, д. 6</t>
  </si>
  <si>
    <t>Dushikar@yandex.ru</t>
  </si>
  <si>
    <t>клуб</t>
  </si>
  <si>
    <t>МБОУ "СОШ№2" с.Чугуевка</t>
  </si>
  <si>
    <t>Чугуевка</t>
  </si>
  <si>
    <t>ул.Комарова 50А</t>
  </si>
  <si>
    <t>tokareva_sveta1995@bk.ru</t>
  </si>
  <si>
    <t>Токарев Владимир Львович</t>
  </si>
  <si>
    <t>ОГАУ ДО "СШ "Сахалин"</t>
  </si>
  <si>
    <t>Южно-Сахалинск</t>
  </si>
  <si>
    <t>Сахалинская область, г. Южно-Сахалинск, ул. Горького 7/1-А</t>
  </si>
  <si>
    <t>delo@ogaufcsakhalin.ru</t>
  </si>
  <si>
    <t>Хорунжий В.Е. С-УЕФА; Шарычев Д.В. С-УЕФА</t>
  </si>
  <si>
    <t>ГБУ ДО РС (Я) "СШ по футболу"</t>
  </si>
  <si>
    <t>Республика Саха (Якутия)</t>
  </si>
  <si>
    <t>Якутск</t>
  </si>
  <si>
    <t xml:space="preserve">Лермонтова 64 </t>
  </si>
  <si>
    <t>89644186656, 89963159188</t>
  </si>
  <si>
    <t>footballschool14@yandex.ru</t>
  </si>
  <si>
    <t>ФК Анопино</t>
  </si>
  <si>
    <t>Золотое Кольцо</t>
  </si>
  <si>
    <t>Владимирская область</t>
  </si>
  <si>
    <t>Анопино</t>
  </si>
  <si>
    <t>Владимирская обл. Гусь-Хрустальный р-он п. Анопино</t>
  </si>
  <si>
    <t>Ястребов Александр Фёдорович</t>
  </si>
  <si>
    <t>Негде тренироваться зимой</t>
  </si>
  <si>
    <t>ПРОЛЕТАРСКАЯ ШКОЛА</t>
  </si>
  <si>
    <t xml:space="preserve">Бабаево </t>
  </si>
  <si>
    <t xml:space="preserve"> Садовая ул., 7, Бабаево</t>
  </si>
  <si>
    <t>+7 (81743) 2-24-57</t>
  </si>
  <si>
    <t>school_77</t>
  </si>
  <si>
    <t>школа</t>
  </si>
  <si>
    <t>Центр детского творчества</t>
  </si>
  <si>
    <t>Ярославская область</t>
  </si>
  <si>
    <t>Борисоглебский</t>
  </si>
  <si>
    <t>Ярославская область,пос.Борисоглебский ,ул.Октябрьская д.44ул.Октябрьская д.</t>
  </si>
  <si>
    <t>mtk-avv@mail.ru</t>
  </si>
  <si>
    <t>дополнительное образование</t>
  </si>
  <si>
    <t>МБУ "Текстильщик"</t>
  </si>
  <si>
    <t>Ивановская область</t>
  </si>
  <si>
    <t>Вичуга</t>
  </si>
  <si>
    <t>Ивановская область, г. Вичуга, ул. Ленинградская, д. 86</t>
  </si>
  <si>
    <t>8-49354-2-44-76</t>
  </si>
  <si>
    <t>mbu.textilshik@yandex.ru</t>
  </si>
  <si>
    <t>Муниципальное</t>
  </si>
  <si>
    <t>До 13 лет</t>
  </si>
  <si>
    <t>АНО ДЮСШ по футболу "СИРИУС"</t>
  </si>
  <si>
    <t>Владимир</t>
  </si>
  <si>
    <t>г. Владимир, ул. 9 января, д. 3</t>
  </si>
  <si>
    <t>+7 904 656 04 51</t>
  </si>
  <si>
    <t>wfc.sirius@mail.ru</t>
  </si>
  <si>
    <t>Хохлов Е.О. - B UEFA
Лещенко А.М. - С UEFA</t>
  </si>
  <si>
    <t>ГБУ ДО ВО "СШ по футболу"</t>
  </si>
  <si>
    <t>г. Владимир, ул. Дворянская, д. 16 А</t>
  </si>
  <si>
    <t>+7 (4922) 47-06-22</t>
  </si>
  <si>
    <t>school_football33@mail.ru</t>
  </si>
  <si>
    <t>До 13 лет, До 15 лет, До 17 лет</t>
  </si>
  <si>
    <t>Лещенко А.М. - C UEFA;
Музалевская Р.В. - без лицензии.</t>
  </si>
  <si>
    <t>Смена Владимир</t>
  </si>
  <si>
    <t>Добросельская 205 А</t>
  </si>
  <si>
    <t xml:space="preserve"> нет</t>
  </si>
  <si>
    <t>Мотор</t>
  </si>
  <si>
    <t>Школьная улица, 1А, микрорайон Коммунар, Владимир</t>
  </si>
  <si>
    <t>+7 (4922) 77-75-00</t>
  </si>
  <si>
    <t>sch46@vladedu.ru</t>
  </si>
  <si>
    <t xml:space="preserve">МАУ ДО СШОР ПО ФУТБОЛ ДИНАМО - ВОЛОГДА </t>
  </si>
  <si>
    <t xml:space="preserve">Вологда </t>
  </si>
  <si>
    <t xml:space="preserve">Вологда, Варенцовой 1 </t>
  </si>
  <si>
    <t>fs35@yandex.ru</t>
  </si>
  <si>
    <t>Юниор</t>
  </si>
  <si>
    <t>Зосимовская 5В</t>
  </si>
  <si>
    <t>+7 (981) 500-09-70</t>
  </si>
  <si>
    <t xml:space="preserve">Спортивный клуб </t>
  </si>
  <si>
    <t xml:space="preserve">возрастные соревнования от 25 лет </t>
  </si>
  <si>
    <t>АУ ДО ВО "СШОР "Витязь"</t>
  </si>
  <si>
    <t xml:space="preserve">ул. Гагарина, д. 44а </t>
  </si>
  <si>
    <t>8 (8172) 33-80-90</t>
  </si>
  <si>
    <t>sportpro@shor-vityaz35.ru</t>
  </si>
  <si>
    <t>Вохтожская школа</t>
  </si>
  <si>
    <t xml:space="preserve">Вохтога </t>
  </si>
  <si>
    <t>пер. Свободы, 3, рабочий посёлок Вохтога</t>
  </si>
  <si>
    <t>7 (81755) 3-10-99</t>
  </si>
  <si>
    <t xml:space="preserve"> школа</t>
  </si>
  <si>
    <t>МБУ ДО "СШ им. Ф.Ф. Богдановского"</t>
  </si>
  <si>
    <t>Тверская область</t>
  </si>
  <si>
    <t>Вышний Волочек</t>
  </si>
  <si>
    <t>ул.Коммунальная д.6</t>
  </si>
  <si>
    <t xml:space="preserve"> dushb2012@yandex.ru</t>
  </si>
  <si>
    <t>dushb2012@yandex.ru</t>
  </si>
  <si>
    <t>До 15 лет</t>
  </si>
  <si>
    <t>лицензии нет</t>
  </si>
  <si>
    <t>МБУДО "Гаврилово-Посадский ДЮЦ"</t>
  </si>
  <si>
    <t>Гаврилов Посад</t>
  </si>
  <si>
    <t>Ивановская область, город Гаврилов Посад, ул. Советская, дом 20</t>
  </si>
  <si>
    <t>dfooc@yandex.ru</t>
  </si>
  <si>
    <t>Детско-юношеский центр</t>
  </si>
  <si>
    <t>Шагин Ф.Н. 1 категория педагога дополнительного образования</t>
  </si>
  <si>
    <t>Гаврилов-Ямская ДЮСШ</t>
  </si>
  <si>
    <t>Гаврилов-Ям</t>
  </si>
  <si>
    <t>152240, Ярославская область, г. Гаврилов-Ям, ул. Молодежная, д.7</t>
  </si>
  <si>
    <t>dush.gavyam@yarregion.ru</t>
  </si>
  <si>
    <t>Шалавин А.Н. С-УЕФА, Марчуков Н.С. нет лицензии</t>
  </si>
  <si>
    <t>Ано ф. К "Огонёк"</t>
  </si>
  <si>
    <t>Гороховец</t>
  </si>
  <si>
    <t>Г. Гороховец ул Гоголя д1</t>
  </si>
  <si>
    <t>Ogonekmail.ru@yandex.ru</t>
  </si>
  <si>
    <t>Футбольный Клуб</t>
  </si>
  <si>
    <t>До 12 лет, До 13 лет, До 15 лет</t>
  </si>
  <si>
    <t>МБУ ФКС "РДЮФОК"</t>
  </si>
  <si>
    <t>ул. Братьев Бесединых, 26</t>
  </si>
  <si>
    <t>8(49238)2-13-46</t>
  </si>
  <si>
    <t>mufksrdyufok@mail.ru</t>
  </si>
  <si>
    <t xml:space="preserve">Бюджетное учреждение "Центр развития физической культуры и спорта" Грязовецкого муниципального округа Вологодской области </t>
  </si>
  <si>
    <t>Грязовец</t>
  </si>
  <si>
    <t>г.Грязовец,ул.Революционная,д.104</t>
  </si>
  <si>
    <t>2-42-82</t>
  </si>
  <si>
    <t>sportkom.gr@mail.ru</t>
  </si>
  <si>
    <t xml:space="preserve">Структурное подразделение Спортивная школа БУ "Центр ФКС" </t>
  </si>
  <si>
    <t>МБУДО СШ по футболу «Грань»</t>
  </si>
  <si>
    <t>Гусь-Хрустальный</t>
  </si>
  <si>
    <t>Улица Добролюбова 23</t>
  </si>
  <si>
    <t>+7 (492) 413-31-90</t>
  </si>
  <si>
    <t>fcgran@mail.ru</t>
  </si>
  <si>
    <t>Зякин Вячеслав Эдуардович</t>
  </si>
  <si>
    <t>МКУ ДО Спортивная школа гЗуевка</t>
  </si>
  <si>
    <t>Кировская область</t>
  </si>
  <si>
    <t>Зуевка город</t>
  </si>
  <si>
    <t>Кировская обл г Зуевка ул Восточная 16 а</t>
  </si>
  <si>
    <t>z.s.school@mail.ru</t>
  </si>
  <si>
    <t>До 10 лет, До 12 лет, До 17 лет</t>
  </si>
  <si>
    <t>Отсутствие достаточного количества соревнований в регионе</t>
  </si>
  <si>
    <t>ЖФК Иваново</t>
  </si>
  <si>
    <t>Иваново</t>
  </si>
  <si>
    <t>Иваново, Спортивная, 19/1</t>
  </si>
  <si>
    <t>wfc-iv@mail.ru</t>
  </si>
  <si>
    <t>Автономная некоммерческая организация</t>
  </si>
  <si>
    <t>нет лицензии</t>
  </si>
  <si>
    <t>МБУ ДО СШ "Текстильщик"</t>
  </si>
  <si>
    <t>ул. Ермака, 49</t>
  </si>
  <si>
    <t>+7(4932)33-57-32</t>
  </si>
  <si>
    <t>stadtextil@mail.ru</t>
  </si>
  <si>
    <t xml:space="preserve">До 10 лет, До 12 лет, До 13 лет, До 15 лет, До 17 лет, До 19 лет, </t>
  </si>
  <si>
    <t>Сундуков Алексей Владимирович</t>
  </si>
  <si>
    <t>Хотелось бы видеть больше турниров в нашем регионе среди девочек и  чтобы проводились чаще. 
Есть ли возможность прохождения курсов повышения квалификации тренеров на базе ведущих футбольных академий страны?</t>
  </si>
  <si>
    <t>ЖФК "Арсенал"</t>
  </si>
  <si>
    <t>Кадуй</t>
  </si>
  <si>
    <t>Вологодская обл., рп Кадуй, ул. Строителей, д. 6</t>
  </si>
  <si>
    <t>valeriekim08@yandex.ru</t>
  </si>
  <si>
    <t>Кадуйская школа</t>
  </si>
  <si>
    <t xml:space="preserve">Кадуй </t>
  </si>
  <si>
    <t xml:space="preserve"> ул. Энтузиастов, 8А, рабочий посёлок Кадуй</t>
  </si>
  <si>
    <t>+7 (81742) 5-13-35</t>
  </si>
  <si>
    <t>school_13001</t>
  </si>
  <si>
    <t>Феникс</t>
  </si>
  <si>
    <t>Кимры</t>
  </si>
  <si>
    <t>Тверская область, Кимрский м. о., д. Малое Василёво</t>
  </si>
  <si>
    <t>gusevserv@rambler.ru</t>
  </si>
  <si>
    <t>Детский футбольный клуб</t>
  </si>
  <si>
    <t>КОГАУ ДО "СШ" Динамо "</t>
  </si>
  <si>
    <t>Киров</t>
  </si>
  <si>
    <t>Г. Киров, ул. Красноармейская, д. 15</t>
  </si>
  <si>
    <t>uosport5@mail.ru</t>
  </si>
  <si>
    <t>Футбольная академия «Вектор» (ИП Савиных В.А.)</t>
  </si>
  <si>
    <t>Город Киров, ул. Блюхера, 2/3</t>
  </si>
  <si>
    <t>8-919-503-71-21</t>
  </si>
  <si>
    <t>championkirov@gmail.ru</t>
  </si>
  <si>
    <t xml:space="preserve">Частная школа </t>
  </si>
  <si>
    <t>Балезин А.Н. С-УЕФА, Иванова А.В., Халявин Д.Н., Розанов А.С.</t>
  </si>
  <si>
    <t>ЖФК "Энерджи"</t>
  </si>
  <si>
    <t>Некрасова 71Б</t>
  </si>
  <si>
    <t>meteleva_a@mail.ru</t>
  </si>
  <si>
    <t xml:space="preserve">частная </t>
  </si>
  <si>
    <t>взрослых старше 19 лет</t>
  </si>
  <si>
    <t>КОГАУ ДО "ВятСШОР"</t>
  </si>
  <si>
    <t>ул. Ленинградская, 1Б</t>
  </si>
  <si>
    <t>41-97-68</t>
  </si>
  <si>
    <t>sotdel@sport43.kirov.ru</t>
  </si>
  <si>
    <t>ГБУ ДО КО «СШОР им. А.В. Голубева»</t>
  </si>
  <si>
    <t>Костромская область</t>
  </si>
  <si>
    <t>Кострома</t>
  </si>
  <si>
    <t>Г. Кострома, мкр. Давыдовский - 3, д.44</t>
  </si>
  <si>
    <t>65-72-54</t>
  </si>
  <si>
    <t>yrogai@yandex.ru</t>
  </si>
  <si>
    <t>Марков С. В. 1 категория, Осокин М. Н. Высшая категория, Осокин Д. М. Вторая категоря</t>
  </si>
  <si>
    <t>Государственное бюджетное учреждение дополнительного образования Костромской области "Спортивная школа имени выдающегося земляка Георгия Александровича Ярцева"</t>
  </si>
  <si>
    <t>г. Кострома, мкр. Давыдовский-3, д.17</t>
  </si>
  <si>
    <t>dush-3.14@mail.ru</t>
  </si>
  <si>
    <t>Худяков А.Д. С-УЕФА, Торшилова Н.С. С-УЕФА тренер ОФС</t>
  </si>
  <si>
    <t>Пантера</t>
  </si>
  <si>
    <t>частная</t>
  </si>
  <si>
    <t>Скворцов Алексей</t>
  </si>
  <si>
    <t>Максатихинская спортивная школа</t>
  </si>
  <si>
    <t>Максатиха</t>
  </si>
  <si>
    <t>ул. Бр. Даниловых 28</t>
  </si>
  <si>
    <t>vjkjuf64@mail.ru</t>
  </si>
  <si>
    <t>До 10 лет, До 12 лет, До 15 лет, До 17 лет</t>
  </si>
  <si>
    <t>Навалов С.Н.</t>
  </si>
  <si>
    <t>Очень мало соревнований в регионе среди девочек</t>
  </si>
  <si>
    <t>Муром "Юниор"</t>
  </si>
  <si>
    <t>Муром</t>
  </si>
  <si>
    <t>улица Московская, д. 87</t>
  </si>
  <si>
    <t>Tat-pushkova@yandex.ru</t>
  </si>
  <si>
    <t>Пушкова Татьяна Сергеевна, Панкратова Ольга Олеговна.</t>
  </si>
  <si>
    <t xml:space="preserve">АНО ДО СШ "СК "Муром" </t>
  </si>
  <si>
    <t xml:space="preserve">Муром </t>
  </si>
  <si>
    <t xml:space="preserve">602267, Владимирская область, город Муром, ул. Ленина, д. 95 </t>
  </si>
  <si>
    <t>8(49234)2-02-37</t>
  </si>
  <si>
    <t>fc.murom@yandex.ru</t>
  </si>
  <si>
    <t xml:space="preserve">Моисеев И.В. </t>
  </si>
  <si>
    <t xml:space="preserve">Бригантина </t>
  </si>
  <si>
    <t>Нерехта</t>
  </si>
  <si>
    <t>Металлистов 2</t>
  </si>
  <si>
    <t>М.Н. Осокин, Д.М Осокин</t>
  </si>
  <si>
    <t>ДЮСШ "Завидово"</t>
  </si>
  <si>
    <t>Новозавидовскаий</t>
  </si>
  <si>
    <t>переулок Первомайский,д.1</t>
  </si>
  <si>
    <t>+7(482)422-23-84</t>
  </si>
  <si>
    <t>mou1novozavidovo@rambler.ru</t>
  </si>
  <si>
    <t/>
  </si>
  <si>
    <t>Степанов С. В.</t>
  </si>
  <si>
    <t>МБОУ ДО "ДЮСШ" ЗАТО г.Радужный Владимирской области</t>
  </si>
  <si>
    <t>Радужный</t>
  </si>
  <si>
    <t>Владимирская область, г. Радужный, квартал 9, д.3ал 9, дом 3</t>
  </si>
  <si>
    <t>duchradyga@mail.ru</t>
  </si>
  <si>
    <t>До 10 лет, До 13 лет, До 15 лет</t>
  </si>
  <si>
    <t>Ухов Дмитрий Алексеевич, Ухов Данила Дмитриевич</t>
  </si>
  <si>
    <t>МБУ Триумф</t>
  </si>
  <si>
    <t>Брянская область</t>
  </si>
  <si>
    <t>Родники</t>
  </si>
  <si>
    <t>Родники, Космонавтов, 2</t>
  </si>
  <si>
    <t>rodtriumf37@mail.ru</t>
  </si>
  <si>
    <t>Физкультурно-оздоровительный комплекс</t>
  </si>
  <si>
    <t>Услугин Алексей Игоревич, планирует обучение С-UEFA</t>
  </si>
  <si>
    <t>МУ "Родниковский МСЦ"</t>
  </si>
  <si>
    <t>Родники, пер. Школьный, 7</t>
  </si>
  <si>
    <t>msc37@mail.ru</t>
  </si>
  <si>
    <t>МАУ ДО СШ № 6</t>
  </si>
  <si>
    <t>Красноярский край</t>
  </si>
  <si>
    <t>Рыбинск</t>
  </si>
  <si>
    <t>г. Рыбинск, ул. Баженова, 11А</t>
  </si>
  <si>
    <t>+7 (4855) 29-88-66</t>
  </si>
  <si>
    <t>sdushor6futbol@mail.ru</t>
  </si>
  <si>
    <t>Григорьев В.В., Ветров В.С.</t>
  </si>
  <si>
    <t>МБУ ДО СШ Советского района</t>
  </si>
  <si>
    <t>Советск</t>
  </si>
  <si>
    <t>Кировская область, г.Советск, ул.Энгельса, д.79</t>
  </si>
  <si>
    <t>dyssh.sovetsk@yandex.ru</t>
  </si>
  <si>
    <t>МОУ ДО ДЮСШ №2 Ростовского МР</t>
  </si>
  <si>
    <t>Судино</t>
  </si>
  <si>
    <t>Ростовский район, д. Судино, д.27</t>
  </si>
  <si>
    <t>8(48536)2-24-48</t>
  </si>
  <si>
    <t>ros2.rostov@yarregion.ru</t>
  </si>
  <si>
    <t>ГБУ ДО "СШОР по футболу"</t>
  </si>
  <si>
    <t>Новосибирская область</t>
  </si>
  <si>
    <t>Тверь</t>
  </si>
  <si>
    <t xml:space="preserve">г. Тверь, ул. Вокзальная, 7 </t>
  </si>
  <si>
    <t>4822 32-52-57</t>
  </si>
  <si>
    <t>sport_school_69@tfs69.ru</t>
  </si>
  <si>
    <t>ЖФК "Пантера"</t>
  </si>
  <si>
    <t>Ростовская область</t>
  </si>
  <si>
    <t>улица Дарвина, 3, Тверь</t>
  </si>
  <si>
    <t>АНО</t>
  </si>
  <si>
    <t>Алмакаев Владимир Анатольевич</t>
  </si>
  <si>
    <t>МКУ ДО ФИРОВСКАЯ СШ</t>
  </si>
  <si>
    <t>Фирово</t>
  </si>
  <si>
    <t>Тверская обл, Фировский район, п. Фирово, ул. Советская 25</t>
  </si>
  <si>
    <t xml:space="preserve"> okmsfirovo@mail.ru</t>
  </si>
  <si>
    <t>Малочисленность населения-небольшой выбор девочек.</t>
  </si>
  <si>
    <t>Восход</t>
  </si>
  <si>
    <t>Фурманов</t>
  </si>
  <si>
    <t xml:space="preserve">Тимирязева 32 Центр Детского Творчества </t>
  </si>
  <si>
    <t>8(49341) 2-57-12</t>
  </si>
  <si>
    <t>cdt-f@mail.ru</t>
  </si>
  <si>
    <t>МАОУ ДО "СШ по футболу"</t>
  </si>
  <si>
    <t>Череповец</t>
  </si>
  <si>
    <t>ул. Ленина, д.125</t>
  </si>
  <si>
    <t xml:space="preserve">8 (8202) 57-63-72 </t>
  </si>
  <si>
    <t>football@cherepovetscity.ru</t>
  </si>
  <si>
    <t>Кирбенников А.Л. C-УЕФА</t>
  </si>
  <si>
    <t>ЖФК "Атланта" Череповец</t>
  </si>
  <si>
    <t>ЗЗаягорбский, ул. Космонавта Беляева, д. 66а</t>
  </si>
  <si>
    <t>voff35@mail.ru</t>
  </si>
  <si>
    <t>АНСО "ФУТБОЛЬНАЯ АКАДЕМИЯ ВАЛЕРИЯ КЕЧИНОВА"</t>
  </si>
  <si>
    <t>ул. Химиков, д. 22а</t>
  </si>
  <si>
    <t>rozsv@mail.ru</t>
  </si>
  <si>
    <t>АНСО</t>
  </si>
  <si>
    <t>Антонов А.А. С-УЕФА, Куваев Д.А., Дубровина Ю.А.</t>
  </si>
  <si>
    <t>МБОУ "Юровский центр образования"</t>
  </si>
  <si>
    <t>Юрово</t>
  </si>
  <si>
    <t>Вологодская обл.,Грязовецкий р-н, д.Юрово, Кл.Школьная, 12</t>
  </si>
  <si>
    <t>secretar-12015@obr.edu35.ru</t>
  </si>
  <si>
    <t>До 13 лет, До 17 лет</t>
  </si>
  <si>
    <t>МУ ДО «СШ 13»</t>
  </si>
  <si>
    <t>Ярославль</t>
  </si>
  <si>
    <t>Г. Ярославль, Гагарина 21а</t>
  </si>
  <si>
    <t>Dushor13@yandex.ru</t>
  </si>
  <si>
    <t>До 10 лет, До 15 лет</t>
  </si>
  <si>
    <t>Фадеенко Н.В., Малахова Ю.А., Гаршенин В.А.</t>
  </si>
  <si>
    <t>ЖФК «Сиеста»</t>
  </si>
  <si>
    <t xml:space="preserve">Ярославль </t>
  </si>
  <si>
    <t>Г. Ярославль, ул. Наумова, д. 67/2</t>
  </si>
  <si>
    <t>Siestafit@gmail.com</t>
  </si>
  <si>
    <t>Частное</t>
  </si>
  <si>
    <t xml:space="preserve">Региональные соревнования среди женщин </t>
  </si>
  <si>
    <t>Сухов Сергей</t>
  </si>
  <si>
    <t xml:space="preserve">ЧУ ДО СШ ФК Шинник </t>
  </si>
  <si>
    <t>Г. Ярославль, улица Свердлова 29а.</t>
  </si>
  <si>
    <t>cpufshinnik@yandex.ru</t>
  </si>
  <si>
    <t>РЦ</t>
  </si>
  <si>
    <t xml:space="preserve">Гаврилов Б.А. А-УЕФА 
Соколов О.А. С-УЕФА 
Гусева В.Ю.
</t>
  </si>
  <si>
    <t>Дополнительное финансирование в целях привлечения девочек в женские команды и на проведение учебно-тренировочных сборов для подготовки к официальным соревнованиям, в том числе ЮФЛ.</t>
  </si>
  <si>
    <t xml:space="preserve">МБУ ДО СШОР МЕТЕОР </t>
  </si>
  <si>
    <t>Москва и МО</t>
  </si>
  <si>
    <t>Московская область</t>
  </si>
  <si>
    <t>Балашиха</t>
  </si>
  <si>
    <t>г. Балашиха, ул. Победы, вл. 1</t>
  </si>
  <si>
    <t>8-495-523-43-35</t>
  </si>
  <si>
    <t>Meteor-football@yandex.ru</t>
  </si>
  <si>
    <t>ЖФК Империал</t>
  </si>
  <si>
    <t>Постоянного места тренировок нет</t>
  </si>
  <si>
    <t xml:space="preserve">Телефона организации нет </t>
  </si>
  <si>
    <t>Inknown_18_0@mail.ru</t>
  </si>
  <si>
    <t xml:space="preserve">Любительская команда </t>
  </si>
  <si>
    <t>До 19 лет</t>
  </si>
  <si>
    <t>Лесив Никита Андреевич</t>
  </si>
  <si>
    <t>МАУ ДО СШОР им.А.Сыроежкина</t>
  </si>
  <si>
    <t>Бронницы</t>
  </si>
  <si>
    <t>Московская область, г.о.Бронницы, г.Бронницы, пер.Комсомольский, 60</t>
  </si>
  <si>
    <t>sduchor_1@mail.ru</t>
  </si>
  <si>
    <t>МУ ДО "СШ "Легион"</t>
  </si>
  <si>
    <t>Давыдово</t>
  </si>
  <si>
    <t>142641, Московская область, Орехово-Зуевский городской округ, д. Давыдово, ул. 2-ой микрорайон, д. 9, корпус А, помещение 124</t>
  </si>
  <si>
    <t>8-496-173-900</t>
  </si>
  <si>
    <t>sh.legion@yandex.ru</t>
  </si>
  <si>
    <t>МБУДО СШ "Орбита"</t>
  </si>
  <si>
    <t>Дзержинский</t>
  </si>
  <si>
    <t>Дзержинский, Спортивная 3б</t>
  </si>
  <si>
    <t>8 (495) 551-15-18, +7 (495) 550-65-21</t>
  </si>
  <si>
    <t>ssorbita@yandex.ru</t>
  </si>
  <si>
    <t>Муниципальное бюджетное учреждение дополнительного образования спортивная школа городского округа Долгопрудный</t>
  </si>
  <si>
    <t>Долгопрудный</t>
  </si>
  <si>
    <t>141701, Московская область, г. Долгопрудный, ул. Институтский переулок, д. 1</t>
  </si>
  <si>
    <t>8-495-408-77-37</t>
  </si>
  <si>
    <t>dolg_dop01@mosreg.ru</t>
  </si>
  <si>
    <t>Футбольная академия Адреналин</t>
  </si>
  <si>
    <t>Москва</t>
  </si>
  <si>
    <t xml:space="preserve">Лобненская 9 </t>
  </si>
  <si>
    <t>adfenalinefc@mail.ru</t>
  </si>
  <si>
    <t xml:space="preserve">Частная футбольная школа </t>
  </si>
  <si>
    <t>Для взрослых команд</t>
  </si>
  <si>
    <t>МБУ ДО "СШОР "Олимп"</t>
  </si>
  <si>
    <t>Домодедово</t>
  </si>
  <si>
    <t xml:space="preserve">ул. Зеленая, стр. 72 а, микрорайон Западный, г. Домодедово, Московская область, 142003, </t>
  </si>
  <si>
    <t>8(496)79 4-30-11</t>
  </si>
  <si>
    <t>dmdd_mbu_olimp@mosreg.ru</t>
  </si>
  <si>
    <t>франшиза АО Динамо Москва</t>
  </si>
  <si>
    <t>Мурманская область</t>
  </si>
  <si>
    <t>Дубна</t>
  </si>
  <si>
    <t>141980 г. Дубна ул.Мичурина д.7/29 кв.38</t>
  </si>
  <si>
    <t>d.zhuravlev@dubna.fcdm.school</t>
  </si>
  <si>
    <t>ФШ</t>
  </si>
  <si>
    <t>Цветкова Е.Д. (нет лицензии), Переверзьев К.А. (нет лицензии)</t>
  </si>
  <si>
    <t>ГБПОУ МО Спортивное училище № 5</t>
  </si>
  <si>
    <t>егорьевск</t>
  </si>
  <si>
    <t>ул. южная д. 2</t>
  </si>
  <si>
    <t>+7 (49640) 4-79-14</t>
  </si>
  <si>
    <t>uor5.master-saturn@mail.ru</t>
  </si>
  <si>
    <t>УОР</t>
  </si>
  <si>
    <t>Кудряшов Д.В. - А-УЕФА, Еремеева С.Н. - В-УЕФА, Савин Ю.Е. - В-УЕФА, Калачев А.Ю. С-УЕФА, Князев И.В. - С-УЕФА, Буза А.М. - С-УЕФА</t>
  </si>
  <si>
    <t>ГБУ ДО МКСШ "Зеленоград"</t>
  </si>
  <si>
    <t>Зеленоград</t>
  </si>
  <si>
    <t>г. Москва, г. Зеленоград, аллея Озерная д. 6;</t>
  </si>
  <si>
    <t xml:space="preserve">+7 (499) 734-23-02 </t>
  </si>
  <si>
    <t>zelenograd@mossport.ru</t>
  </si>
  <si>
    <t>До 17 лет, До 19 лет</t>
  </si>
  <si>
    <t>МБУ ДО Истринская СШ им. Н.Л.Федорович</t>
  </si>
  <si>
    <t>Истра</t>
  </si>
  <si>
    <t>г.о. Истра, г. Дедовск, ул. Войкова, д. 6а</t>
  </si>
  <si>
    <t>+7 (498) 317-75-36</t>
  </si>
  <si>
    <t>idssh6@yandex.ru</t>
  </si>
  <si>
    <t>МАУ ДО "КСШОР ИМЕНИ М.В. ТРЕФИЛОВА"</t>
  </si>
  <si>
    <t>КЛИН</t>
  </si>
  <si>
    <t>МО, г. Клин, ул. Чайковского, 14</t>
  </si>
  <si>
    <t>klinschoolfootball@mail.ru</t>
  </si>
  <si>
    <t>ЖФК Авангард</t>
  </si>
  <si>
    <t>Коломна</t>
  </si>
  <si>
    <t>Московская область, г.о. Коломна, ул. Советская дом 58кв. 32</t>
  </si>
  <si>
    <t>8(915) 2101312</t>
  </si>
  <si>
    <t>domin4@mail.ru</t>
  </si>
  <si>
    <t>ЖФк</t>
  </si>
  <si>
    <t xml:space="preserve">Энергия </t>
  </si>
  <si>
    <t>Королев</t>
  </si>
  <si>
    <t>г. Королев, мкр. Первомайский, ул. Советская, д.18</t>
  </si>
  <si>
    <t>footballwoman@yandex.ru</t>
  </si>
  <si>
    <t>любительская женская команда ЖЛФК "Галактика"  от 18+</t>
  </si>
  <si>
    <t>не уточняла, мы любители</t>
  </si>
  <si>
    <t xml:space="preserve">МБОУ Гимназия 17 </t>
  </si>
  <si>
    <t>Ул. Сакко и Ванцетти, д. 28</t>
  </si>
  <si>
    <t>8-916-345-36-36</t>
  </si>
  <si>
    <t>school17_korolev@mail.ru</t>
  </si>
  <si>
    <t>Королёв</t>
  </si>
  <si>
    <t>город Королев</t>
  </si>
  <si>
    <t>Esergeewnap@yandex.ru</t>
  </si>
  <si>
    <t>Любительская команда</t>
  </si>
  <si>
    <t>18 лет и старше</t>
  </si>
  <si>
    <t xml:space="preserve">Чернышев Михаил Викторович </t>
  </si>
  <si>
    <t>МАУ ДО СШ "Котельники"</t>
  </si>
  <si>
    <t>Котельники</t>
  </si>
  <si>
    <t>Московская обл., г. Котельники, мкр. Белая Дача, д. 8А</t>
  </si>
  <si>
    <t>ktln_sport@mosreg.ru</t>
  </si>
  <si>
    <t>Черепушкин С.В.</t>
  </si>
  <si>
    <t>МБУДО КСШОР "Зоркий"</t>
  </si>
  <si>
    <t>Красногорск</t>
  </si>
  <si>
    <t>Красногорск ул. Пионерская 31</t>
  </si>
  <si>
    <t>sdusshor.zorky@mail.ru</t>
  </si>
  <si>
    <t>Вербицкая Е.С. С-УЕФА Орешкина А.А.. С-УЕФА</t>
  </si>
  <si>
    <t>Зенит-Чемпионика Лобня</t>
  </si>
  <si>
    <t>Лобня</t>
  </si>
  <si>
    <t>г Лобня ул Ленина д 65</t>
  </si>
  <si>
    <t>8-916-064-25-81</t>
  </si>
  <si>
    <t>alexandr.solsky@championika.ru</t>
  </si>
  <si>
    <t xml:space="preserve">Му мдс Багратион </t>
  </si>
  <si>
    <t xml:space="preserve">Можайск </t>
  </si>
  <si>
    <t>Можайск , мира 15</t>
  </si>
  <si>
    <t>bagration-sport.ru</t>
  </si>
  <si>
    <t xml:space="preserve">Дворец спорта </t>
  </si>
  <si>
    <t>Ермаков С.В
Исаева В.И</t>
  </si>
  <si>
    <t>Частное учреждение дополнительного образования «Спортивная школа «Академия «Спартак» по футболу имени Ф.Ф. Черенкова»</t>
  </si>
  <si>
    <t>107014, г. Москва, Малый Олений переулок, д. 23, стр. 1А</t>
  </si>
  <si>
    <t>8-499-268-1320</t>
  </si>
  <si>
    <t>school@spartak.com</t>
  </si>
  <si>
    <t>Футбольная академия высшей категории</t>
  </si>
  <si>
    <t>До 19 лет, Соревновательной практики достаточно</t>
  </si>
  <si>
    <t>Баркова В.В. А-УЕФА+; Галактионова И.И. Б-УЕФА+; Комарова Л.С. Б-УЕФА; Хочолава А.И. С-УЕФА, С-УЕФА по физподготовке</t>
  </si>
  <si>
    <t>Просьба учитывать интересы детей при составлении календарей ЮФЛ  и планировать "окна" в которые возможно детям провести 10-14 дневные летние каникулы.</t>
  </si>
  <si>
    <t>Активация</t>
  </si>
  <si>
    <t>115142, Москва, Коломенская набережная 6-230</t>
  </si>
  <si>
    <t>Activation-fund@yandex.ru</t>
  </si>
  <si>
    <t>женская секция футбола "Фоксбол"</t>
  </si>
  <si>
    <t>В нашем возрастном диапазоне соревновательной практики достаточно, однако все турниры, где мы принимаем участие, коммерческие. Хотелось бы больше организуемых РФС и МФФ бесплатных турниров.</t>
  </si>
  <si>
    <t>Кисловский Павел Александрович (С-УЕФА)</t>
  </si>
  <si>
    <t>Благодарим за интерес и внимание к нашему проекту!
Надеемся, что отправленные нами ответы помогут в дальнейшей работе по планированию проектов развивающих женский футбол!
Очень ждём больше бесплатных турниров и возможности получать льготы при аренде спортивных объектов.
Наша секция футбола является проектом частного негосударственного благотворительного фонда "Активация" (существуем за счёт пожертвований  частных юридических лиц и физических лиц), поэтому при  взаимодействии с государственными спортивными организациями нам сообщают, что нет никаких льгот, так как не являемся Казённым учреждением.
С уважением,
Руководитель фонда "Активация"
Александр Барыгин</t>
  </si>
  <si>
    <t>ГБУ ДО "Московская футбольная академия""</t>
  </si>
  <si>
    <t>121500, г. Москва, ул. Василия Ботылева, 41</t>
  </si>
  <si>
    <t>8 (499) 264-66-45</t>
  </si>
  <si>
    <t>mfa@mossport.ru</t>
  </si>
  <si>
    <t>ГБУ ДО</t>
  </si>
  <si>
    <t xml:space="preserve">Бабарыкин Александр Алексеевич C-РФС
Байкина Светлана Сергеевна В- UEFA тренер вратарей
Змиевская Екатерина СтаниславовнаC - UEFA
Махмудов Шерзод Бахтиёрович В- UEFA
Медянский Андрей Леонидович B - UEFA
Полшведкина Кристина Эдуардовна C - UEFA
Кольцов Михаил Сергеевич C - UEFA
Халилова Люция Рустамовна В- UEFA
Хубулов Автандил Валерьевич C - UEFA
Щепочкин Данила Ильич C - UEFA
</t>
  </si>
  <si>
    <t>ООО «ЖЕНСКИЙ ФУТБОЛЬНЫЙ КЛУБ «ДИНАМО-МОСКВА»</t>
  </si>
  <si>
    <t>125047, город Москва, вн.тер.г. Муниципальный округ Тверской, пер. 4-й Лесной, д.4</t>
  </si>
  <si>
    <t>+7 495 642 71 72</t>
  </si>
  <si>
    <t>office@fcdm.ru</t>
  </si>
  <si>
    <t>Футбольный клуб ООО "ЖФК "Динамо-Москва"</t>
  </si>
  <si>
    <t>Панасюк А.М. В-УЕФА тренер вратарей
Шадрин В.С. А-УЕФА Goolkeepr
Гусев О.В. А-УЕФА элитный юношеский футбол
Заякин А.В. А-УЕФА
Александров М.В. А-УЕФА
Новиков И.В. В-УЕФА
Смирнова К.В. В-УЕФА
Хойнацкая А.С. В-УЕФА
Козик М.С. С-УЕФА</t>
  </si>
  <si>
    <t>Автономная некоммерческая организация «Спортивный клуб «Надежда»</t>
  </si>
  <si>
    <t>Авиаторов 12-178</t>
  </si>
  <si>
    <t>16volcano@mail.ru</t>
  </si>
  <si>
    <t>НКО</t>
  </si>
  <si>
    <t xml:space="preserve">Денисов Евгений Григорьевич С-УЕФА </t>
  </si>
  <si>
    <t>Увеличить в регионе количество соревнований для 2017 г.р. И младше. Увеличить количество групп обучения на лицензию С-УЕФА</t>
  </si>
  <si>
    <t>СШ "Юность Москвы" по женскому футболу</t>
  </si>
  <si>
    <t>Коминтерна, 15</t>
  </si>
  <si>
    <t>spafor@yandex.ru</t>
  </si>
  <si>
    <t>Футбольный клуб "Алектан"</t>
  </si>
  <si>
    <t>Москва, ул. Коминтерна, 15</t>
  </si>
  <si>
    <t>krasjuk@mail.ru</t>
  </si>
  <si>
    <t>ИП</t>
  </si>
  <si>
    <t>Футбольная Академия "Авангард" Москва</t>
  </si>
  <si>
    <t>Москва, ул. Южнобутовская, дом 101</t>
  </si>
  <si>
    <t>7 (495) 215 20 27</t>
  </si>
  <si>
    <t>info@avangard-football.ru</t>
  </si>
  <si>
    <t>ФА</t>
  </si>
  <si>
    <t>Чемпионика</t>
  </si>
  <si>
    <t>Тайнинская, 20</t>
  </si>
  <si>
    <t>+7 (996) 865-98-06</t>
  </si>
  <si>
    <t>Valeria.kaichenkova@championika.ru</t>
  </si>
  <si>
    <t>ГБОУ ДО ЦРТДЮ «Гермес»</t>
  </si>
  <si>
    <t>Тимирязевская улица 28</t>
  </si>
  <si>
    <t>legiongfk.2007@mail.ru</t>
  </si>
  <si>
    <t>ШСК</t>
  </si>
  <si>
    <t>Еленина И.А.</t>
  </si>
  <si>
    <t>АО ФК Торпедо Москва</t>
  </si>
  <si>
    <t>ул. Восточная, д. 4А</t>
  </si>
  <si>
    <t>+7 495 620 45 04</t>
  </si>
  <si>
    <t>afademy@torpedo.ru</t>
  </si>
  <si>
    <t>АО ФК</t>
  </si>
  <si>
    <t>До 10 лет, До 12 лет, До 13 лет, До 15 лет, До 17 лет</t>
  </si>
  <si>
    <t>ГБНОУ "Спортивный интернат "Чертаново" Москомспорта</t>
  </si>
  <si>
    <t>ул. Чертановская д. 7 корп.3</t>
  </si>
  <si>
    <t>chertanovo@mossport.ru</t>
  </si>
  <si>
    <t>Государственное бюджетное нетиповое общеобразовательное учреждение</t>
  </si>
  <si>
    <t>Багаутдинов Т.Г. С-УЕФА
Бикейкина Т.Н. В-УЕФА
Борзенков А.В. А-УЕФА
Дронова А.Д. В-УЕФА
Захаров А.А. 
Ибрагимов З.А С-УЕФА
Кучер Т.Е. В-УЕФА
Макаров Я.Н. А-УЕФА
Макаршин А.М. С-УЕФА
Одинцева Л.С. С-УЕФА
Тарасюк А.С. А-УЕФА
Титкова Н.В. С-УЕФА
Федотова Ю.Р. С-УЕФА
Попова Е.В. С-УЕФА
Цуцков А.В. С-Бескова</t>
  </si>
  <si>
    <t>АНО "Центр содействия развитию и популяризации футбола"</t>
  </si>
  <si>
    <t>ул.Лужники, д.24, стр.8</t>
  </si>
  <si>
    <t>media@girl-power.club</t>
  </si>
  <si>
    <t>Любительская</t>
  </si>
  <si>
    <t>от 20 и старше</t>
  </si>
  <si>
    <t>ЖФК ЦСКА</t>
  </si>
  <si>
    <t>Улица живописная дом 21</t>
  </si>
  <si>
    <t>89055902753@mail.ru</t>
  </si>
  <si>
    <t>ЖФК</t>
  </si>
  <si>
    <t>ЧУДО «СШ «Академия ФК «ЛОКОМОТИВ «</t>
  </si>
  <si>
    <t xml:space="preserve">Москва </t>
  </si>
  <si>
    <t>Большая Черкизовская 125 стр. 4</t>
  </si>
  <si>
    <t>academy@fclm.ru</t>
  </si>
  <si>
    <t>Езопов Р. В. А-УЕФА, Осинцев В. А В-УЕФА, Скиба А. И. В-УЕФА, Морозова Е. И. С-УЕФА, Ахмадалиев А. Т. В-УЕФА, Козырев А. В. С-УЕФА, Головченко Е. А. С-УЕФА, Богданец В. В. PRO-УЕФА, Евтеев А. Б. В-УЕФА, Володин Е. А. С-УЕФА</t>
  </si>
  <si>
    <t xml:space="preserve">Необходимо увеличить количество игр в соревнованиях ЮФЛ и Молодежного первенства. Проведение видео-конференций с представителями СШ/Клубов для обсуждения существующих проблем. </t>
  </si>
  <si>
    <t>Муниципальное бюджетное учреждение дополнительного образования Богородского городского округа «Спортивная школа олимпийского резерва»</t>
  </si>
  <si>
    <t>Ногинск</t>
  </si>
  <si>
    <t>142403, Московская область, г. Ногинск, ул. Санаторная, д.3</t>
  </si>
  <si>
    <t>8-496-510-10-55</t>
  </si>
  <si>
    <t>sport@sshor-bgo.ru</t>
  </si>
  <si>
    <t>не имеют</t>
  </si>
  <si>
    <t>Упростить порядок лицензирования  и присвоения категорий тренерам по женскому футболу</t>
  </si>
  <si>
    <t xml:space="preserve">ЖФК Спасатель </t>
  </si>
  <si>
    <t>Ногинск улица Чапаева 15</t>
  </si>
  <si>
    <t>huba1331@icloud.com</t>
  </si>
  <si>
    <t>Жфк</t>
  </si>
  <si>
    <t xml:space="preserve">Фск Обухово </t>
  </si>
  <si>
    <t xml:space="preserve">Обухово (Ногинский район) </t>
  </si>
  <si>
    <t>МО, Ногинский район, п Обухово, ул. Советская 25А</t>
  </si>
  <si>
    <t xml:space="preserve">yulechka_aksenova_2013@mail.ru </t>
  </si>
  <si>
    <t>Секция при ФОКе</t>
  </si>
  <si>
    <t>Моторина Ю. А - С-УЕФА</t>
  </si>
  <si>
    <t xml:space="preserve">Руководство не заинтересовано в развитие футбола для девочек. Мало человек ходит по сравнению с мальчиками и им это не нравится. </t>
  </si>
  <si>
    <t>МАУ ФСЦ КУБИНКА</t>
  </si>
  <si>
    <t>Одинцово</t>
  </si>
  <si>
    <t>Где предоставят площадку для тренировок</t>
  </si>
  <si>
    <t>Lehasomonov@yandex.ru</t>
  </si>
  <si>
    <t>ФСЦ</t>
  </si>
  <si>
    <t>МБУ СШ Лидер</t>
  </si>
  <si>
    <t>Калужская область</t>
  </si>
  <si>
    <t>Одинцовский район, д. Хлюпино, ул. Заводская стр. 30</t>
  </si>
  <si>
    <t>8 (498) 697 81 41</t>
  </si>
  <si>
    <t>arion.sport@mail.ru</t>
  </si>
  <si>
    <t>--</t>
  </si>
  <si>
    <t>МУНИЦИПАЛЬНОЕ УЧРЕЖДЕНИЕ ДОПОЛНИТЕЛЬНОГО ОБРАЗОВАНИЯ «СПОРТИВНАЯ ШКОЛА «ВЕСНА»</t>
  </si>
  <si>
    <t>Подольск</t>
  </si>
  <si>
    <t>Молодежная ул., д.2а, мкр. Климовск, Г.о. Подольск, Московская область, 142181</t>
  </si>
  <si>
    <t>8 (4967) 62-94-76</t>
  </si>
  <si>
    <t>sportshkola-klimovsk@yandex.ru</t>
  </si>
  <si>
    <t>Кашигин А.И.</t>
  </si>
  <si>
    <t>МУДО СШ по футболу "Витязь"</t>
  </si>
  <si>
    <t>Московская область, г.Подольск, ул.Ульяновых, д.23</t>
  </si>
  <si>
    <t>8-4967-66-38-36</t>
  </si>
  <si>
    <t>vityaz_dyusshpofutbolu@mai.ru</t>
  </si>
  <si>
    <t>Ландер В.В. С-УЕФА</t>
  </si>
  <si>
    <t>Муниципальное бюджетное учреждение дополнительного образования "Ильинская спортивная школа "Авангард"</t>
  </si>
  <si>
    <t>Раменское</t>
  </si>
  <si>
    <t>г. Раменское, рп. Ильинский, ул. Ленинская, д.66а</t>
  </si>
  <si>
    <t>+7 (49646) 9-17-52</t>
  </si>
  <si>
    <t>ikdyussh@mail.ru</t>
  </si>
  <si>
    <t>Барыкин А.А. С-УЕФА
Бовт Л.С. С-УЕФА
Шагов А.А.</t>
  </si>
  <si>
    <t>МАУ ДО "СШ "Приалит"</t>
  </si>
  <si>
    <t>Реутов</t>
  </si>
  <si>
    <t>МО, г.о. Реутов, г. Реутов, ул. Новая, д.1а</t>
  </si>
  <si>
    <t>8-967-041-42-09</t>
  </si>
  <si>
    <t>prialitreutov@mail.ru</t>
  </si>
  <si>
    <t>МБУ ДО "Спортивная школа Руза" РГО МО</t>
  </si>
  <si>
    <t>Руза</t>
  </si>
  <si>
    <t>Московская область г. Руза ул. Социалистическая д. 63</t>
  </si>
  <si>
    <t>7-496-2762025</t>
  </si>
  <si>
    <t>dussh-ruza@yandex.ru</t>
  </si>
  <si>
    <t>МБУ ДО СШ "Сергиев Посад"</t>
  </si>
  <si>
    <t>Сергиев Посад</t>
  </si>
  <si>
    <t>г. Сергиев Посад, ул. Матросова, 2а</t>
  </si>
  <si>
    <t>8(496)5510961</t>
  </si>
  <si>
    <t>ssh-sp@mail.ru</t>
  </si>
  <si>
    <t>Пахомова Е.В. С-УЕФА
Лобачев Ю.Н. С-УЕФА</t>
  </si>
  <si>
    <t>Муниципальное бюджетное учреждение дополнительного образования спортивная школа "Ока"</t>
  </si>
  <si>
    <t>Ступино</t>
  </si>
  <si>
    <t>ул. Чайковского, вл.3/10</t>
  </si>
  <si>
    <t>Sport_oka_mz@mail.ru</t>
  </si>
  <si>
    <t>Захаров И.Б., Калачёв Д.С.</t>
  </si>
  <si>
    <t>ГБОУ Школа № 2070</t>
  </si>
  <si>
    <t>ТиНАО</t>
  </si>
  <si>
    <t>ул. Липовый парк 5а</t>
  </si>
  <si>
    <t>belkin@sch2070.ru</t>
  </si>
  <si>
    <t>МАУ ДО "СШОР по футболу" г. Химки</t>
  </si>
  <si>
    <t>Химки</t>
  </si>
  <si>
    <t>Московская область, г. Химки, ул. Машинцева, д.2</t>
  </si>
  <si>
    <t>+7 (495) 793-09-96</t>
  </si>
  <si>
    <t>Shorkhimki@gmail.com</t>
  </si>
  <si>
    <t>Попова Е.Н. С-УЕФА</t>
  </si>
  <si>
    <t xml:space="preserve">женский футбольный клуб любительский </t>
  </si>
  <si>
    <t>Footballkhimkigirl@gmail.com</t>
  </si>
  <si>
    <t>ЖФЛК</t>
  </si>
  <si>
    <t>Не анонсируем</t>
  </si>
  <si>
    <t>МАУДО СШ "Черноголовка"</t>
  </si>
  <si>
    <t>Черноголовка</t>
  </si>
  <si>
    <t>бульвар арх. Толмачева, д. 3</t>
  </si>
  <si>
    <t>+7 (49652) 2 57 15</t>
  </si>
  <si>
    <t>sport142432@mail.ru</t>
  </si>
  <si>
    <t xml:space="preserve">МАУ ДО "СШ Шатура" </t>
  </si>
  <si>
    <t xml:space="preserve">Шатура </t>
  </si>
  <si>
    <t xml:space="preserve">Московская область, муниципальный округ Шатура, г. Шатура, ул. Спортивная, д. 14 </t>
  </si>
  <si>
    <t>8 (49645) 28169</t>
  </si>
  <si>
    <t>kdussh@mail.ru</t>
  </si>
  <si>
    <t>МБУ ДО СШ "Старт" ГОЩ</t>
  </si>
  <si>
    <t>Щелково</t>
  </si>
  <si>
    <t>Щелково, 1-ый Советский переулок д.32Б</t>
  </si>
  <si>
    <t>sports2012@mail.ru</t>
  </si>
  <si>
    <t>МБУ ДО "Спортивная школа" Аксубаевского МР РТ</t>
  </si>
  <si>
    <t>Приволжье</t>
  </si>
  <si>
    <t>Республика Татарстан</t>
  </si>
  <si>
    <t>Аксубаево</t>
  </si>
  <si>
    <t>Республика Татарстан, Аксубаевский р-н, пгт. Аксубаево, ул. Раиса Беляева, д.2</t>
  </si>
  <si>
    <t>dysch1@mail.ru</t>
  </si>
  <si>
    <t>Не имеется</t>
  </si>
  <si>
    <t>МАУ ДО "Спортивная школа по футболу" Альметьевского муниципального района Республики Татарстан</t>
  </si>
  <si>
    <t>Альметьевск</t>
  </si>
  <si>
    <t>Альметьевск, ул. Белоглазова, 62 а</t>
  </si>
  <si>
    <t>8(8553)261-007</t>
  </si>
  <si>
    <t>almfootball@mail.ru</t>
  </si>
  <si>
    <t>До 17 лет</t>
  </si>
  <si>
    <t>Сухих А.И.С-УЕФА, Тимралеев Р.Р.</t>
  </si>
  <si>
    <t>МБУДО "Ардатовская ДЮСШ"</t>
  </si>
  <si>
    <t>Республика Мордовия</t>
  </si>
  <si>
    <t>Ардатов</t>
  </si>
  <si>
    <t>431860 РМ. г. Ардатов. пер .Л.Толстого дом 2/3</t>
  </si>
  <si>
    <t>8(83431)31055</t>
  </si>
  <si>
    <t>ardatovsport@mail.ru</t>
  </si>
  <si>
    <t>ГАУ РМ "РСТЦ "Старт"</t>
  </si>
  <si>
    <t>г</t>
  </si>
  <si>
    <t>alex-elizarov82@yandex.ru</t>
  </si>
  <si>
    <t>СК</t>
  </si>
  <si>
    <t>муниципальное бюджетное образовательное учреждение дополнительного образования "Детско-юношеский центр"</t>
  </si>
  <si>
    <t>Нижегородская область</t>
  </si>
  <si>
    <t>607130, Нижегородская область, Ардатовский муниципальный округ, р.п. Ардатов, ул.Ленина, д.65</t>
  </si>
  <si>
    <t>dyussh_ardatov@mail.ru</t>
  </si>
  <si>
    <t>ДЮЦ</t>
  </si>
  <si>
    <t xml:space="preserve">МАУ ДО "Спортивная школа г.Аткарска </t>
  </si>
  <si>
    <t>Саратовская область</t>
  </si>
  <si>
    <t>Аткарск</t>
  </si>
  <si>
    <t>412421, Саратовская область, г. Аткарск, ул. Гоголя, зд. 11</t>
  </si>
  <si>
    <t>+7 (927) 118-47-78</t>
  </si>
  <si>
    <t>atksport@yandex.ru</t>
  </si>
  <si>
    <t>«Спортивная школа» Атнинского муниципального района РТ</t>
  </si>
  <si>
    <t>Атня</t>
  </si>
  <si>
    <t>Атнинский район, Большая Атня, улица Советская, дом 2 Б</t>
  </si>
  <si>
    <t>Sport.atnya@mail.ru</t>
  </si>
  <si>
    <t>МБОУ Базарносызганская СШ1</t>
  </si>
  <si>
    <t>Ульяновская область</t>
  </si>
  <si>
    <t xml:space="preserve">Базарный Сызган </t>
  </si>
  <si>
    <t xml:space="preserve">Советская 64 </t>
  </si>
  <si>
    <t>bazschool@yandex.ru</t>
  </si>
  <si>
    <t>Муниципальное автономное учреждение дополнительного образования "Спортивная школа "Балаково"</t>
  </si>
  <si>
    <t>Балаково</t>
  </si>
  <si>
    <t>413840 Саратовская область, город Балаково, улица Набережная 50 лет ВЛКСМ, дом 5а</t>
  </si>
  <si>
    <t>8(8453)627799</t>
  </si>
  <si>
    <t>shkolabalakovo@mail.ru</t>
  </si>
  <si>
    <t>Горелов Александр Сергеевич</t>
  </si>
  <si>
    <t>Муниципальное бюджетное учреждение дополнительного образования "Центр дополнительного образования Балтайского муниципального района Саратовской области"</t>
  </si>
  <si>
    <t>Балтай</t>
  </si>
  <si>
    <t>Саратовская область, Балтайский район, с. Балтай, ул. В.И. Ленина, д. 61, пом.8</t>
  </si>
  <si>
    <t>ddtbaltay@mail.ru</t>
  </si>
  <si>
    <t>Центр дополнительного образования детей</t>
  </si>
  <si>
    <t>До 10 лет, До 19 лет</t>
  </si>
  <si>
    <t xml:space="preserve">Захаров Вадим Сергеевич </t>
  </si>
  <si>
    <t>Хочется, чтобы было больше соревнований по футболу регионального и федерального уровней для девочек</t>
  </si>
  <si>
    <t>"Спортивная школа" Балтасинского муниципального района Республики Татарстан</t>
  </si>
  <si>
    <t>Балтаси</t>
  </si>
  <si>
    <t>пгт Балтаси, ул. Наримана, д. 123</t>
  </si>
  <si>
    <t>sportschool.blt@tatar.ru</t>
  </si>
  <si>
    <t>Муниципальное бюджетное образовательное учреждение дополнительного образования детско-юношеская спортивная школа р.п. Беково (МБОУ ДО ДЮСШ р.п. Беково)</t>
  </si>
  <si>
    <t>Пензенская область</t>
  </si>
  <si>
    <t>Беково</t>
  </si>
  <si>
    <t>442940, Пензенская область, Бековский район, р.п. Беково, ул. Первомайская, 56В</t>
  </si>
  <si>
    <t>snsaushkin@rambler.ru</t>
  </si>
  <si>
    <t>Крянин Василий Александрович - нет</t>
  </si>
  <si>
    <t>МАУ ДО ДЮСШ Бессоновского район</t>
  </si>
  <si>
    <t>Бессоновка</t>
  </si>
  <si>
    <t>Компрессорная улица, 103А, Бессоновка</t>
  </si>
  <si>
    <t>+7 (8412) 32-91-75</t>
  </si>
  <si>
    <t>maudodush@mail.ru</t>
  </si>
  <si>
    <t>МБУ ДО "ДЮЦ "Спартак"</t>
  </si>
  <si>
    <t>Богорордск</t>
  </si>
  <si>
    <t>г. Богородск, ул. Ленина 222а</t>
  </si>
  <si>
    <t>ffk2005@mail.ru</t>
  </si>
  <si>
    <t xml:space="preserve">МБУ ДО ДЮЦ </t>
  </si>
  <si>
    <t>Худяков Роман Алексеевич "В-УЕФА"</t>
  </si>
  <si>
    <t>предложение проводить семинары для тренеров женских отделений работающих в провинции.</t>
  </si>
  <si>
    <t>МБОУ ДО "Детский оздоровительно-образовательный центр"</t>
  </si>
  <si>
    <t>Болгар</t>
  </si>
  <si>
    <t>Пионерская 40А</t>
  </si>
  <si>
    <t>spoklub@yandex.ru</t>
  </si>
  <si>
    <t>ЖФК «Бузулучанка»</t>
  </si>
  <si>
    <t>Оренбургская область</t>
  </si>
  <si>
    <t xml:space="preserve">Бузулук </t>
  </si>
  <si>
    <t>461040 Оренбургския обл. г. Бузулук ул. 1 линия д.34</t>
  </si>
  <si>
    <t>andrelz1b9@omall.ru</t>
  </si>
  <si>
    <t xml:space="preserve">Некоммерческое партнерство </t>
  </si>
  <si>
    <t>Муниципальное бюджетное учреждение дополнительного образование "Спортивная школа"</t>
  </si>
  <si>
    <t>Бутурлино</t>
  </si>
  <si>
    <t>р.п. Бутурлино, ул. Милицейская, д.11</t>
  </si>
  <si>
    <t>sportbytyrlino@mail.ru</t>
  </si>
  <si>
    <t>МБУКС КСО</t>
  </si>
  <si>
    <t>Вад</t>
  </si>
  <si>
    <t>Улица 50 лет Октября дом 16</t>
  </si>
  <si>
    <t>vadsport52@mail.ru</t>
  </si>
  <si>
    <t>Либасов П.В.</t>
  </si>
  <si>
    <t xml:space="preserve"> «Центр образования» имени Героя Советского Союза В.Н. Федотова пос. Варламово муниципального района Сызранский Самарской области</t>
  </si>
  <si>
    <t>Самарская область</t>
  </si>
  <si>
    <t>Варламово</t>
  </si>
  <si>
    <t>446073, Самарская область, Сызранский район, п. Варламово, ул. Советская, д.12</t>
  </si>
  <si>
    <t>8(8464)998066</t>
  </si>
  <si>
    <t>zu_varlam_sch@63edu.ru</t>
  </si>
  <si>
    <t>структурное подразделение</t>
  </si>
  <si>
    <t>МУДО,,ЦРФКС,,</t>
  </si>
  <si>
    <t>Республика Марий Эл</t>
  </si>
  <si>
    <t>Волжск</t>
  </si>
  <si>
    <t>ул.Либкнехта,д.128</t>
  </si>
  <si>
    <t>6-82-77</t>
  </si>
  <si>
    <t>vol.crfks@mari-el.gov.ru</t>
  </si>
  <si>
    <t xml:space="preserve"> Центр развития физической культуры и спортай</t>
  </si>
  <si>
    <t>МБОУ ДО ФОК г. Ворсма</t>
  </si>
  <si>
    <t>Ворсма</t>
  </si>
  <si>
    <t>ФОК, ул. Строителей 10 а, Ворсма</t>
  </si>
  <si>
    <t>8(83171) 6-65-85</t>
  </si>
  <si>
    <t>fskvorsma@yandex.ru</t>
  </si>
  <si>
    <t>ДО СШ</t>
  </si>
  <si>
    <t xml:space="preserve">ДЮСШ металлург </t>
  </si>
  <si>
    <t>Выкса</t>
  </si>
  <si>
    <t>Россия, Нижегородская область, г. Выкса, Красная площадь, 29.</t>
  </si>
  <si>
    <t>metallurgvyksa@yandex.ru</t>
  </si>
  <si>
    <t>Макаров А.В.;
Иванова А.Р</t>
  </si>
  <si>
    <t>ЖФК Биектау</t>
  </si>
  <si>
    <t>Высокая гора</t>
  </si>
  <si>
    <t>высокая гора</t>
  </si>
  <si>
    <t>До 15 лет, До 17 лет</t>
  </si>
  <si>
    <t xml:space="preserve">соревнования региональные, массовый футбол больше </t>
  </si>
  <si>
    <t xml:space="preserve">МАУ СКК "Прогресс" </t>
  </si>
  <si>
    <t>Удмуртская Республика</t>
  </si>
  <si>
    <t>Глазов</t>
  </si>
  <si>
    <t>Удмуртская республика г. Глазов ул. Кирова 38</t>
  </si>
  <si>
    <t>+7 (34141) 3-59-22</t>
  </si>
  <si>
    <t>skkprogress@glazov.udmr.ru</t>
  </si>
  <si>
    <t>Спасибо за опрос.</t>
  </si>
  <si>
    <t>МБУ ДО "СШ "ФОК "ОКА"</t>
  </si>
  <si>
    <t>Дзержинск</t>
  </si>
  <si>
    <t xml:space="preserve">606030, Нижегородская область, город Дзержинск, Окская наб, д. 5а </t>
  </si>
  <si>
    <t>+7 (8313) 28-60-51</t>
  </si>
  <si>
    <t xml:space="preserve"> info@fok-oka.ru</t>
  </si>
  <si>
    <t xml:space="preserve">Из-за возрастных ограничений, не которые девочки вообще останутся без официальных соревнований. </t>
  </si>
  <si>
    <t xml:space="preserve">нет </t>
  </si>
  <si>
    <t xml:space="preserve">      С этого года ввели возрастные ограничения разделили возраста. Девочек сложно набрать в наш вид спорта. Стараешься подбирать группы по годам рождения. (например 2014-2015)   (2017-2018). Получается, что теперь еще нужно смотреть на дату  рождения полностью. 
     В этом году приходится еще родителям и законным представителям  девочек объяснять, почему их ребенок не может участвовать в официальных соревнованиях. 
     Из предложений лучше бы было, что детей декабрьских например:  02.12.2013г. допустили играть за 2014 г.р. </t>
  </si>
  <si>
    <t>ЖМФК "Виктория"</t>
  </si>
  <si>
    <t>Бутлерова,16</t>
  </si>
  <si>
    <t>citom@yandex.ru</t>
  </si>
  <si>
    <t>Частная</t>
  </si>
  <si>
    <t>Иванов С.В.
Чупрунов С.В.</t>
  </si>
  <si>
    <t>Муниципальное Бюджетное Учреждение Дополительного Образования Спортивная Школа "ЛАДА" г. Димитровград</t>
  </si>
  <si>
    <t>Димитровград</t>
  </si>
  <si>
    <t>433504 Ульяновская область, г. Димитровград, пр-т Димитрова, д. 14 А</t>
  </si>
  <si>
    <t>8(84235) 3-13-01</t>
  </si>
  <si>
    <t>lada.dimitrovgrad@mail.ru</t>
  </si>
  <si>
    <t>Степуро А.С. С-УЕФА</t>
  </si>
  <si>
    <t>Олимп</t>
  </si>
  <si>
    <t>Елабуга</t>
  </si>
  <si>
    <t>Тази Гиззата 29</t>
  </si>
  <si>
    <t>Olymp.elabuga@mail.ru</t>
  </si>
  <si>
    <t>ДЮСШ" МБООДОДО</t>
  </si>
  <si>
    <t>Ельники</t>
  </si>
  <si>
    <t>Ельниковский район,с.Ельники,пер.Южный д7</t>
  </si>
  <si>
    <t>elnikovskaya.diussh@mail.ru</t>
  </si>
  <si>
    <t xml:space="preserve">Муниципальное бюджетное учреждение дополнительного образования "Спортивная школа №3" Зеленодольского муниципального района Республики Татарстан </t>
  </si>
  <si>
    <t>Зеленодольск</t>
  </si>
  <si>
    <t>РТ, г.Зеленодольск, ул.Ленина, д.5</t>
  </si>
  <si>
    <t>8843715-65-73</t>
  </si>
  <si>
    <t>dyush@yandex.ru</t>
  </si>
  <si>
    <t>МАОУ ДО ДЮСШ Земетчинского района</t>
  </si>
  <si>
    <t>Земетчино</t>
  </si>
  <si>
    <t>Пензенская область, р. п. Земетчино, ул. Кирова, 86</t>
  </si>
  <si>
    <t>zem-sport@mail.ru</t>
  </si>
  <si>
    <t>Проскурдин В. В.</t>
  </si>
  <si>
    <t>Автономное учреждение дополнительного образования Удмуртской Республики «Спортивная школа олимпийского резерва по футболу «Зенит-Ижевск»</t>
  </si>
  <si>
    <t>Ижевск</t>
  </si>
  <si>
    <t xml:space="preserve"> 426034, Респ. Удмуртская, г. Ижевск, ул. Зенитная, д. 5А</t>
  </si>
  <si>
    <t>8 (3412) 72-47-00</t>
  </si>
  <si>
    <t>fc.zenit-izhevsk@yandex.ru</t>
  </si>
  <si>
    <t>Ситдиков Б.Р.</t>
  </si>
  <si>
    <t>Для качественной подготовки девочек необходимо улучшение материально-технической базы учреждения, что позволит увеличить кол-во учебно-тренировочного времени для занятий/тренировок.</t>
  </si>
  <si>
    <t xml:space="preserve">МБУ ДО СШОР Юный Динамовец </t>
  </si>
  <si>
    <t>9 января 231а</t>
  </si>
  <si>
    <t>chk115@gmail.com</t>
  </si>
  <si>
    <t>Во всех</t>
  </si>
  <si>
    <t>Удмуртский ГАУ</t>
  </si>
  <si>
    <t xml:space="preserve">Ижевск </t>
  </si>
  <si>
    <t>ул. Студенческая , 11</t>
  </si>
  <si>
    <t>ohotnikova94@mail.ru</t>
  </si>
  <si>
    <t>ФГБОУ ВО</t>
  </si>
  <si>
    <t>Старше 19</t>
  </si>
  <si>
    <t>Квасов С.В.</t>
  </si>
  <si>
    <t>Мбудо инсарская спортивная школа</t>
  </si>
  <si>
    <t>Инсар</t>
  </si>
  <si>
    <t>Семашко 13</t>
  </si>
  <si>
    <t>2-22-26</t>
  </si>
  <si>
    <t xml:space="preserve">Insar.djussh@yandex.ru </t>
  </si>
  <si>
    <t>Душутин С.В  категория D</t>
  </si>
  <si>
    <t>Фк Титан Йошкар-Ола</t>
  </si>
  <si>
    <t>Йошкар-Ола</t>
  </si>
  <si>
    <t>Йошкар-Ола кремлёвская 4</t>
  </si>
  <si>
    <t>saenko.a.o@yandex.ru</t>
  </si>
  <si>
    <t>Частная школа</t>
  </si>
  <si>
    <t>Саенко Алексей Олегович (нет)</t>
  </si>
  <si>
    <t>ГБУ ДО РМЭ "СШ по футболу и регби"</t>
  </si>
  <si>
    <t>РМЭ, г. Йошкар-Ола, Воскресенский проспект, д. 5</t>
  </si>
  <si>
    <t>sshorfr12@mail.ru</t>
  </si>
  <si>
    <t>комаров нп</t>
  </si>
  <si>
    <t>МБОУДО "Дворец спорта "Олимп"</t>
  </si>
  <si>
    <t>ул. Красноармейская, д. 14</t>
  </si>
  <si>
    <t>8 (8362) 455707</t>
  </si>
  <si>
    <t>dush_olimp@mail.ru</t>
  </si>
  <si>
    <t>Муниципальное бюджетное образовательное учреждение дополнительного образования</t>
  </si>
  <si>
    <t>ШСК "Луч"</t>
  </si>
  <si>
    <t xml:space="preserve">Йошкар-Ола </t>
  </si>
  <si>
    <t>Медицинская 5</t>
  </si>
  <si>
    <t>Vovan7373@list.ru</t>
  </si>
  <si>
    <t>Вообще нет</t>
  </si>
  <si>
    <t>Михайлов ВВ, нет</t>
  </si>
  <si>
    <t>Удачи нам</t>
  </si>
  <si>
    <t>ГБУ ДО Республики Марий Эл &lt;Спортивно-адаптивная школа паралимпийского резерва&gt;</t>
  </si>
  <si>
    <t>Республика Марий Эл, город Йошка-Ола, улица Карла Маркса дом 105</t>
  </si>
  <si>
    <t>Fslin_rme@mail.ru</t>
  </si>
  <si>
    <t>САШПР</t>
  </si>
  <si>
    <t>Рубин Юниор</t>
  </si>
  <si>
    <t>Казань</t>
  </si>
  <si>
    <t>частная школа</t>
  </si>
  <si>
    <t>да</t>
  </si>
  <si>
    <t>МБУ ДО «СШ «ФСО “Центральный”» г. Казани СШ «Максат»</t>
  </si>
  <si>
    <t>420101, Республика Татарстан, г.Казань, ул.Академика Парина, д.10</t>
  </si>
  <si>
    <t>8(843) 2291930</t>
  </si>
  <si>
    <t>maksat.school@tatar.ru</t>
  </si>
  <si>
    <t>Васильева О.В. B-УЕФА</t>
  </si>
  <si>
    <t>МБУ "СШ "Савиново"</t>
  </si>
  <si>
    <t>Адоратского, д.36 Д</t>
  </si>
  <si>
    <t>+7(939)-361-47-91</t>
  </si>
  <si>
    <t>savinovofootball@gmail.com</t>
  </si>
  <si>
    <t>МБУ ДО "СШ "ФСО "Стрела"" г. Казани</t>
  </si>
  <si>
    <t>г. Казань, ул. Степана Халтурина 3</t>
  </si>
  <si>
    <t>(843) 237-74-03</t>
  </si>
  <si>
    <t>strela.basko@gmail.com</t>
  </si>
  <si>
    <t>МБУ ДО "СШОР" "ФСО" "Идель"" г.Казани</t>
  </si>
  <si>
    <t>г.Казань, ул.Джаудата Файзи,2а</t>
  </si>
  <si>
    <t>sdushor14@mail.ru</t>
  </si>
  <si>
    <t>Хакимов Т.Б. С-УЕФА
Хакимова Э.Р. С-УЕФА
Сметанкина К.С С-УЕФА
Гаранина К.С. С-УЕФА</t>
  </si>
  <si>
    <t>ФК Рубин</t>
  </si>
  <si>
    <t>Казань, ул. Копылова 2</t>
  </si>
  <si>
    <t>office@rubin-kazan.ru</t>
  </si>
  <si>
    <t>академия ФК</t>
  </si>
  <si>
    <t xml:space="preserve">Ульянин И.А., Гилязетдинов А.Г. - B UEFA 
Чернова А.Ю. - B UEFA вр
Мухутдинова Д.Э., Коваленко Г.В., Балыкова Ю.А.- B UEFA 
Шагиахметов М.Э., Закирова Р.Ш.  Гаранина  К.С.- C UEFA
</t>
  </si>
  <si>
    <t>АФМ «СПАРТА»</t>
  </si>
  <si>
    <t>Казань, ул. Лево-Булачная, 56/2, офис 10</t>
  </si>
  <si>
    <t>8 (843) 203-92-25</t>
  </si>
  <si>
    <t>afm-sparta@ya.ru</t>
  </si>
  <si>
    <t>МБУ ДО "СШОР "ФСО "Трудовые резервы"" г.Казани</t>
  </si>
  <si>
    <t>РТ, г.Казань, ул.Н.Ершова, 7</t>
  </si>
  <si>
    <t>8(843)236-24-85</t>
  </si>
  <si>
    <t>shvahit25@mail.ru</t>
  </si>
  <si>
    <t>Гилязетдинов А.Г. В-УЕФА</t>
  </si>
  <si>
    <t>GirlPower</t>
  </si>
  <si>
    <t>ул. Козина д.2</t>
  </si>
  <si>
    <t>teploservise@inbox.ru</t>
  </si>
  <si>
    <t xml:space="preserve">Саитов А.Р. </t>
  </si>
  <si>
    <t>Здравствуйте. Мы единственная женская футбольная любительская команда, в г.Казань и думаю во всем Поволжском округе. Оплату футбольных матчей, полей для тренировок, тренера организовываем сами, частично закрываю я сам (Саитов А.Р). Нашей команде 5 лет. Мы участвуем во всех турнирах РТ футзал, 11х11 и от РФС  - первая лига 11х11 и 7х7. Очень хочется оставаться на плаву и помогать тем кто не может оплачивать тренировки. Если у Вас есть возможность помочь нам я буду очень рад. 89655987430 - Арсен руководитель команды GirlPower г.Казань</t>
  </si>
  <si>
    <t>АНО АФМ "СПАРТА" РТ</t>
  </si>
  <si>
    <t>Ул. Лево-Булачная дом 56 офис 10</t>
  </si>
  <si>
    <t>afm-sparta@yandex.ru</t>
  </si>
  <si>
    <t>Коммерческий клуб</t>
  </si>
  <si>
    <t>Долгов Герман Владимирович
Хисамиев Ильдар Рамилевич</t>
  </si>
  <si>
    <t>Спасибо за вашу работу.</t>
  </si>
  <si>
    <t>МБУ ДО «СШОР «ФСО "Авиатор"» г.Казани (СП СШ "Мотор")</t>
  </si>
  <si>
    <t>ул.Ленинградская, 26</t>
  </si>
  <si>
    <t>8(843) 223-08-38</t>
  </si>
  <si>
    <t>motor-ch@mail.ru</t>
  </si>
  <si>
    <t>До 10 лет, До 12 лет, До 15 лет</t>
  </si>
  <si>
    <t xml:space="preserve">Муниципальное бюджетное учреждение дополнительного образования «Спортивная школа» камско -устьинского муниципального района РТ </t>
  </si>
  <si>
    <t xml:space="preserve">Камское - устье </t>
  </si>
  <si>
    <t xml:space="preserve">Камское -устье , пгт. Камское - устье , ул . Комарова 24 </t>
  </si>
  <si>
    <t>Sportschool2009@rambler.ru</t>
  </si>
  <si>
    <t>Смена</t>
  </si>
  <si>
    <t>Кинель</t>
  </si>
  <si>
    <t>г.Самара, ул.Карла Маркса 4е, кв19</t>
  </si>
  <si>
    <t>i@ks-d1man.ru</t>
  </si>
  <si>
    <t>Ип</t>
  </si>
  <si>
    <t>Понятов Т.А. С-Уефа
Сахаров М.С. 
Парфенова Н.В.</t>
  </si>
  <si>
    <t>МКОУДО "Киясовская спортивная школа"</t>
  </si>
  <si>
    <t>Киясово</t>
  </si>
  <si>
    <t>ул. Юбилейная д.38А</t>
  </si>
  <si>
    <t>dujs@kiyas-obr.udmr.ru</t>
  </si>
  <si>
    <t>Шадрин А.В. Кузнецов Ю.А.</t>
  </si>
  <si>
    <t>МБУ ДО "ДЮСШ им. А.И. Тюрева" Ковылкинского муниципального района</t>
  </si>
  <si>
    <t>Ковылкино</t>
  </si>
  <si>
    <t>ул. Королева д.2</t>
  </si>
  <si>
    <t xml:space="preserve">kov-sportshkola@yandex.ru </t>
  </si>
  <si>
    <t>Глушичкин Д. В. С</t>
  </si>
  <si>
    <t>Футбольный клуб Восход</t>
  </si>
  <si>
    <t xml:space="preserve">Красногорский </t>
  </si>
  <si>
    <t>РМЭ, Звениговский район, Красногорский,Центральная,дом 1а</t>
  </si>
  <si>
    <t>ivan.sazonov13@yandex.ru</t>
  </si>
  <si>
    <t>Сазонов И.Д.
Сазонов М.Д.</t>
  </si>
  <si>
    <t>МБУ ДО "ДЮСШ"</t>
  </si>
  <si>
    <t>Краснослободск</t>
  </si>
  <si>
    <t>РМ, г. Краснослободск, пер. Кировский, д. 10</t>
  </si>
  <si>
    <t>sport-k@inbox.ru</t>
  </si>
  <si>
    <t>МАУ ДО "СШ № 1"</t>
  </si>
  <si>
    <t>Кстово</t>
  </si>
  <si>
    <t>Кстовский муниципальный округ, город Кстово, улица Кстовская, дом 1</t>
  </si>
  <si>
    <t>sport-school1@yandex.ru</t>
  </si>
  <si>
    <t>АНО «центр развития футбола»</t>
  </si>
  <si>
    <t xml:space="preserve">Кувандык </t>
  </si>
  <si>
    <t>Оренбургская 20А</t>
  </si>
  <si>
    <t>ruslanrm1991@gmail.com</t>
  </si>
  <si>
    <t>Интер</t>
  </si>
  <si>
    <t>Кукмор</t>
  </si>
  <si>
    <t>г.Кукмор ул Ленина 39</t>
  </si>
  <si>
    <t>ilshat.kadirov.96@bk.ru</t>
  </si>
  <si>
    <t xml:space="preserve">АНО </t>
  </si>
  <si>
    <t>Кадиров И.Р</t>
  </si>
  <si>
    <t>МБУ ДО "СШ "ФОК в г.Кулебаки НО"</t>
  </si>
  <si>
    <t>Кулебаки</t>
  </si>
  <si>
    <t>г.Кулебаки, ул.Серова, 59</t>
  </si>
  <si>
    <t>fok.kulebaki@yandex.ru</t>
  </si>
  <si>
    <t>ФОК и СШ</t>
  </si>
  <si>
    <t>Гавенко Р.В., Демкин С.В.</t>
  </si>
  <si>
    <t>МБУ ДО Детско-юношеская спортивная школа с. Лопатино</t>
  </si>
  <si>
    <t>Лопатино</t>
  </si>
  <si>
    <t>Пензенская область, Лопатинский район, с.Лопатино ул.Пионерская 18Б</t>
  </si>
  <si>
    <t>8(841-48)2-52-99</t>
  </si>
  <si>
    <t>karnishinaanna@mail.ru</t>
  </si>
  <si>
    <t>ДДЮ Квантум</t>
  </si>
  <si>
    <t>Мамадыш</t>
  </si>
  <si>
    <t>ул. Советская 1А</t>
  </si>
  <si>
    <t>Radik:Gurev@tatar.ru</t>
  </si>
  <si>
    <t>До 12 лет, До 13 лет</t>
  </si>
  <si>
    <t xml:space="preserve">Очень мало просто турниров посвещеных или приуроченных какому нибудь празднику по линии федерации футбола р Татарстан большому футболу а также мини футболу  да соревнования проходят только в рамках первенства татари официальных соревнований я считаю этого не достаточно  невсе команды могут участвовать в турнирах со взносом  15_20 тысяч надо как-то на это обратить внимание </t>
  </si>
  <si>
    <t>АУ ДО "СШ им. Е. Николаевой"</t>
  </si>
  <si>
    <t>Чувашская Республика — Чувашия</t>
  </si>
  <si>
    <t>Мариинский Посад</t>
  </si>
  <si>
    <t>ул. Николаева д.91В</t>
  </si>
  <si>
    <t>fsk-mariinsky@mail.ru</t>
  </si>
  <si>
    <t xml:space="preserve">ФК Медведево </t>
  </si>
  <si>
    <t xml:space="preserve">Медведево </t>
  </si>
  <si>
    <t>Советская 31 а</t>
  </si>
  <si>
    <t>Wfc.Medvedevo@mail.ru</t>
  </si>
  <si>
    <t>АНО ДФК «Витязь»</t>
  </si>
  <si>
    <t>РМЭ, пгт. Медведево</t>
  </si>
  <si>
    <t>nastichka_14@mail.ru</t>
  </si>
  <si>
    <t>ДСК</t>
  </si>
  <si>
    <t>Пегенеев Сергей Витальевич, Рахматуллина Анастасия Рауфовна</t>
  </si>
  <si>
    <t xml:space="preserve">МБУ ДО "Спортивная школа по футболу и лёгкой атлетике" Менделеевского муниципального района Республики Татарстан </t>
  </si>
  <si>
    <t>Менделеевск</t>
  </si>
  <si>
    <t>РТ, г.Менделеевск, ул. Чоловского, д. 7</t>
  </si>
  <si>
    <t>отсутствует</t>
  </si>
  <si>
    <t>stadionmendel@bk.ru</t>
  </si>
  <si>
    <t>Чернов Игорь Геннадьевич</t>
  </si>
  <si>
    <t>ЖФК Дубитель</t>
  </si>
  <si>
    <t>Можга</t>
  </si>
  <si>
    <t>427791, Удмуртская Республика, город Можга, переулок Водокачный, дом 4</t>
  </si>
  <si>
    <t>+7 (341) 394 14 42</t>
  </si>
  <si>
    <t>shkola9@mozhga.udmr.ru</t>
  </si>
  <si>
    <t>Не хватает тренировочного инвентаря
Невысокая зарплата тренера</t>
  </si>
  <si>
    <t xml:space="preserve">МУ ДО СШ р.п. Мокроус Федоровского района </t>
  </si>
  <si>
    <t>Мокроус</t>
  </si>
  <si>
    <t>Федоровский район р.п. Мокроус ул. Пионерская 17</t>
  </si>
  <si>
    <t>chernobuk69@mail.ru</t>
  </si>
  <si>
    <t>Спартак с. Моршанка</t>
  </si>
  <si>
    <t>Моршанка Питерский район</t>
  </si>
  <si>
    <t>Саратовская область Питерский район с. Питерка ул. Молодёжная д. 12</t>
  </si>
  <si>
    <t>minkov.and@mail.ru</t>
  </si>
  <si>
    <t>Миньков Андрей Николаевич</t>
  </si>
  <si>
    <t>Соревнования в нашем регионе проводятся каждый год по чётным возрастам, конкретно 2012 и 2014. Хотелось что года чередовались. В этом году должны по логике быть нечётные года. Тогда мы полноценно как у мальчиков будем вести работу, в плане подготовки девочек. А у нас в области кто-то конкретно протаскивает только 2012 г. р. Так быть не должно ‼️</t>
  </si>
  <si>
    <t>МАУ ДО "Спортивная школа "Спартак"</t>
  </si>
  <si>
    <t>Муниципальный округ город Бор</t>
  </si>
  <si>
    <t>606440, Нижегородская область, г. Бор, ул. Спортивная 1 а</t>
  </si>
  <si>
    <t>8(83159)21452</t>
  </si>
  <si>
    <t>spartakvibor@mail.ru</t>
  </si>
  <si>
    <t xml:space="preserve">развивать </t>
  </si>
  <si>
    <t>МАУДО "Спортивная школа "Строитель"</t>
  </si>
  <si>
    <t>Набережные Челны</t>
  </si>
  <si>
    <t>Республика Татарстан, г.Набережные Челны,  Набережная им.Г.Тукая, д.16</t>
  </si>
  <si>
    <t>8(8552)70-00-80</t>
  </si>
  <si>
    <t>Stadion79@list.ru</t>
  </si>
  <si>
    <t xml:space="preserve">СК КАМАЗ </t>
  </si>
  <si>
    <t xml:space="preserve">Набережные Челны </t>
  </si>
  <si>
    <t>Пр-т Московский д. 104</t>
  </si>
  <si>
    <t>+7(8552)348960</t>
  </si>
  <si>
    <t xml:space="preserve">cpf.fckamaz@yandex.ru </t>
  </si>
  <si>
    <t>Амирян А. А. C - UEFA</t>
  </si>
  <si>
    <t xml:space="preserve">Необходимо Больше методического материала. А так же обучения тренеров. </t>
  </si>
  <si>
    <t>МАУ ДО "Детско-юношеский центр 14"</t>
  </si>
  <si>
    <t>Проспект Чулман 88</t>
  </si>
  <si>
    <t>+7(855) 252 39 29</t>
  </si>
  <si>
    <t>dyc_chelny@mail.ru</t>
  </si>
  <si>
    <t xml:space="preserve">Многопрофильная </t>
  </si>
  <si>
    <t>Ваш департамент опрос проводит ежегодно для своей отчётности! Вопрос? Нам для чего эта отчётность...</t>
  </si>
  <si>
    <t>МАОУ ДО ДЮСШ с. Наровчат имени А.В. Водопьянова</t>
  </si>
  <si>
    <t>Наровчат</t>
  </si>
  <si>
    <t>Пензенская область, с. Наровчат, ул. Партизанская, д. 12</t>
  </si>
  <si>
    <t>narsport@yandex.ru</t>
  </si>
  <si>
    <t xml:space="preserve">Свищев А.В. </t>
  </si>
  <si>
    <t>МБОУ ДО ДЮСШ СЕЛА НЕВЕРКИНО</t>
  </si>
  <si>
    <t>Неверкино</t>
  </si>
  <si>
    <t>Неверкино, ул. Комсомольская, 31</t>
  </si>
  <si>
    <t>(84164) 2-18-46</t>
  </si>
  <si>
    <t>dysh-nevr@mail.ru</t>
  </si>
  <si>
    <t>ДЮСШ ООО "ФК" "Нефтехимик"</t>
  </si>
  <si>
    <t>Нижнекамск</t>
  </si>
  <si>
    <t>ул.Тукая,д.23</t>
  </si>
  <si>
    <t>88 555 43-13-85</t>
  </si>
  <si>
    <t>diussh-2@yandex.ru</t>
  </si>
  <si>
    <t>Сагдатов Рамиль Маратович С-УЕФА, Мубаракшина Екатерина Эдуардовна С-УЕФА.</t>
  </si>
  <si>
    <t>ДЮСШ ведет набор девочек 2017 - 2018г.р. Испытываем необходимость в дополнительной ставке тренера-преподавателя.</t>
  </si>
  <si>
    <t>Ассоциация Профессиональный клуб по мини-футболу "ТОРПЕДО"</t>
  </si>
  <si>
    <t>Нижний Новгород</t>
  </si>
  <si>
    <t>603105, г. Нижний Новгород, ул. Белинского, д.55А, помещение 510</t>
  </si>
  <si>
    <t>+7 (831) 259-77-47</t>
  </si>
  <si>
    <t>mfc@orgkhim.com</t>
  </si>
  <si>
    <t>Ассоциация</t>
  </si>
  <si>
    <t>Буслаев С.А. - С-УЕФА, Дикарев М.А. - С-УЕФА</t>
  </si>
  <si>
    <t>Восток</t>
  </si>
  <si>
    <t>город Нижний Новгород, ул. Веденяпина, 30а</t>
  </si>
  <si>
    <t>s111_nn@mail.52gov.ru</t>
  </si>
  <si>
    <t>ООУ</t>
  </si>
  <si>
    <t>Баландин С.А. 
Лопухов А.И.</t>
  </si>
  <si>
    <t>Очень нужна помощь в развитии наших девочек. Нет своей открытой площадки, есть только обычный маленький школьный спорт.зал с очень плохим полом. Очень не хватает инвентаря, мячей, тяжело с переездами к месту проведения турниров (все на плечах родителей).</t>
  </si>
  <si>
    <t>ГБОУ ДО СШОР №8 по футболу</t>
  </si>
  <si>
    <t>ул.Дьяконова д.31</t>
  </si>
  <si>
    <t>253-67-25</t>
  </si>
  <si>
    <t>sdusshor8@mail.ru</t>
  </si>
  <si>
    <t>Вернецов И.Н. С-УЕФА; Вернецов Н.Ф., Сазанов Д.В. С-УЕФА</t>
  </si>
  <si>
    <t xml:space="preserve">"ЦДТ Автозаводского района" </t>
  </si>
  <si>
    <t>школьная 4</t>
  </si>
  <si>
    <t>cdt_avt_nn@mail.52gov.ru</t>
  </si>
  <si>
    <t>Пари</t>
  </si>
  <si>
    <t xml:space="preserve">Нижний Новгород </t>
  </si>
  <si>
    <t>Карла Маркса 23</t>
  </si>
  <si>
    <t>tima.loginov.2014@mail.ru</t>
  </si>
  <si>
    <t>Академия</t>
  </si>
  <si>
    <t>4 B-UEFA, 1 C-UEFA</t>
  </si>
  <si>
    <t>ЖФК Нижегородочка</t>
  </si>
  <si>
    <t>Ул. Дружбы 50</t>
  </si>
  <si>
    <t>+7 831 234-21-23</t>
  </si>
  <si>
    <t>s123_nn@mail.52gov.ru</t>
  </si>
  <si>
    <t>МБОУ школа 123</t>
  </si>
  <si>
    <t>Малышев Н.А. в данный момент обучение C-УЕФА</t>
  </si>
  <si>
    <t>МБУДО "ДЮСШ" Никольского района</t>
  </si>
  <si>
    <t>Никольск</t>
  </si>
  <si>
    <t>г.Никольск, ул.Театральная, 14</t>
  </si>
  <si>
    <t>dush_89@mail.ru</t>
  </si>
  <si>
    <t>ГБОУ СО ДО ОСШ</t>
  </si>
  <si>
    <t>Новокуйбышевск</t>
  </si>
  <si>
    <t>Самарская обл. г.Новокуйбышевск. ГБОУ СО ДО " Областная Спортивная Школа</t>
  </si>
  <si>
    <t>gousportinternat@mail.ru</t>
  </si>
  <si>
    <t>Государственное бюджетное образовательное учреждение Самарской области дополнительного образования Областная спортивная школа</t>
  </si>
  <si>
    <t>АП ФК "Нефтяник"</t>
  </si>
  <si>
    <t>Новоспасское</t>
  </si>
  <si>
    <t>Ульяновская область, рп Новоспасское, ул. Терешковой, д.3А, пом. 1</t>
  </si>
  <si>
    <t>abdulin.a@mail.ru</t>
  </si>
  <si>
    <t>Ассоциация партнеров Футбольный клуб</t>
  </si>
  <si>
    <t>ШСК Восьмерка</t>
  </si>
  <si>
    <t>Новочебоксарск</t>
  </si>
  <si>
    <t>Солнечная,14</t>
  </si>
  <si>
    <t>fcbox2010@rambler.ru</t>
  </si>
  <si>
    <t>Ананьев М.А.</t>
  </si>
  <si>
    <t>МБУ ДО "СШ №1" г. Новочебоксарска</t>
  </si>
  <si>
    <t xml:space="preserve">Новочебоксарск </t>
  </si>
  <si>
    <t xml:space="preserve">429959, Чувашская Республика, город Новочебоксарск, Пионерская ул., д.1 </t>
  </si>
  <si>
    <t>77-06-42</t>
  </si>
  <si>
    <t>dussh1@yandex.ru</t>
  </si>
  <si>
    <t>Цаплин Н.В.</t>
  </si>
  <si>
    <t>МБУ ДО СШ рп Озинки</t>
  </si>
  <si>
    <t>Озинки</t>
  </si>
  <si>
    <t>Саратовская область, р. п. Озинки, ул. Молодежная, 4</t>
  </si>
  <si>
    <t>sport.ozinki@mail.ru</t>
  </si>
  <si>
    <t>О</t>
  </si>
  <si>
    <t>Абуев Серик Утегалиевич</t>
  </si>
  <si>
    <t>ФК Бастион</t>
  </si>
  <si>
    <t>Оренбург</t>
  </si>
  <si>
    <t>АНО "ФК "Оренбург"</t>
  </si>
  <si>
    <t>460008, Оренбургская область, г. Оренбург, ул. Цветной Бульвар (Поселок Ростоши мкр.), д. 31.</t>
  </si>
  <si>
    <t>8 (3532) 44-00-11</t>
  </si>
  <si>
    <t>info@fcorenburg.ru</t>
  </si>
  <si>
    <t xml:space="preserve">Баранцев А.К. - А-УЕФА+А-УЕФА ЭЮФ, Серкбаев С.С - С-УЕФА, Лапшина К.С. - С-УЕФА, Майлыбаева М.Б. - С-УЕФА, Прищепов О.Я. - "В-УЕФА" тренер вратарей </t>
  </si>
  <si>
    <t>Увеличить количество обязательных, официальных соревнований, внутри ФО, региона, города, тем самым обязать Клубы финансировать участие.</t>
  </si>
  <si>
    <t>МБУДО СШОР №5 "Орбита"</t>
  </si>
  <si>
    <t>460028 г. Оренбург, ул. Заводская, 34.</t>
  </si>
  <si>
    <t>8 (3532) 37-98-79</t>
  </si>
  <si>
    <t>sportskola5@yandex.ru</t>
  </si>
  <si>
    <t>Серкбаев С.С. С-УЕФА</t>
  </si>
  <si>
    <t>МБУ "Центр" Вдохновение"</t>
  </si>
  <si>
    <t>Оренбургский район Черноречье</t>
  </si>
  <si>
    <t>460539 Оренбургская область Оренбургский район Черноречье ул. Степная д. 32</t>
  </si>
  <si>
    <t>nice.charyev@mail.ru</t>
  </si>
  <si>
    <t>Центр культуры досуга и спортивной деятельности</t>
  </si>
  <si>
    <t>Чарыев Святослав Олегович</t>
  </si>
  <si>
    <t>Уже пару лет какие-то данные собираем, а воз и ныне там.</t>
  </si>
  <si>
    <t>Муниципальное бюджетное образовательное учреждение дополнительного образования "Параньгинский Центр по развитию физкультуры и спорта"</t>
  </si>
  <si>
    <t>Параньга</t>
  </si>
  <si>
    <t>425570, Республика Марий Эл, п. Параньга, ул. Колхозная, д.21а</t>
  </si>
  <si>
    <t xml:space="preserve">par.crfs@mari-el.gov.ru    </t>
  </si>
  <si>
    <t>ЦРФС</t>
  </si>
  <si>
    <t>МБУ ДО СШ №8 г. Пензы</t>
  </si>
  <si>
    <t>Пенза</t>
  </si>
  <si>
    <t>440023, г.Пенза, ул.Стрельбищенская,15</t>
  </si>
  <si>
    <t>(8-841-2)32-94-90</t>
  </si>
  <si>
    <t>dush8pnz@yandex.ru</t>
  </si>
  <si>
    <t>ФК Торпедо</t>
  </si>
  <si>
    <t>в регионе нет соревнований для девочек</t>
  </si>
  <si>
    <t>Лагуна-Уор</t>
  </si>
  <si>
    <t>Попова 38Ак1</t>
  </si>
  <si>
    <t>mfclaguna@yandex.ru</t>
  </si>
  <si>
    <t>частный мини - клуб</t>
  </si>
  <si>
    <t xml:space="preserve">МАУ ЦРФ Зенит </t>
  </si>
  <si>
    <t>Ул. Г.Титова, 3а</t>
  </si>
  <si>
    <t>info@zenit-penza.ru</t>
  </si>
  <si>
    <t>Алдаев С.В. С-УЕФА</t>
  </si>
  <si>
    <t>МАУ «Физкультурно-оздоровительный комплекс в г.Первомайск Нижегородской области»</t>
  </si>
  <si>
    <t xml:space="preserve">Первомайск  </t>
  </si>
  <si>
    <t>г.Первомайск  ул.Юбилейная, д.2.корп.1</t>
  </si>
  <si>
    <t>8(83139) 2-33-51</t>
  </si>
  <si>
    <t>perv_fok@mail.ru</t>
  </si>
  <si>
    <t>ФОК</t>
  </si>
  <si>
    <t>Факел</t>
  </si>
  <si>
    <t>Первомайский</t>
  </si>
  <si>
    <t>ул. Транспортная, 4а.</t>
  </si>
  <si>
    <t>"СШ им. М.М. Рудченко с. Перелюб"</t>
  </si>
  <si>
    <t>Перелюб</t>
  </si>
  <si>
    <t>Саратовская область Перелюбский район с. Перелюб ул. Чкаловская 59</t>
  </si>
  <si>
    <t>+7 (84575)2-21-66</t>
  </si>
  <si>
    <t>perelub413750@yandex.ru</t>
  </si>
  <si>
    <t>ОУ</t>
  </si>
  <si>
    <t xml:space="preserve">АНО ДО СШ "Акрон-Академия Коноплева" </t>
  </si>
  <si>
    <t xml:space="preserve">Приморский </t>
  </si>
  <si>
    <t>Самарская обл., пос. Приморский, ул. Советская 23Б</t>
  </si>
  <si>
    <t>8 (8482) 55-91-15</t>
  </si>
  <si>
    <t>academia_uk@akron-holding.ru</t>
  </si>
  <si>
    <t>Богушевич А.Ю. В-УЕФА, Нсанбаева А.Н. В-УЕФА, Благо Р.А. С-УЕФА, Потупалова С-УЕФА.</t>
  </si>
  <si>
    <t>ДФК Маяк</t>
  </si>
  <si>
    <t xml:space="preserve">Резяпкино </t>
  </si>
  <si>
    <t>С.Ст.Резяпкино м.р.Клявлинский</t>
  </si>
  <si>
    <t>gena.</t>
  </si>
  <si>
    <t>МБУДО "Ичалковская ДЮСШ"</t>
  </si>
  <si>
    <t>Рождествено</t>
  </si>
  <si>
    <t>РМ, Ичалковский район, Рождествено, ул. Перомайская, 139</t>
  </si>
  <si>
    <t>88 3433 2-16-63</t>
  </si>
  <si>
    <t>ichalcki.sportshkola@yandex.ru</t>
  </si>
  <si>
    <t>Рузаевка</t>
  </si>
  <si>
    <t>Республика Мордовия, г. Рузаевка, Фабричный пер., д.17А</t>
  </si>
  <si>
    <t>dush-ruz@yandex.ru</t>
  </si>
  <si>
    <t>Заренина Ольга Аркадьевна</t>
  </si>
  <si>
    <t>Автономная некоммерческая организация дополнительного образования "Академия футбола Крылья Советов" (спортивная школа)</t>
  </si>
  <si>
    <t>Самара</t>
  </si>
  <si>
    <t>г. Самара, ул. Строителей, 1</t>
  </si>
  <si>
    <t>8(846) 331-17-57</t>
  </si>
  <si>
    <t xml:space="preserve">academy@kc-academy.ru </t>
  </si>
  <si>
    <t>До 10 лет, До 17 лет</t>
  </si>
  <si>
    <t>Комарова Г.В. А-УЕФА
Никулин А.П. В-УЕФА
Дементьев А.А. В-УЕФА
Ганков Р.О. В-УЕФА
Зайчиков Н.С. С-УЕФА
Мишин Г.В. С-УЕФА</t>
  </si>
  <si>
    <t>АНО ФК "Виктория"</t>
  </si>
  <si>
    <t>Зои Космодемьянской, 17А</t>
  </si>
  <si>
    <t>fk_vic@mail.ru</t>
  </si>
  <si>
    <t>ФК "Виктория"</t>
  </si>
  <si>
    <t>Янков И.В.
Юдин Д.В.
Макаренкова М.А. С-УЕФА</t>
  </si>
  <si>
    <t>ГАУ ДО СО "СШОР № 1"</t>
  </si>
  <si>
    <t>ул. Демократическая, 57</t>
  </si>
  <si>
    <t>8 (846) 334-53-00</t>
  </si>
  <si>
    <t>sportolimp63@yandex.ru</t>
  </si>
  <si>
    <t>Кашников М.С. С-УЕФА</t>
  </si>
  <si>
    <t>Некоммерческое партнерство "Межрегиональный центр подготовки юных футболистов Приволжья "Мордовия"</t>
  </si>
  <si>
    <t>Саранск</t>
  </si>
  <si>
    <t>Республика Мордовия ,г.Саранск ,ул.Красная д.22</t>
  </si>
  <si>
    <t>centermordovia@mail.ru</t>
  </si>
  <si>
    <t>Некоммерческое партнерство</t>
  </si>
  <si>
    <t>Гадышева В.С., Сазанов Н.Н., Роговик В.А.,Душутин С.В.</t>
  </si>
  <si>
    <t>МБУ ДО «СШ УО»</t>
  </si>
  <si>
    <t>Сарапул</t>
  </si>
  <si>
    <t>5-й Зеленый проезд, д. 5а</t>
  </si>
  <si>
    <t>88-eka@mail.ru</t>
  </si>
  <si>
    <t>Спортивная школа управления образования</t>
  </si>
  <si>
    <t>427961 Удмуртская республика, г. Сарапул , ул.Фурманова , 1 а</t>
  </si>
  <si>
    <t>shkola24@sarap-obr.udmr.ru</t>
  </si>
  <si>
    <t>спортивная школа управления образования</t>
  </si>
  <si>
    <t>Саурин Алексей Евгеньевич</t>
  </si>
  <si>
    <t>Продолжим активно развивать женский футболь, Девочкам очень нравится</t>
  </si>
  <si>
    <t>ГАУ ДО СО "СШОР по футболу "Сокол"</t>
  </si>
  <si>
    <t>Саратов</t>
  </si>
  <si>
    <t>410012 г. Саратов ул. Аткарская, зд.29, стр.1, стадион "Локомотив"</t>
  </si>
  <si>
    <t xml:space="preserve">8(8452) 418-763 </t>
  </si>
  <si>
    <t>fk-ss@yandex.ru</t>
  </si>
  <si>
    <t>Сонюшкин С.С.</t>
  </si>
  <si>
    <t>ФК Волна (МОУ Гимназия 89)</t>
  </si>
  <si>
    <t>г. Саратов, ул. Мало-Елшанская стр., 5 корпус 1</t>
  </si>
  <si>
    <t>8(845) 2 79-42-99</t>
  </si>
  <si>
    <t>mou-school89@yandex.ru</t>
  </si>
  <si>
    <t>O</t>
  </si>
  <si>
    <t>Григорьев А. В. нет лицензии</t>
  </si>
  <si>
    <t xml:space="preserve">В нашем регионе женский футбол развивается благодаря энтузиастам! </t>
  </si>
  <si>
    <t>МАУ ДО "СШОР №14 "Волга"</t>
  </si>
  <si>
    <t>г. Саратов, ул. площадь Орджоникидзе, д.1</t>
  </si>
  <si>
    <t>volga.14@mail.ru</t>
  </si>
  <si>
    <t>До 10 лет, До 12 лет, До 13 лет, До 15 лет, До 17 лет, До 19 лет, для женских команд без ограничения возраста</t>
  </si>
  <si>
    <t>ЖФК Волжанка</t>
  </si>
  <si>
    <t>Саратовская обл. г. Саратов ул Державинская 10</t>
  </si>
  <si>
    <t>sor-school107@mail.ru</t>
  </si>
  <si>
    <t xml:space="preserve"> ШСК Волжанка Лицей 107</t>
  </si>
  <si>
    <t>Семанин Ю.М., Семанина Х.Ш.</t>
  </si>
  <si>
    <t>ООО "Центр Подготовки футболистов Д. Градиленко"</t>
  </si>
  <si>
    <t xml:space="preserve">ул.Соборная13/15 оф.3 </t>
  </si>
  <si>
    <t>+7 (8412) 214 014</t>
  </si>
  <si>
    <t xml:space="preserve"> footballcentrgradilenko@yandex.ru</t>
  </si>
  <si>
    <t>ООО</t>
  </si>
  <si>
    <t>Симаков А.В. -УЕФА</t>
  </si>
  <si>
    <t>Добрый день, женское направление в нашем клубе только развивается, хочется побольше фестивалей для девочек в нашем регионе и адаптированную программу по женский футболе.</t>
  </si>
  <si>
    <t xml:space="preserve">ФШ УДАР </t>
  </si>
  <si>
    <t xml:space="preserve">Саратов </t>
  </si>
  <si>
    <t xml:space="preserve">Ул. Вишневый проезд 9, Дельфин </t>
  </si>
  <si>
    <t>Dfsh.udar23@mail.ru</t>
  </si>
  <si>
    <t xml:space="preserve">Школа футбола УДАР </t>
  </si>
  <si>
    <t>.</t>
  </si>
  <si>
    <t>МОУ СШ г. Сенгилея</t>
  </si>
  <si>
    <t>Сенгилей</t>
  </si>
  <si>
    <t>Ульяновская область, г. Сенгилей, пл.1 Мая, д. 1</t>
  </si>
  <si>
    <t>sengschool_1</t>
  </si>
  <si>
    <t>МБУДО "Центр доп образавания" Теньгушевского района Республики Мордовия</t>
  </si>
  <si>
    <t>Теньгушево</t>
  </si>
  <si>
    <t>Республика Мордовия, с. Теньгушево, Коммунистическая 30</t>
  </si>
  <si>
    <t xml:space="preserve"> mdv83sport@yandex.ru</t>
  </si>
  <si>
    <t>Центр дополнительного образования</t>
  </si>
  <si>
    <t>МБУ ДО "ДЮСШ Мелекесского района"</t>
  </si>
  <si>
    <t>Тиинск</t>
  </si>
  <si>
    <t>Мелекесский район, Тиинск, Советская ул., д.32</t>
  </si>
  <si>
    <t>+7 (927) 810-82-95</t>
  </si>
  <si>
    <t>dush.melekess@mail.ru</t>
  </si>
  <si>
    <t>МБУ ДО СШ№ 12 “Лада"г. о. Тольятти</t>
  </si>
  <si>
    <t>Тольятти</t>
  </si>
  <si>
    <t>Революционная, 80</t>
  </si>
  <si>
    <t>Iadafootball@yandex.ru</t>
  </si>
  <si>
    <t>Небытова Е. В. С - УЕФА, Мальчикова Н.А. С-УЕФА</t>
  </si>
  <si>
    <t>ФК Бомббар</t>
  </si>
  <si>
    <t xml:space="preserve">Тольятти </t>
  </si>
  <si>
    <t>Тупиковый 18</t>
  </si>
  <si>
    <t>bombbar9@gmail.com</t>
  </si>
  <si>
    <t>Тоншанво</t>
  </si>
  <si>
    <t>Тоншаевский р. н, р. п Шайгино, ул. Вокзальная, д55Г</t>
  </si>
  <si>
    <t xml:space="preserve"> Kochkis@bk.ru</t>
  </si>
  <si>
    <t>ТРУДОВИК</t>
  </si>
  <si>
    <t>Трудовик</t>
  </si>
  <si>
    <t>улица Ленина, 36, Трудовик</t>
  </si>
  <si>
    <t>+7 (84561) 2-68-49</t>
  </si>
  <si>
    <t>pit-school@yandex.ru</t>
  </si>
  <si>
    <t>МАУДО «Тюльганская СШ»</t>
  </si>
  <si>
    <t>Тюльган</t>
  </si>
  <si>
    <t>8 марта, 14</t>
  </si>
  <si>
    <t>+7 (35332) 2-20-03</t>
  </si>
  <si>
    <t>sportotdel56@mail.ru</t>
  </si>
  <si>
    <t xml:space="preserve">Нет </t>
  </si>
  <si>
    <t xml:space="preserve">ШСК ЖФК Весна </t>
  </si>
  <si>
    <t>Тюлячи</t>
  </si>
  <si>
    <t>Тюлячинский муниципальный район,с.Тюлячи,ул.Школьная дом 3</t>
  </si>
  <si>
    <t>tuliachi_school@mail.ru</t>
  </si>
  <si>
    <t>Платон - Волга</t>
  </si>
  <si>
    <t>Ульяновск</t>
  </si>
  <si>
    <t xml:space="preserve">Варейкиса 22 а </t>
  </si>
  <si>
    <t>Mihasj89@mail.ru</t>
  </si>
  <si>
    <t>ОГБУДО "СШ по футболу "Волга" им. Н.П. Старостина"</t>
  </si>
  <si>
    <t>г. Ульяновск, ул. Гончарова, 21, стр.1</t>
  </si>
  <si>
    <t>volgaschool@mail.ru</t>
  </si>
  <si>
    <t>Усачева Е.В., С-УЕФА; Галкин М.Б. - С-УЕФА; Сидякин С.С. - С-УЕФА; Трушин С.Е. - нет, Козлов С.А. - нет</t>
  </si>
  <si>
    <t>МБУ ДО "Спортивная школа "Старт"</t>
  </si>
  <si>
    <t>ул. 40-летия Победы, д.35</t>
  </si>
  <si>
    <t>8(8422)20 28 82</t>
  </si>
  <si>
    <t>ulstart@mail.ru</t>
  </si>
  <si>
    <t>СК "Гелиос"</t>
  </si>
  <si>
    <t>Улица Камышинская, дом 51</t>
  </si>
  <si>
    <t>sch61@mo73.ru</t>
  </si>
  <si>
    <t xml:space="preserve">МАОУ "Урмарская СОШ им.Г.Е.Егорова" </t>
  </si>
  <si>
    <t xml:space="preserve">Урмары </t>
  </si>
  <si>
    <t xml:space="preserve">429400, Урмарский район, п.Урмары, пер.Школьный, д.3  </t>
  </si>
  <si>
    <t xml:space="preserve">  8(83544) 2-19-21</t>
  </si>
  <si>
    <t>urmar-urmarsosh@rchuv.ru</t>
  </si>
  <si>
    <t>ДЮСШ Цильнинский район</t>
  </si>
  <si>
    <t>Цильна</t>
  </si>
  <si>
    <t>Ул.О.Кошевого д3</t>
  </si>
  <si>
    <t>Dushcilna@mail.ru</t>
  </si>
  <si>
    <t>ФК «Луч»</t>
  </si>
  <si>
    <t>Чапаевск</t>
  </si>
  <si>
    <t>Железнодорожная 14а</t>
  </si>
  <si>
    <t>sportchap@mail.ru</t>
  </si>
  <si>
    <t>МБУДо "СШ "Энергия" г. Чебоксары</t>
  </si>
  <si>
    <t>Чебоксары</t>
  </si>
  <si>
    <t>г. Чебоксары, ул. Ленинградская 34</t>
  </si>
  <si>
    <t>+7(8352) 50-00-10</t>
  </si>
  <si>
    <t>dussh_energiya@mail.ru</t>
  </si>
  <si>
    <t>Мазякина Е.Г.</t>
  </si>
  <si>
    <t>ФК Новый Город</t>
  </si>
  <si>
    <t>Новогородская 34</t>
  </si>
  <si>
    <t>Arteksil@mail.ru</t>
  </si>
  <si>
    <t>БУ ДО "Спортивная школа по футболу" Чувашской Республики</t>
  </si>
  <si>
    <t>ул. Гладкова 8</t>
  </si>
  <si>
    <t>8(8352)25-72-44</t>
  </si>
  <si>
    <t>sh.footboll@mail.ru</t>
  </si>
  <si>
    <t>Лесин Сергей Николаевич
Мазякина Елена Геннадьевна</t>
  </si>
  <si>
    <t>Женский футбол активно развивается, и мы способствуем этому.
При определённой поддержке РФС у нас всё получится.</t>
  </si>
  <si>
    <t>МБУДО "СШ "Спартак" г. Чебоксары</t>
  </si>
  <si>
    <t xml:space="preserve">Чебоксары </t>
  </si>
  <si>
    <t xml:space="preserve"> г. Чебоксары, ул. К. Маркса, д.36</t>
  </si>
  <si>
    <t>gcheb_fizcult@cap.ru</t>
  </si>
  <si>
    <t>МАУ ДО "СШ "ФОК "Жемчужина" в р.п. Шаранга НО"</t>
  </si>
  <si>
    <t>Шаранга</t>
  </si>
  <si>
    <t>р.п. Шаранга ул.Садовая д.26</t>
  </si>
  <si>
    <t>fok-sharanga@mail.ru</t>
  </si>
  <si>
    <t>Попенов О.П.</t>
  </si>
  <si>
    <t>МАУ ДО "ФОК в р.п.Шатки Нижегородской области.</t>
  </si>
  <si>
    <t>Шатки</t>
  </si>
  <si>
    <t>р.п. Шатки ул. Советская дом 25</t>
  </si>
  <si>
    <t>4-32-40</t>
  </si>
  <si>
    <t>atlant.ru@mail.ru</t>
  </si>
  <si>
    <t>МАУ ДО "ФОК в р.п.Шатки Нижегородской области"</t>
  </si>
  <si>
    <t>Соревнования среди смешанных команд предлагаю сделать не год в год , а девочки старше на два года мальчиков, тогда будет интересно играть и тем и тем, а когда год в год, мальчики играют а девочки стойте не мешайте</t>
  </si>
  <si>
    <t>ШСК ЖФ Девятка</t>
  </si>
  <si>
    <t>Энгельс</t>
  </si>
  <si>
    <t>Ул. Ломоносова 7а</t>
  </si>
  <si>
    <t>8 (8453) 74-50-56</t>
  </si>
  <si>
    <t>engschool-9@yandex.ru</t>
  </si>
  <si>
    <t>Общеобразовательная</t>
  </si>
  <si>
    <t>Бумарсков Алексей Игоревич категория - Е</t>
  </si>
  <si>
    <t>МБУДО  "Юринский центр по развитию физкультуры и спорта"</t>
  </si>
  <si>
    <t>Юрино</t>
  </si>
  <si>
    <t xml:space="preserve"> Центральный проспект 5</t>
  </si>
  <si>
    <t>yurino-d@yandex.ru</t>
  </si>
  <si>
    <t>МБУ ДО</t>
  </si>
  <si>
    <t>МАУ ДО "СШ "Аль" Янтиковского МО ЧР</t>
  </si>
  <si>
    <t>Янтиково</t>
  </si>
  <si>
    <t>Чувашская Республика Янтиковский район, с. Янтиково, пр.Ленина 22Б</t>
  </si>
  <si>
    <t>yan-duz@mail.ru</t>
  </si>
  <si>
    <t>Муниципальное бюджетное учреждение дополнительного образования "Спортивная школа "Асбест" Ясненского муниципального округа</t>
  </si>
  <si>
    <t>Ясненский муниципальный округ</t>
  </si>
  <si>
    <t>Оренбургская область, г. Ясный, ул. Ленина, д. 1</t>
  </si>
  <si>
    <t>8-353-6821868</t>
  </si>
  <si>
    <t>skasbest@yandex.ru</t>
  </si>
  <si>
    <t>Бондаренко Юрий Васильевич</t>
  </si>
  <si>
    <t>Очень мало соревновательной практики!</t>
  </si>
  <si>
    <t>Муниципальное автономное учреждение дополнительного образования города Апатиты Спортивная школа "Олимп"</t>
  </si>
  <si>
    <t>Северо-Запад и Санкт-Петербург</t>
  </si>
  <si>
    <t>Апатиты</t>
  </si>
  <si>
    <t>ул. Фестивальная, 10а</t>
  </si>
  <si>
    <t>8(81555)65610</t>
  </si>
  <si>
    <t>schoololympus@mail.ru</t>
  </si>
  <si>
    <t>Муниципальное автономное учреждение дополнительного образования спортивная школа "Юность" город Апатиты</t>
  </si>
  <si>
    <t>улица Ленина дом 34, город Апатиты, Мурманская область</t>
  </si>
  <si>
    <t>(81555)-66847</t>
  </si>
  <si>
    <t>ledovyi2015@yandex.ru</t>
  </si>
  <si>
    <t xml:space="preserve"> Тренер -преподаватель Владимир Саввич Зубков(без лицензии). Женский футбол мало кого интересует в г. Апатиты и Мурманской области целом. Было бы хорошо провести в Апатитах ФЕСТИВАЛЬ для девочек с приглашением профессиональных футболисток. Моя воспитанница Щербина София сейчас выступает за молодёжную команду  "СПАРТАК" г. Москва. Информацию подготовил В.С. Зубков(тел. 921 734 36 17), </t>
  </si>
  <si>
    <t>МБУ ДО СШ имени П.В. Усова</t>
  </si>
  <si>
    <t>Архангельская область</t>
  </si>
  <si>
    <t>Архангельск</t>
  </si>
  <si>
    <t>163062, г. Архангельск, ул. Никитова, д. 1</t>
  </si>
  <si>
    <t>uk0174@mail.ru</t>
  </si>
  <si>
    <t>Дитятева Екатерина Леонидовна</t>
  </si>
  <si>
    <t>отдельных групп девочек из-за незначительного спроса нет</t>
  </si>
  <si>
    <t>ДФК "Барсы"</t>
  </si>
  <si>
    <t>Гагарина 42</t>
  </si>
  <si>
    <t>r.evseeff@yandex.ru</t>
  </si>
  <si>
    <t>ДФК</t>
  </si>
  <si>
    <t>во всех</t>
  </si>
  <si>
    <t>Евсеев Р.Е</t>
  </si>
  <si>
    <t>Вернуть прежний формат проведения по футзалу</t>
  </si>
  <si>
    <t>ЖФК «Барсы»</t>
  </si>
  <si>
    <t>Ул. Гагарина 42</t>
  </si>
  <si>
    <t>s-polina84@mail.ru</t>
  </si>
  <si>
    <t>До 15 лет, До 17 лет, До 19 лет, Старше 18 лет</t>
  </si>
  <si>
    <t>ИГРАЙ-ПИНАЙ</t>
  </si>
  <si>
    <t>Архангельск и Новодвинск</t>
  </si>
  <si>
    <t>Юр. Адрес: г. Архангельск, пр. Обводный канал, д. 40, кВ. 92 (наши тренировки проходят на выездной основе)</t>
  </si>
  <si>
    <t>igraypinay@gmail.com</t>
  </si>
  <si>
    <t>ФСК</t>
  </si>
  <si>
    <t>МБУ ДО "Бежаницкий центр развития творчества детей и юношества"</t>
  </si>
  <si>
    <t>Псковская область</t>
  </si>
  <si>
    <t>Бежаницы</t>
  </si>
  <si>
    <t>ул.Советская, д.51</t>
  </si>
  <si>
    <t>org618@pskovedu.ru</t>
  </si>
  <si>
    <t>ЦРТДиЮ</t>
  </si>
  <si>
    <t>МОУ « Будогощская СОШ им. М. П. Галкина»</t>
  </si>
  <si>
    <t>Ленинградская область</t>
  </si>
  <si>
    <t xml:space="preserve">Будогощь </t>
  </si>
  <si>
    <t>Киришский район., пг Будогощь., ул. Учительская 6</t>
  </si>
  <si>
    <t>budogosch@kiredu.ru</t>
  </si>
  <si>
    <t>МОУ «Будогощская СОШ им. М.  П. Галкина»</t>
  </si>
  <si>
    <t>Ул. Учительская д6</t>
  </si>
  <si>
    <t>olga-polevova@yandex.ru</t>
  </si>
  <si>
    <t>Муниципальное бюджетное учреждение дополнительного образования "Спортивная школа г. Валдай"</t>
  </si>
  <si>
    <t>Новгородская область</t>
  </si>
  <si>
    <t>Валдай</t>
  </si>
  <si>
    <t>175400, Новгородская область, Валдайский округ, город Валдай, ул. Гагарина, зд. 42А</t>
  </si>
  <si>
    <t>8-816-66-2-02-39</t>
  </si>
  <si>
    <t>valday-sport@mail.ru</t>
  </si>
  <si>
    <t>ФГБОУ ВО "ВЛГАФК"</t>
  </si>
  <si>
    <t>Великие Луки</t>
  </si>
  <si>
    <t>г. Великие Луки пл. Юбилейная д.4</t>
  </si>
  <si>
    <t>rektorat@vlgafc.ru</t>
  </si>
  <si>
    <t>Примак И.С. В-УЕФА</t>
  </si>
  <si>
    <t>МАУ ДО "СШОР "Экспресс"</t>
  </si>
  <si>
    <t xml:space="preserve">Великие Луки </t>
  </si>
  <si>
    <t>182113 Псковская область г. ВЕликие Луки ул. Пушкина д. 12</t>
  </si>
  <si>
    <t>fkexpress@mail.ru</t>
  </si>
  <si>
    <t>Спортивная школа 2</t>
  </si>
  <si>
    <t xml:space="preserve">Великий Новгород </t>
  </si>
  <si>
    <t>Великий Новгород ул. Чудовская д. 7</t>
  </si>
  <si>
    <t>sdushor-2@bk.ru</t>
  </si>
  <si>
    <t>Школьный спортивный клуб "ОЛИМП-37"</t>
  </si>
  <si>
    <t>Ул.Озерная 13</t>
  </si>
  <si>
    <t>listovv4@gmail.com</t>
  </si>
  <si>
    <t>Листов В.В., Егоров А.Г.</t>
  </si>
  <si>
    <t>Проводить в области соревнования Школьной Лиги проекта "Футбол в школе".</t>
  </si>
  <si>
    <t xml:space="preserve">Муниципальное бюджетное учреждение дополнительного образования "Вельская спортивная школа" </t>
  </si>
  <si>
    <t>Вельск</t>
  </si>
  <si>
    <t>г.Вельск ул. Первого мая д.51</t>
  </si>
  <si>
    <t xml:space="preserve">dushvel@yandex.ru </t>
  </si>
  <si>
    <t xml:space="preserve">Соревнованиц практически не проводятся </t>
  </si>
  <si>
    <t>Автономная некоммерческая организация "ДРОЗД-Волхов"</t>
  </si>
  <si>
    <t>Волхов</t>
  </si>
  <si>
    <t>Ленинградская область, г. Волхов, ул. Льва Толстого, дом 7</t>
  </si>
  <si>
    <t>8-921-9-532-532</t>
  </si>
  <si>
    <t>drozdvolkhov@mail.ru</t>
  </si>
  <si>
    <t>Говди Михаил Иванович, Нерсесян Арсен Каренович</t>
  </si>
  <si>
    <t xml:space="preserve">Предложение: в этом году регламентом Первенства России по футзалу среди команд спортивных организаций внесены принципиальные изменения, касающиеся определения возрастных категорий участников. Если все предыдущие года возрастная категория определялась просто годом рождения, например: 2011-2012 года рождения, 2013-2014 года рождения и так далее. А теперь с сезона 2025/2026 возрастные категории определены иначе: теперь в соревнованиях среди девочек до 14 лет - могут играть дети, родившиеся с 01 июля 2012 года до 01 июля 2014 года. То есть согласно данным правилам дети, родившиеся в промежуток с 01 января по 30 июня 2012 года рождения не могут играть с 2012-2013 годом, а должны играть в категории девушек, родившихся с 01 июля 2010 года по 30 июня 2012 года - то есть против значительно более старших девочек. В силу чего многие девочки лишаются вообще возможности играть и получать необходимую игровую практику! Данные "нововведения" отрицательно восприняты всеми тренерами команд, играющих в Первенстве России по футзалу. Очень просим отменить данные "новшества" и вернуться к прежней системе проведения соревнований, где возрастные категории участников определяются просто принадлежностью к тому или иному году рождения. Спасибо! </t>
  </si>
  <si>
    <t>МБУДО "Всеволожская спортивная школа"</t>
  </si>
  <si>
    <t>Всвеволожск</t>
  </si>
  <si>
    <t>г Всеволожск ул Приютинская 13</t>
  </si>
  <si>
    <t>vsevsportscoole@yandex.ru</t>
  </si>
  <si>
    <t>ЖФК Футболика</t>
  </si>
  <si>
    <t>Всеволожск</t>
  </si>
  <si>
    <t>Кудрово, Европейский 3</t>
  </si>
  <si>
    <t>wfcfootbolika@yandex.ru</t>
  </si>
  <si>
    <t>Банатов Кирилл Алексеевич С-УЕФА</t>
  </si>
  <si>
    <t>Уважаемый футбольный союз!
Пишу от лица тренеров, родителей и, главное, девочек, которые только начинают свой путь в футболе.
Нам катастрофически не хватает соревновательной практики для возрастов 2018/17 и 2015/14.
У мальчиков в этих возрастах — чемпионаты, кубки, лиги, мини-турниры, товарищеские игры «каждые выходные и через выходные».
А у девочек?
Ну… максимум раз в несколько месяцев удаётся что-то найти. И это огромная проблема, потому что девочки хотят играть, растут, тренируются — а соревноваться не могут.
Просьба №1: расширить соревновательный календарь для младших девочек
Любой формат: мини-лиги, туры, фестивали, объединённые возраста — мы за всё.
Главное — чтобы девочки не теряли мотивацию и чувствовали, что их развитие кому-то, кроме их тренеров и родителей, тоже важно.
Просьба №2: пересмотреть допуск младших участниц в старшие возрастные категории
Очень просим доверять решению тренера и родителей, когда речь идёт о переходе в более старшую группу.
Наш пример:
Есть команда девочек 2015/14 года рождения. Мы были полностью готовы играть против девочек 2013/12:
– тренеры поддержали,
– родители поддержали,
– девочки сами хотели.
Но нам не разрешили.
Та же история — когда младшая девочка может усилить старшую команду, и все стороны согласны… но регламент — против.
Мы не просим нарушать безопасность или логику возрастов. Мы просим гибкости.
Мы все работаем ради одной цели — развития женского футбола.
И очень хотим, чтобы наши девочки получили тот же шанс, что и мальчики: играть, расти и всегда иметь соревнования по возрасту и уровню.
Спасибо, что услышали.
Готовы к диалогу, предложениям и совместной работе.</t>
  </si>
  <si>
    <t>СШ Ленинградец</t>
  </si>
  <si>
    <t>Гатчина</t>
  </si>
  <si>
    <t>Ленинградская область, г.Гатчина, пр. 25 Октября, д.10.</t>
  </si>
  <si>
    <t>8 (812) 679-94-45</t>
  </si>
  <si>
    <t>sport-leningradec@yandex.ru</t>
  </si>
  <si>
    <t>1. Андреев Николай Александрович (нет лицензии)
2. Гурьев Дмитрий Николаевич (С-УЕФА)
3. Гурьева Анна Сергеевна  (С-УЕФА)</t>
  </si>
  <si>
    <t>ФК ГМР</t>
  </si>
  <si>
    <t>Радищева 18</t>
  </si>
  <si>
    <t>ed_av1@mail.ru</t>
  </si>
  <si>
    <t>Женский клуб</t>
  </si>
  <si>
    <t>ВОЕНМЕХ</t>
  </si>
  <si>
    <t>Санкт-Петербург</t>
  </si>
  <si>
    <t xml:space="preserve">1-Красноармейская ул.д1 /21 </t>
  </si>
  <si>
    <t>sportclub@voenmeh.ru</t>
  </si>
  <si>
    <t>Кобелева С.В</t>
  </si>
  <si>
    <t xml:space="preserve">МБУ ДО "СШ" г. Гурьевск </t>
  </si>
  <si>
    <t>Гурьевск</t>
  </si>
  <si>
    <t>Калининградская область, г.Гурьевск, ул.Калининградское шоссе, 6</t>
  </si>
  <si>
    <t>sportygyr@yandex.ru</t>
  </si>
  <si>
    <t>Муниципальное автономное учреждение дополнительного образования «Спортивная школа города Гусева»</t>
  </si>
  <si>
    <t>Калининградская область</t>
  </si>
  <si>
    <t>Гусев</t>
  </si>
  <si>
    <t xml:space="preserve">238055, Россия, Калининградская обл., г. Гусев, ул. Красноармейская, д. 1 </t>
  </si>
  <si>
    <t>8 (401-43)33537</t>
  </si>
  <si>
    <t>sportgusev2014@mail.ru</t>
  </si>
  <si>
    <t>Казлаускене Н.В.</t>
  </si>
  <si>
    <t>ШСК МОУ СОШ ЛЦО</t>
  </si>
  <si>
    <t>Д. Лесколово</t>
  </si>
  <si>
    <t>ЛО, Всеволожский р-н, д. Лесколово, ул. Красногорская, д. 6</t>
  </si>
  <si>
    <t>leskl@vsevobr.ru</t>
  </si>
  <si>
    <t>МБУДО "Детско-юношеская спортивная школа"</t>
  </si>
  <si>
    <t>Дедовичи</t>
  </si>
  <si>
    <t>рп Дедовичи, пл. Советов, д.19</t>
  </si>
  <si>
    <t>org557@pskovedu.ru</t>
  </si>
  <si>
    <t>Кириллов Виталий Иванович</t>
  </si>
  <si>
    <t>Муниципальное бюджетное учреждение "Спортивная школа Усть-Вымского района"</t>
  </si>
  <si>
    <t>Республика Коми</t>
  </si>
  <si>
    <t>Жешарт, Айкино</t>
  </si>
  <si>
    <t>Республика Коми, Усть-Вымский район, с. Айкино, ул. Школьная 10 "а"</t>
  </si>
  <si>
    <t>sport-shool2016@yandex.ru</t>
  </si>
  <si>
    <t>Пушней Н.Д., Кызродев Р.Н., Матвеев С.Г.</t>
  </si>
  <si>
    <t>АО ФК Балтика</t>
  </si>
  <si>
    <t>Калининград</t>
  </si>
  <si>
    <t>г. Калининград, Ул. Дм. Донского, 2</t>
  </si>
  <si>
    <t>8(4012)21-65-01</t>
  </si>
  <si>
    <t>info@fc-baltika.ru</t>
  </si>
  <si>
    <t>ПФК</t>
  </si>
  <si>
    <t>Филатова Я.А, В-УЕФА</t>
  </si>
  <si>
    <t xml:space="preserve">МАУ ДО СШОР № 5 по футболу </t>
  </si>
  <si>
    <t>проспект Мира, 134</t>
  </si>
  <si>
    <t>moudodsport5@mail.ru</t>
  </si>
  <si>
    <t>Домрачев С.Н. - С-УЕФА; Иванов Г.А. - С-УЕФА</t>
  </si>
  <si>
    <t>Лучшие девочки в своих возрастах переходят тренироваться в АНО "Балтика" Калининград, где в командах принимают участие в соревнованиях ОФФ "Северо-Запад"</t>
  </si>
  <si>
    <t xml:space="preserve">АНО ДОСШ ФК "Балтика" </t>
  </si>
  <si>
    <t xml:space="preserve">Калининград </t>
  </si>
  <si>
    <t>236007,г.Калининград, ул. ДМ. Донского, 2</t>
  </si>
  <si>
    <t>School@fc-baltika.ru</t>
  </si>
  <si>
    <t>До 10 лет, До 17 лет, До 19 лет</t>
  </si>
  <si>
    <t>Постнова О.А.- С-УЕФА, Моисеенко О.А., В-УЕФА, Архипов Д.А., С-УЕФА, Ионов Д.С., В-УЕФА тренер вратарей</t>
  </si>
  <si>
    <t>АНО ФК «Альфа-09 Калининград»</t>
  </si>
  <si>
    <t>Калининград Мариупольская 4-2</t>
  </si>
  <si>
    <t>8-911-472-95-85</t>
  </si>
  <si>
    <t>wiho4ka@mail.ru</t>
  </si>
  <si>
    <t>Футбольный клуб</t>
  </si>
  <si>
    <t>Малиновская Н.А. С-УЕФА</t>
  </si>
  <si>
    <t>Дать возможность принимать участие в ЮФЛ нашей команде, сейчас такой возможности нет. Основная команда по мини-футболу в формате 7*7 в этом году стала серебряным призером, мужской команды у нас нет, но считаем, что нам необходимо предоставить данную возможность.</t>
  </si>
  <si>
    <t>Муниципальное автономное учреждение дополнительного образования "Спортивная школа" Кандалакшского муниципального округа</t>
  </si>
  <si>
    <t>Кандалакша</t>
  </si>
  <si>
    <t xml:space="preserve">Спекова 32 а </t>
  </si>
  <si>
    <t>kandasport51@yandex.ru</t>
  </si>
  <si>
    <t>В соревнованиях среди команд девочек мы не участвуем, добавляем девочек в команду мальчиков.</t>
  </si>
  <si>
    <t>Лопатюк Михаил Александрович
Рыжонков  Иван Андреевич
Матьола Денис Николаевич</t>
  </si>
  <si>
    <t>МБУ ДО Кемская СШ</t>
  </si>
  <si>
    <t>Республика Карелия</t>
  </si>
  <si>
    <t>Кемь</t>
  </si>
  <si>
    <t>Республика Карелия, г.Кемь, ул. Каменева, 20а</t>
  </si>
  <si>
    <t xml:space="preserve"> sportschool-kem@mail.ru</t>
  </si>
  <si>
    <t>Губар М.В., Югова С.Н.</t>
  </si>
  <si>
    <t>МБУ ДО Кировская СШ</t>
  </si>
  <si>
    <t>Кировск</t>
  </si>
  <si>
    <t>Советская д.1</t>
  </si>
  <si>
    <t>dushfootball-kirovsk@mail.ru</t>
  </si>
  <si>
    <t>МБОУ СОШ 7</t>
  </si>
  <si>
    <t>Корзуново</t>
  </si>
  <si>
    <t>Улица печенгская</t>
  </si>
  <si>
    <t>Vlad-ko08@yandex.ru</t>
  </si>
  <si>
    <t>До 10 лет, Соревновательной практики не достаточно по всем возрастам!!</t>
  </si>
  <si>
    <t>Костенко В.А.</t>
  </si>
  <si>
    <t>Хотелось бы больше соревнований и игровой практики</t>
  </si>
  <si>
    <t>МБУДО "КДЮСШ Корткерос"</t>
  </si>
  <si>
    <t>Корткерос</t>
  </si>
  <si>
    <t>с.Корткерос, ул.Советская д.157А</t>
  </si>
  <si>
    <t>sport.unior@mail.ru</t>
  </si>
  <si>
    <t>Бутикова О.И.
Зубец К.С.</t>
  </si>
  <si>
    <t>нет комментариев</t>
  </si>
  <si>
    <t>МУ ДО "Спортивная школа №1"</t>
  </si>
  <si>
    <t>Котлас</t>
  </si>
  <si>
    <t>Архангельская обл., г. Котлас, ул. 28 Невельской Дивизии, д. 1</t>
  </si>
  <si>
    <t>8(81837)2-58-12</t>
  </si>
  <si>
    <t>ksvdysh2016@yandex.ru</t>
  </si>
  <si>
    <t>Тулаев Р.В.; Хромов Ю.В.</t>
  </si>
  <si>
    <t xml:space="preserve">СПб ГБУ ДО СШ КРОНШТАДТСКОГО РАЙОНА </t>
  </si>
  <si>
    <t xml:space="preserve">Кронштадт </t>
  </si>
  <si>
    <t>КРОНШТАДТСКИЙ РАЙОН</t>
  </si>
  <si>
    <t>sensei1971vital@mail.ru</t>
  </si>
  <si>
    <t>МБОУ «Куньинская СОШ»</t>
  </si>
  <si>
    <t>Кунья</t>
  </si>
  <si>
    <t>Псковская область, Куньинский район, посёлок Кунья, улица Больничная, дом 9, индекс 182010</t>
  </si>
  <si>
    <t>2-13-38</t>
  </si>
  <si>
    <t>org76&amp;pskovedu.ru.</t>
  </si>
  <si>
    <t>Соревновательной практики достаточно, Только нам мало выделяют средств для участия в них</t>
  </si>
  <si>
    <t>Гринев Вячеслав Анатольевич, лицензии нет</t>
  </si>
  <si>
    <t>В нашем Центре Внешкольной Работы не ставят специализацию «Футбол», поэтому не выделяют средства и транспорт на товарищеские и официальные турниры по футболу, которых в области много - Псков, Великие Луки, Пустошка, Пушгоры, Порхов, Бежаницы, Невель, Остров, Чернево. От этого падает интерес к футболу в школе, мы отстаем в спортивном развитии от сверстников. Даются деньги только на «Локобол», «Кожаный мяч», «Футзал в школу», «Футбол в школу», «Кубок Анастасии» в Пустошке. В поселке только один автобус имеет лицензию на перевозку детей, автобус и водитель перегружены. На турниры в соседние Великие Луки (30 км) можем выезжать на рейсовых автобусах за свои средства. 
В поселке заброшен, не действует бывший поселковый стадион, нет большого поля. Спортплощадка около школы содержит небольшой стадион (30 на 50 метров), который содержится в порядке - неплохое травяное покрытие, ворота, сетки, заградительные сетки за воротами, беговые дорожки. Также есть футбольная коробка, построенная 15 лет назад - ворота с сетками в хорошей сохранности, оградительная сетка и борта тоже. Но покрытие выкрошилось, денег на новое покрытие не найти, бюджетом района они не выделяются. Мячей и формы достаточно.</t>
  </si>
  <si>
    <t>МОУ Лесколовский ЦО</t>
  </si>
  <si>
    <t>Лесколово</t>
  </si>
  <si>
    <t>Красноборская 6</t>
  </si>
  <si>
    <t>ok-big@mail.ru</t>
  </si>
  <si>
    <t>Хотелось бы сдать на категорию УЕФА</t>
  </si>
  <si>
    <t>МАУ ДО «Лодейнопольская СШ»</t>
  </si>
  <si>
    <t>Лодейное Поле</t>
  </si>
  <si>
    <t>Ленинградская Обл. Лодейнопольский р-н, г. Лодейное Поле Ул. Титова 45 к.1</t>
  </si>
  <si>
    <t>8-813-64-2-60-85</t>
  </si>
  <si>
    <t>lid.dush@mail.ru</t>
  </si>
  <si>
    <t>Гурьева А.С С-УЕФА</t>
  </si>
  <si>
    <t xml:space="preserve">Сложности набора девочек.Большая конкуренция с другими детскими организациями. Малая рождаемость. Вводим работу с садами. Работаем с группами совместно и с мальчиками и девочками. ( занятия 1 раз в неделю) Так-же предрассудки родителей « футбол-не для девочек» </t>
  </si>
  <si>
    <t>МОУ «Яльгелевский образовательный центр»</t>
  </si>
  <si>
    <t>Ломоносовский район</t>
  </si>
  <si>
    <t>Ленинградская область., Ломоносовский район., деревня Яльгелево дом 47</t>
  </si>
  <si>
    <t>yalg_sch@lmn.su</t>
  </si>
  <si>
    <t xml:space="preserve">Никитин Никита Анатольевич </t>
  </si>
  <si>
    <t>МОУ ДО «Лужская спортивная школа»</t>
  </si>
  <si>
    <t xml:space="preserve">Луга </t>
  </si>
  <si>
    <t>Ленинградская область, город Луга, проспект Володарского дом 1</t>
  </si>
  <si>
    <t>sport-shkola-luga@ya.ru</t>
  </si>
  <si>
    <t>Марусев И.С.</t>
  </si>
  <si>
    <t>МАУ ДО "Спортивная школа"</t>
  </si>
  <si>
    <t>Мончегорск</t>
  </si>
  <si>
    <t>ул. Нагорная д 17, пр Кирова д.3</t>
  </si>
  <si>
    <t>dush-3@yandex.ru</t>
  </si>
  <si>
    <t>В спортивной школе низкое финансирование спортивно-массовых мероприятий</t>
  </si>
  <si>
    <t>Академия футбольного мастерства "Арктика"</t>
  </si>
  <si>
    <t>Мурманск</t>
  </si>
  <si>
    <t>г. Мурманск, пр-кт Кольский, д. 53, пом. 23</t>
  </si>
  <si>
    <t>±79508955545</t>
  </si>
  <si>
    <t>afm. arctic. buh@gmail.com</t>
  </si>
  <si>
    <t xml:space="preserve">г. Мурманск, ул. Героев Рыбачьего, 8 </t>
  </si>
  <si>
    <t>*(8152)52-86-08</t>
  </si>
  <si>
    <t>football.migun@yandex.ru</t>
  </si>
  <si>
    <t xml:space="preserve">В таких маленьких городах как наш, спортивная поддержка ничтожная, соревнований очень мало как для мальчиков, так и для девочек, выхода на межрегиональные соревнований практически нет, а теперь с новыми возрастными ограничениями возможности участвовать в официальных соревнованиях закончилась. Теперь маленькие регионы могут закрывать футбольные отделения или уходить на коммерческие турниры. Просим принять во внимание отдаленные, маленькие регионы, мы хотим принимать участие в жизни футбола и просим не закрывать перед нами дверь. </t>
  </si>
  <si>
    <t>МБУ ДО г. Мурманска ДЮСШ № 10</t>
  </si>
  <si>
    <t>г. Мурманск, ул. Карла Либкнехта, дом 50</t>
  </si>
  <si>
    <t>8(8152)421889</t>
  </si>
  <si>
    <t xml:space="preserve">football.migun@yandex.ru </t>
  </si>
  <si>
    <t>ДЮЦ Лидер</t>
  </si>
  <si>
    <t>Ненецкий автономный округ</t>
  </si>
  <si>
    <t>Нарьян-Мар</t>
  </si>
  <si>
    <t>Ул. Выучейского 30</t>
  </si>
  <si>
    <t>igorluzgin69@yandex.ru</t>
  </si>
  <si>
    <t xml:space="preserve">Увеличить оплату работы тренера. </t>
  </si>
  <si>
    <t>Муниципальное бюджетное учреждение дополнительного образования "Детско-юношеская спортивная школа" г.Невеля Псковской области</t>
  </si>
  <si>
    <t>Невель</t>
  </si>
  <si>
    <t>Псковская область г.Невель ул.Урицкого д.36</t>
  </si>
  <si>
    <t>org537@pskovedu.ru</t>
  </si>
  <si>
    <t>Дмитриев А.Н.</t>
  </si>
  <si>
    <t>МБОУ ДО "СШ "Юность"</t>
  </si>
  <si>
    <t>Новый Свет, Гатчинский округ</t>
  </si>
  <si>
    <t>пос. Новый Свет, дом 82</t>
  </si>
  <si>
    <t>8(81371)68-638</t>
  </si>
  <si>
    <t>raisport_1973@mail.ru</t>
  </si>
  <si>
    <t>Кузьмин Р.С., Дебёлый В.А.</t>
  </si>
  <si>
    <t>Муниципальное бюджетное учреждение дополнительного образования  «Няндомская спортивная школа»</t>
  </si>
  <si>
    <t>Няндома</t>
  </si>
  <si>
    <t>164200, Архангельская область, г. Няндома, ул. Североморская, д. 7А</t>
  </si>
  <si>
    <t>ndussh29@yandex.ru</t>
  </si>
  <si>
    <t>Стрельцов Юрий Александрович</t>
  </si>
  <si>
    <t xml:space="preserve">МАУДО"Центр развития творчества детей и юношества г. Озерска" </t>
  </si>
  <si>
    <t>Озерск</t>
  </si>
  <si>
    <t>ул. Черняховского, 15</t>
  </si>
  <si>
    <t>duts5@mail.ru</t>
  </si>
  <si>
    <t>Владыевский А.В.</t>
  </si>
  <si>
    <t xml:space="preserve">МАУ ДО СШ "Олимп" </t>
  </si>
  <si>
    <t xml:space="preserve">Оленегорск </t>
  </si>
  <si>
    <t>Улица Строительная дом 47 корпус А</t>
  </si>
  <si>
    <t xml:space="preserve">Olimp-olen@yandex.ru </t>
  </si>
  <si>
    <t>МОУДО "Олонецкая ДЮСШ"</t>
  </si>
  <si>
    <t>Олонец</t>
  </si>
  <si>
    <t>РК Олонец Красноармейская 19</t>
  </si>
  <si>
    <t>sportolonets@mail.ru</t>
  </si>
  <si>
    <t>СПб ГБУ ДО СШОР "Невские звезды"</t>
  </si>
  <si>
    <t>Петергоф</t>
  </si>
  <si>
    <t>Петергоф, ул. Аврова д. 22</t>
  </si>
  <si>
    <t>8 (812)748-94-06</t>
  </si>
  <si>
    <t>sportotdel@starsspb.ru</t>
  </si>
  <si>
    <t>Кузнецова Марина Сергеевна</t>
  </si>
  <si>
    <t>МУ ДО "СШ-7"</t>
  </si>
  <si>
    <t>Петрозаводск</t>
  </si>
  <si>
    <t>пл. Кирова, д.2</t>
  </si>
  <si>
    <t>moydodush7@mail.ru</t>
  </si>
  <si>
    <t>До 12 лет, До 13 лет, До 15 лет, До 17 лет</t>
  </si>
  <si>
    <t>Григорьева А.И. С-УЕФА, Ершов С.В. С-УЕФА, Колышев С.К. С-УЕФА, Круглова К.Я.</t>
  </si>
  <si>
    <t>Подпорожская ДЮСШ ФК"Русич"</t>
  </si>
  <si>
    <t>Подпорожье</t>
  </si>
  <si>
    <t>г.Подпорожье ул.Красноармейская д.5</t>
  </si>
  <si>
    <t>8-(81365)-2-09-17</t>
  </si>
  <si>
    <t>pod.dyussh@yandex.ru</t>
  </si>
  <si>
    <t>МБО ДО ДЮСШ г. Полесска</t>
  </si>
  <si>
    <t>Полесск</t>
  </si>
  <si>
    <t>г. Полесск, ул. Калинингралская 38</t>
  </si>
  <si>
    <t>dysch.polessk@yandex.ru</t>
  </si>
  <si>
    <t>МБУДО "ДЮСШ г. Порхова"</t>
  </si>
  <si>
    <t>Порхов</t>
  </si>
  <si>
    <t>Псковская обл., г. Порхов, пер. Великолукский, л.13</t>
  </si>
  <si>
    <t>org550@pskovedu.ru</t>
  </si>
  <si>
    <t>МАУ ДО СШ "Вулкан"</t>
  </si>
  <si>
    <t>Правдинск</t>
  </si>
  <si>
    <t>238400, г. Правдинск, ул. Комсомольская, зд.34</t>
  </si>
  <si>
    <t>8 401-57 7 10 21</t>
  </si>
  <si>
    <t>dusch12@yandex.ru</t>
  </si>
  <si>
    <t>МБУ ДО СШ г.Правдинск</t>
  </si>
  <si>
    <t>238400, г. Правдинск, ул. Кутузова, д. 14</t>
  </si>
  <si>
    <t>Муниципальное бюджетное учреждение дополнительного образования "Спортивная школа по футболу "Стрела"</t>
  </si>
  <si>
    <t>Псков</t>
  </si>
  <si>
    <t>180025, г. Псков, ул. Байкова, 6</t>
  </si>
  <si>
    <t>fkstrela@yandex.ru</t>
  </si>
  <si>
    <t>Горобец Е.А.</t>
  </si>
  <si>
    <t>МБОУ"ЦО" Псковский педагогический комплекс"</t>
  </si>
  <si>
    <t>Г. Псков ул. Байкова д. 6</t>
  </si>
  <si>
    <t>orq21.pskovedu.ru</t>
  </si>
  <si>
    <t>Горобец Е. А.</t>
  </si>
  <si>
    <t>В школе нет базы для работы с детьми. Мало инвентаря и оборудования. Вообще нет даже стадиона.</t>
  </si>
  <si>
    <t>АНО ДО «Спортивная школа «ФК «Псков»</t>
  </si>
  <si>
    <t xml:space="preserve">Псков </t>
  </si>
  <si>
    <t>180004, г. Псков, ул. Яна Фабрициуса, д. 18</t>
  </si>
  <si>
    <t>(8112)669111</t>
  </si>
  <si>
    <t>clubpskov@fc-pskov.ru</t>
  </si>
  <si>
    <t>До 12 лет, До 13 лет, До 15 лет, До 17 лет, До 19 лет</t>
  </si>
  <si>
    <t>Колышева ЕМ - С-УЕФА, Колышев А.М.- С-УЕФА</t>
  </si>
  <si>
    <t>АНО ФК «Россиянка»</t>
  </si>
  <si>
    <t>Псковская область, Печорский район, деревня Ястребье, дом 7</t>
  </si>
  <si>
    <t>fk-rossiyanka@mail.ru</t>
  </si>
  <si>
    <t>ФК</t>
  </si>
  <si>
    <t>Казаченко Д.В С-УЕФА</t>
  </si>
  <si>
    <t>Муниципальное бюджетное учреждение дополнительного образования "Центр дополнительного образования для детей"</t>
  </si>
  <si>
    <t>Пустошка</t>
  </si>
  <si>
    <t>г.Пустошка ул.Октябрьская д.34-а</t>
  </si>
  <si>
    <t xml:space="preserve">org566@pskovedu.ru </t>
  </si>
  <si>
    <t xml:space="preserve">ЦДО </t>
  </si>
  <si>
    <t>Прохоров С.И., Сафронов А.М.</t>
  </si>
  <si>
    <t>ЖФК Царское Село</t>
  </si>
  <si>
    <t>Пушкин</t>
  </si>
  <si>
    <t>Шушары, тер. Славянка, ш. Колпинское д.40</t>
  </si>
  <si>
    <t>wfc@cs-pushkin.ru</t>
  </si>
  <si>
    <t xml:space="preserve">ЖФК </t>
  </si>
  <si>
    <t>Лущик Е.А. С-УЕФА</t>
  </si>
  <si>
    <t>МБУ ДО"Пыталовская ДЮСШ"</t>
  </si>
  <si>
    <t>Пыталово</t>
  </si>
  <si>
    <t>Белорусская, д. 18а</t>
  </si>
  <si>
    <t>8(81147) 2-10-30</t>
  </si>
  <si>
    <t xml:space="preserve">    org568@pskovedu.ru  </t>
  </si>
  <si>
    <t>МУДО "Ломоносовская СШ"</t>
  </si>
  <si>
    <t xml:space="preserve">Разбегаево </t>
  </si>
  <si>
    <t>д. Разбегаево, д. 61 А</t>
  </si>
  <si>
    <t>dush@lmn.su</t>
  </si>
  <si>
    <t>Пыжов С.И. С-УЕФА</t>
  </si>
  <si>
    <t>СПб ГБУ ДО СШОР по футболу "Зенит"</t>
  </si>
  <si>
    <t>Санк-Петербург</t>
  </si>
  <si>
    <t>пр. Металлистов, 28</t>
  </si>
  <si>
    <t>zenith-school@yandex.ru</t>
  </si>
  <si>
    <t>Семенова М.А. - С-УЕФА (футзал), Сузарева А.А. - нет</t>
  </si>
  <si>
    <t xml:space="preserve"> Государственное бюджетное учреждение дополнительного образования               спортивная школа олимпийского резерва «Лидер» Фрунзенского района   Санкт-Петербурга</t>
  </si>
  <si>
    <t xml:space="preserve">192236, Санкт-Петербург, ул. Софийская, д. 33, к. 1, литер А </t>
  </si>
  <si>
    <t xml:space="preserve">(812) 268-31-86  </t>
  </si>
  <si>
    <t xml:space="preserve">lider-sof33@mail.ru </t>
  </si>
  <si>
    <t>Великанова С.Г. -B-УЕФА, Аксентьев О.Е.-С-УЕФА</t>
  </si>
  <si>
    <t>АНО "Футбольный клуб "Коломяги"</t>
  </si>
  <si>
    <t>194214, Санкт-Петербург, Скобелевский пр. 5-83</t>
  </si>
  <si>
    <t>k-sport@mail.ru</t>
  </si>
  <si>
    <t>Арифуллин Д.А.</t>
  </si>
  <si>
    <t>СПб ГБУ ДО СШ "Локомотив"</t>
  </si>
  <si>
    <t>санкт-петербург</t>
  </si>
  <si>
    <t>194361, Санкт-Петербург, п. Левашово, ул. Первомайская, 37, литера А</t>
  </si>
  <si>
    <t>lokomotiv_spb@mail.ru</t>
  </si>
  <si>
    <t>Евграфов М. В. С-УЕФА
Константинов А.А. нет лицензии
Челебадзе М.И. С-УЕФА</t>
  </si>
  <si>
    <t>ГБУ «СПб ЦФКиС» (СШ "Кировец-Восхождение")</t>
  </si>
  <si>
    <t xml:space="preserve">198152, город Санкт-Петербург, Краснопутиловская ул., д. 2 литер а </t>
  </si>
  <si>
    <t>8 (812) 409-84-92</t>
  </si>
  <si>
    <t>tsfkis@sport.gugov.spb.ru</t>
  </si>
  <si>
    <t>Щечилин Д.С. С-УЕФА</t>
  </si>
  <si>
    <t>Региональная общественная организация по развитию физической культуры и спорта «Мини-футбольный клуб «АВРОРА»</t>
  </si>
  <si>
    <t>198188, г. Санкт-Петербург, ул. Васи Алексеева д. 9 к.1 лит. А офис 107</t>
  </si>
  <si>
    <t>roo_aurora@mail.ru</t>
  </si>
  <si>
    <t>МФК</t>
  </si>
  <si>
    <t>Николаева Анастасия Юрьевна-С-УЕФА,B-УЕФА
Хайрулин Юрий Эдикаевич-С-УЕФА</t>
  </si>
  <si>
    <t>ГБУ ДО СШОР Петродворцового района Санкт-Петербурга</t>
  </si>
  <si>
    <t>г. Петергоф, ул. Озерковая., д. 23а</t>
  </si>
  <si>
    <t>olimpus78@rambler.ru</t>
  </si>
  <si>
    <t>ГБУ ДО СШОР№ 2 Невского района</t>
  </si>
  <si>
    <t>г.Санкт-Петербург, ул. Подвойского д.31, корп.3</t>
  </si>
  <si>
    <t>+7(812)319-55-48</t>
  </si>
  <si>
    <t>nevasport2@mail.ru</t>
  </si>
  <si>
    <t>Прорвина С.А-  С-УЕФА
Соловьев А.В- С-УЕФА
Ахметова П.М- С-УЕФА
Митрофанова Е.В- С-УЕФА</t>
  </si>
  <si>
    <t>Центр физической культуры, спорта и здоровья Василеостровского района. ФК Нева.</t>
  </si>
  <si>
    <t>Малый проспект Васильевского острова, 66</t>
  </si>
  <si>
    <t>8 (812) 322-68-15</t>
  </si>
  <si>
    <t>cfkszvo@mail.ru</t>
  </si>
  <si>
    <t>АО ФК Зенит</t>
  </si>
  <si>
    <t>Профессора Попова 37щ</t>
  </si>
  <si>
    <t>office@fc-zenit.ru</t>
  </si>
  <si>
    <t>У всех есть различные лицензии от (B-UEFA) и выше</t>
  </si>
  <si>
    <t>СПбГУТ</t>
  </si>
  <si>
    <t>Россия, 193232, Санкт-Петербург, пр. Большевиков д.22, к.1</t>
  </si>
  <si>
    <t>rector@sut.ru</t>
  </si>
  <si>
    <t>Кристалл</t>
  </si>
  <si>
    <t>Санкт-Петербург, Гражданский пр-кт 100</t>
  </si>
  <si>
    <t>manager@kristall-fc.ru</t>
  </si>
  <si>
    <t>Соловьев А.В. С-УЕФА, Прорвина С.А. С-УЕФА</t>
  </si>
  <si>
    <t>АНО "ФК "ЗВЕЗДА"</t>
  </si>
  <si>
    <t>Санкт-Петербург, ул. Полевая Сабировская, д. 52</t>
  </si>
  <si>
    <t>+7 (966) 877-99-30</t>
  </si>
  <si>
    <t>fczvezda@t-vvk.ru</t>
  </si>
  <si>
    <t>Чернякова А.А. C-УЕФА</t>
  </si>
  <si>
    <t>"Центр физической культуры , спорта и здоровья Калининского района"</t>
  </si>
  <si>
    <t>Санкт-Петербург, ул.Натальи Грудининой 2, стр.1</t>
  </si>
  <si>
    <t>fok-sport@mail.ru</t>
  </si>
  <si>
    <t>ЦС</t>
  </si>
  <si>
    <t>Мы практически не участвуем в соревнованиях. У нас секция, в которой занимаются разновозрастные девочки.</t>
  </si>
  <si>
    <t xml:space="preserve">СПбГБУ Центр ФКСиЗ Центрального района </t>
  </si>
  <si>
    <t>СПб ул. Кирочная 50 литер А</t>
  </si>
  <si>
    <t>8(960)232-80-10</t>
  </si>
  <si>
    <t>fk@sport.gugov.spb.ru</t>
  </si>
  <si>
    <t xml:space="preserve">Центр спорта </t>
  </si>
  <si>
    <t xml:space="preserve">До 10 лет, До 12 лет, До 13 лет, До 15 лет, Хорошо было бы сделать турниры для любительских женских команд с 18 и старше </t>
  </si>
  <si>
    <t xml:space="preserve">Хотелось бы побольше турниров для девушек и женщин которые занимаются футболом в любительском формате. И что бы были не дорогие </t>
  </si>
  <si>
    <t>ЖФК Феникс</t>
  </si>
  <si>
    <t>ул. Ординарная, д.5</t>
  </si>
  <si>
    <t>Serstar@list.ru</t>
  </si>
  <si>
    <t>Старыгин С.В. (С)</t>
  </si>
  <si>
    <t>СПб РМОО "Спортивный клуб СПбГУ "Балтийские орланы"</t>
  </si>
  <si>
    <t>Университетская наб., 7-9</t>
  </si>
  <si>
    <t>sport.spbu@gmail.com</t>
  </si>
  <si>
    <t xml:space="preserve">ГБУ ДО СШ по футболу Пушкинского района Санкт-Петербурга </t>
  </si>
  <si>
    <t xml:space="preserve">Санкт-Петербург </t>
  </si>
  <si>
    <t>г. Павловск, ул. Госпитальная д. 24</t>
  </si>
  <si>
    <t>pushfootball@yandex.ru</t>
  </si>
  <si>
    <t>До 10 лет, До 12 лет, До 19 лет</t>
  </si>
  <si>
    <t>Рыженкова Т.В. С-УЕФА</t>
  </si>
  <si>
    <t xml:space="preserve">РГПУ им. А.И. Герцена </t>
  </si>
  <si>
    <t>Набережная реки Мойки д.48</t>
  </si>
  <si>
    <t>+7 (812) 312-44-92</t>
  </si>
  <si>
    <t>mail@herzen.spb.ru</t>
  </si>
  <si>
    <t xml:space="preserve">До 25 лет </t>
  </si>
  <si>
    <t>Любительская команда БУТСА</t>
  </si>
  <si>
    <t>СПб ГБ ПОУ «Малоохтинский колледж»</t>
  </si>
  <si>
    <t>Новочеркасский проспект, д. 12 корп.2</t>
  </si>
  <si>
    <t>(812) 246-91-20</t>
  </si>
  <si>
    <t>mplspb@yandex.ru</t>
  </si>
  <si>
    <t>Лобанова Анастасия Сергеевна</t>
  </si>
  <si>
    <t xml:space="preserve">Рассмотрите , пожалуйста, возможность организации и проведения региональных и всероссийских соревнований среди женских команд средних профессиональных учебных заведений. Мы убеждены , что почти в каждом регионе страны есть 2 и более женские футбольные команды в колледжах и техникумах , которым сложно достойно соревноваться с командами Вузов и получать путевки на всероссийские финалы футбольных проектов (Общероссийский дивизион, Футзал в ВУЗы). </t>
  </si>
  <si>
    <t>МФК Форсаж</t>
  </si>
  <si>
    <t>komnicole@gmail.com</t>
  </si>
  <si>
    <t>Государственное бюджетное учреждение «Санкт-Петербургский центр физической культуры и спорта»</t>
  </si>
  <si>
    <t>Санкт-Петербург, Ул. Краснопутиловская, д. 2, лит. А</t>
  </si>
  <si>
    <t>sekretar@cfkis.spbu.ru</t>
  </si>
  <si>
    <t>ЦФКиС</t>
  </si>
  <si>
    <t>Щечилин Д.А. - С-УЕФА</t>
  </si>
  <si>
    <t xml:space="preserve">ГАОУ ВО ДО ЛГУ им. А. С. Пушкина </t>
  </si>
  <si>
    <t>Санкт-Петербург, Пушкин</t>
  </si>
  <si>
    <t>Санкт-Петербург, Пушкин Петербургское шоссе д. 10</t>
  </si>
  <si>
    <t>pvetov1@yandex.ru</t>
  </si>
  <si>
    <t xml:space="preserve">Ветов Павел Николаевич </t>
  </si>
  <si>
    <t>МАУ ДО "СШ "Строитель"</t>
  </si>
  <si>
    <t>Северодвинск</t>
  </si>
  <si>
    <t>ул. Профсоюзная 25а</t>
  </si>
  <si>
    <t>8 (8184) 566433</t>
  </si>
  <si>
    <t>sport-stroitel@rambler.ru</t>
  </si>
  <si>
    <t>во всех категориях нет практики</t>
  </si>
  <si>
    <t>Дружков Н.Н., Дружков Д.Н.</t>
  </si>
  <si>
    <t>Дополнительных вопросов, комментариев и предложений нет</t>
  </si>
  <si>
    <t>МБУДО ДЮСШ -1</t>
  </si>
  <si>
    <t>Североморск</t>
  </si>
  <si>
    <t>Мурманская обл., г. Североморск, ул. Саши Ковалева, 4</t>
  </si>
  <si>
    <t>8 (815) 374-52-64</t>
  </si>
  <si>
    <t xml:space="preserve"> dusch-1@severomorsk-edu.ru</t>
  </si>
  <si>
    <t>МБУ ДО ЗАТО Г. СЕВЕРОМОРСК "ДЮСШ №3"</t>
  </si>
  <si>
    <t>Ул. Саши Ковалева 7</t>
  </si>
  <si>
    <t xml:space="preserve">sports-school3sever@yandex.ru </t>
  </si>
  <si>
    <t>мбоу сегежская спортивная школа</t>
  </si>
  <si>
    <t>Сегежа</t>
  </si>
  <si>
    <t>186420, Р. Карелия,г. Сегежа, ул. Мира, д.18</t>
  </si>
  <si>
    <t>com-nastart@yandex.ru</t>
  </si>
  <si>
    <t>Никитин Андрей Владимирович, Зайцева Ольга Римгаудас</t>
  </si>
  <si>
    <t>....</t>
  </si>
  <si>
    <t>ГБУ ДО СШОР имени Владимира Кореньковп</t>
  </si>
  <si>
    <t>Сестрорецк</t>
  </si>
  <si>
    <t>Пр.Красных Командиров 9</t>
  </si>
  <si>
    <t>4373816@mail.ru</t>
  </si>
  <si>
    <t>До 10 лет, До 13 лет, До 15 лет, До 17 лет, До 19 лет</t>
  </si>
  <si>
    <t>Парухин Олег Николаевич, В-УЕФА</t>
  </si>
  <si>
    <t>МАУ ЦПС ,,НИКА,,</t>
  </si>
  <si>
    <t>Сиверский</t>
  </si>
  <si>
    <t>Гатчинский округ, п. Сиверский ул. Заводская д.2</t>
  </si>
  <si>
    <t>aafe73@mail.ru</t>
  </si>
  <si>
    <t>ЦПС</t>
  </si>
  <si>
    <t>Нету</t>
  </si>
  <si>
    <t xml:space="preserve">Нету </t>
  </si>
  <si>
    <t>Муниципальное бюджетное учреждение дополнительного образования Сортавальского муниципального округа Спортивная школа</t>
  </si>
  <si>
    <t>Сортавала</t>
  </si>
  <si>
    <t>Респ. Карелия, г. Сортавала, пл. Кирова, 11</t>
  </si>
  <si>
    <t>sport-sort1@yandex.ru</t>
  </si>
  <si>
    <t>Сахатаров А.А.</t>
  </si>
  <si>
    <t>ДФК "Смена-ЛАЭС"</t>
  </si>
  <si>
    <t>Сосновый Бор</t>
  </si>
  <si>
    <t>д. Новое Калище, 16 А</t>
  </si>
  <si>
    <t>Belokurov-s@mail.ru</t>
  </si>
  <si>
    <t>МБУ ДО «СШОР г. Сосногорска»</t>
  </si>
  <si>
    <t>Сосногорск</t>
  </si>
  <si>
    <t xml:space="preserve">Республика Коми, г. Сосногорск, ул. Спортивная, д. 6 </t>
  </si>
  <si>
    <t>+7 (82149) 5-46-78</t>
  </si>
  <si>
    <t>1108013102@sport.rkomi.ru</t>
  </si>
  <si>
    <t>Куликов Д.В. С-УЕФА</t>
  </si>
  <si>
    <t>Государственное бюджетное учреждение дополнительного образования Республики Коми "Спортивная школа по футболу"</t>
  </si>
  <si>
    <t>Сыктывкар</t>
  </si>
  <si>
    <t>Школьная 13</t>
  </si>
  <si>
    <t>fschkomi@mail.ru</t>
  </si>
  <si>
    <t>Ьатаев А.Н. С-УЕФА</t>
  </si>
  <si>
    <t xml:space="preserve">Академия Новая генерация </t>
  </si>
  <si>
    <t xml:space="preserve">Сыктывкар </t>
  </si>
  <si>
    <t>РК, г. Сыктывкар, ул. Малышева, 6/1</t>
  </si>
  <si>
    <t>akademiya-ng@yandex.ru</t>
  </si>
  <si>
    <t>МУ "Тихвинский городской ФК" Кировец".</t>
  </si>
  <si>
    <t>Тихвин</t>
  </si>
  <si>
    <t>187553 Лен. область г. Тихвин ул. Пещёрка д. 1</t>
  </si>
  <si>
    <t>fckirovec@mail.ru</t>
  </si>
  <si>
    <t>Усанова Татьяна</t>
  </si>
  <si>
    <t>Муниципальное бюджетное образовательное учреждение дополнительного образования "Спортивная школа № 2"</t>
  </si>
  <si>
    <t>Ухта</t>
  </si>
  <si>
    <t>169300, Республика Коми, г. Ухта, ул. Сенюкова, д. 47/1</t>
  </si>
  <si>
    <t>8(8216)780203</t>
  </si>
  <si>
    <t>dyussh2uchta@mail.ru</t>
  </si>
  <si>
    <t>в учреждении нет группы девочек, поэтому этот вопрос не прпорабатывался</t>
  </si>
  <si>
    <t>Муниципальное автономное образовательное учреждение дополнительного образования "Детско-юношеская спортивная школа"</t>
  </si>
  <si>
    <t>Хвойная</t>
  </si>
  <si>
    <t>174580, Новгородская область, Хвойнинский округ, р.п. Хвойная, ул. Комсомольская, д. 30</t>
  </si>
  <si>
    <t>kfp205@mail.ru</t>
  </si>
  <si>
    <t>Трескунова Майя Александровна</t>
  </si>
  <si>
    <t>МАУ ДО "СШ г.Черняховска"</t>
  </si>
  <si>
    <t>Черняховск</t>
  </si>
  <si>
    <t>Калининградская область, г.Черняховск, ул.Калинина, 4</t>
  </si>
  <si>
    <t>instersport@yandex.ru</t>
  </si>
  <si>
    <t>Муниципальное бюджетное учреждение дополнительного образования "Абазинская спортивная школа"</t>
  </si>
  <si>
    <t>Сибирь</t>
  </si>
  <si>
    <t>Республика Хакасия</t>
  </si>
  <si>
    <t>Абаза</t>
  </si>
  <si>
    <t>Республика Хакасия, Абаза, Парковая улица, 4А</t>
  </si>
  <si>
    <t>abaza_sport@r-19.ru</t>
  </si>
  <si>
    <t>МБУДО г. Абакана"КСШ"</t>
  </si>
  <si>
    <t>Абакан</t>
  </si>
  <si>
    <t xml:space="preserve">Щетинкина 22а </t>
  </si>
  <si>
    <t>8 (953) 255-33-76</t>
  </si>
  <si>
    <t>hramcova_oi@mail.ru</t>
  </si>
  <si>
    <t>МБУ ДО СШ "Сибиряк"</t>
  </si>
  <si>
    <t>Кемеровская область — Кузбасс</t>
  </si>
  <si>
    <t>Анжеро-Судженск</t>
  </si>
  <si>
    <t>dyusshsibiryak@yandex.ru</t>
  </si>
  <si>
    <t>МАОУДО СШ №1 г.Асино Томской области</t>
  </si>
  <si>
    <t>Томская область</t>
  </si>
  <si>
    <t>Асино</t>
  </si>
  <si>
    <t>636840,Томская область, г.Асино, ул.Советская,27</t>
  </si>
  <si>
    <t>dyussh-1@asino.gov70.ru</t>
  </si>
  <si>
    <t>Корнев И.В.</t>
  </si>
  <si>
    <t>МАОУ ДО Спортивная школа #1 города Асино</t>
  </si>
  <si>
    <t xml:space="preserve">Асино </t>
  </si>
  <si>
    <t>Улица Советская 42</t>
  </si>
  <si>
    <t>ivan.kornev.2023@mail.ru</t>
  </si>
  <si>
    <t>МБУ ДО "СШ "ЦИВС"</t>
  </si>
  <si>
    <t>Ачинск</t>
  </si>
  <si>
    <t>Ачинск, ул. Кравченко, 30</t>
  </si>
  <si>
    <t>cf_achinsk@mail.ru</t>
  </si>
  <si>
    <t>Шаломов Н.А.</t>
  </si>
  <si>
    <t>Футбольная школа Атлетик г.Ачинск</t>
  </si>
  <si>
    <t xml:space="preserve">Ачинск </t>
  </si>
  <si>
    <t>Г.Ачинск ул.Дружбы народов 14</t>
  </si>
  <si>
    <t>+7 (933) 200-91-60</t>
  </si>
  <si>
    <t>lexx3515@gmail.com</t>
  </si>
  <si>
    <t xml:space="preserve">Проводить соревнования среди девочек до 8,9,10 лет в регионе </t>
  </si>
  <si>
    <t xml:space="preserve">МБУ ДО "ДЮСШ" </t>
  </si>
  <si>
    <t>Балей</t>
  </si>
  <si>
    <t>673450, Забайкальский край, г. Балей, ул. Ведерникова, 8</t>
  </si>
  <si>
    <t>sportdush77@mail.ru</t>
  </si>
  <si>
    <t>Тихоньких Геннадий Леонидович</t>
  </si>
  <si>
    <t>СШ#7</t>
  </si>
  <si>
    <t>Барнаул</t>
  </si>
  <si>
    <t>40лет Октября2 -136</t>
  </si>
  <si>
    <t>club217168695@yandex.ru</t>
  </si>
  <si>
    <t>Муниципальное автономное учреждение дополнительного образования "Спортивная школа "Полиммер"</t>
  </si>
  <si>
    <t>Алтайский край</t>
  </si>
  <si>
    <t>Барнаул, улица Малахова 177 Б</t>
  </si>
  <si>
    <t>fc.polimer@mail.ru</t>
  </si>
  <si>
    <t>МАУ ДО "Спортивная школа № 7"</t>
  </si>
  <si>
    <t>ул. Юрина, 197</t>
  </si>
  <si>
    <t>8-385-255-31-96</t>
  </si>
  <si>
    <t>sshkola7@yandex.ru</t>
  </si>
  <si>
    <t>В соответствии с 152-ФЗ "О персональных данных" сведения предоставить невозможно.</t>
  </si>
  <si>
    <t>КГБУ ДО "СШОР по футболу А.Смертина"</t>
  </si>
  <si>
    <t>ул.Энтузиастов 12 в</t>
  </si>
  <si>
    <t>8 (3852) 47-43-42</t>
  </si>
  <si>
    <t>shkola_smert@mail.ru</t>
  </si>
  <si>
    <t>Жбанникова Оксана Николаевна В-УЕФА, Булавин Евгений Викторович С-УЕФА, Кукавицин Константин Вадимович С-УЕФА</t>
  </si>
  <si>
    <t>Необходимы семинары и конференции по женскому футболу от Академии РФС. Необходима дополнительная поддержка от РФС в виде инвентаря и экипировки для команд девочек.</t>
  </si>
  <si>
    <t>МБУ ДО «СШ «Бердск»</t>
  </si>
  <si>
    <t xml:space="preserve">Бердск </t>
  </si>
  <si>
    <t>Линейная,3</t>
  </si>
  <si>
    <t>dyussh-berdsk@yandex.ru</t>
  </si>
  <si>
    <t>МКУ ДО "СШ"</t>
  </si>
  <si>
    <t>Бея</t>
  </si>
  <si>
    <t>Ул. Площадь Советов, 20 А</t>
  </si>
  <si>
    <t>sportbeya@mail.ru</t>
  </si>
  <si>
    <t>МБУ ДО "Спортивная школа №2"</t>
  </si>
  <si>
    <t>Бийск</t>
  </si>
  <si>
    <t>Алтайский край, г. Бийск, ул. Ленина 149/1</t>
  </si>
  <si>
    <t>8 (3854)329422</t>
  </si>
  <si>
    <t>ssport2@mail.ru</t>
  </si>
  <si>
    <t>Дремов Д.Е., лицензии УЕФА нет</t>
  </si>
  <si>
    <t>МБУ ДО "СШ" г. Боготола</t>
  </si>
  <si>
    <t xml:space="preserve">Боготол </t>
  </si>
  <si>
    <t>662060: Красноярский край, г. Боготол, ул. Комсомолькая зд.28</t>
  </si>
  <si>
    <t>8(39157)2-47-74</t>
  </si>
  <si>
    <t>bogotol.sport@yandex.ru</t>
  </si>
  <si>
    <t>Иркутская область</t>
  </si>
  <si>
    <t>АНО Футбольный Клуб "Импульс Кузбасс"</t>
  </si>
  <si>
    <t xml:space="preserve">Весь Кузбасс </t>
  </si>
  <si>
    <t>Г. Кемерово, б-р Кедровый, 4-40</t>
  </si>
  <si>
    <t>Impuls-kuzbass@yandex.ru</t>
  </si>
  <si>
    <t xml:space="preserve">Бахтина К.А B-УЕФА, Пеняжин В.И.С-УЕФА, Миронов Д.И. - С-УЕФА, Мамедов Т.Д. С-УЕФА, Пименов С.А. В-УЕФА, Новицкий А.А. С-УЕФА, Чекменев Р.С. - С-УЕФА </t>
  </si>
  <si>
    <t xml:space="preserve">Выделить финансирование за каждую занимающуюся девочку в размере 2000 рублей. </t>
  </si>
  <si>
    <t>МБУ ДО "СШОР г. Гусиноозерска"</t>
  </si>
  <si>
    <t>Республика Бурятия</t>
  </si>
  <si>
    <t>Гусиноозёрск</t>
  </si>
  <si>
    <t>Ренспублика Бурятия Селенгинский район, г. Гусиноозерск, ул. Комсомольская 2б</t>
  </si>
  <si>
    <t>shor.gus@yandex.ru</t>
  </si>
  <si>
    <t>МБУ ДО "СШОР Г.Гусиноозерска"</t>
  </si>
  <si>
    <t>г.Гусиноозерск ул.Гагарина корпус 4 дом 5</t>
  </si>
  <si>
    <t>Selengassh@selruo.ru</t>
  </si>
  <si>
    <t>До 10 лет, До 12 лет, До 17 лет, До 19 лет</t>
  </si>
  <si>
    <t xml:space="preserve">МБУ ДО СШ "Смена" </t>
  </si>
  <si>
    <t>Железногрск</t>
  </si>
  <si>
    <t>Красноярский края , ЗАТО г. Железногрск ул. Ленина 48а</t>
  </si>
  <si>
    <t>+7(3919)76-49-76</t>
  </si>
  <si>
    <t>smena-game@mail.ru</t>
  </si>
  <si>
    <t>Ларионов С.В.   Бессонов М.С.</t>
  </si>
  <si>
    <t>Спортивная школа города Зимы</t>
  </si>
  <si>
    <t>Зима</t>
  </si>
  <si>
    <t>Садовая 1</t>
  </si>
  <si>
    <t>8(3952)43-55-73</t>
  </si>
  <si>
    <t>sport.zima@mail.ru</t>
  </si>
  <si>
    <t>До 10 лет, До 12 лет, До 13 лет, Очень мало серевнований</t>
  </si>
  <si>
    <t>Очень мало соревнований в нашем регионе среди девочек, просьба содействию!!!</t>
  </si>
  <si>
    <t>ОГКУ ДО СШ по футболу "Байкал"</t>
  </si>
  <si>
    <t>Иркутск</t>
  </si>
  <si>
    <t>г. Иркутск, ул. Боткина,1</t>
  </si>
  <si>
    <t>+7(3952) 604785</t>
  </si>
  <si>
    <t>fsio.irk@yandex.ru</t>
  </si>
  <si>
    <t>Надежкина С.Н. С-УЕФА, Фатин И.В. С-УЕФА, Хликова Е.Д. С-УЕФА, Суров В.В.</t>
  </si>
  <si>
    <t>МБОУ ДО ДЮСШ г Искитима Новосибирской области</t>
  </si>
  <si>
    <t>Искитим</t>
  </si>
  <si>
    <t>633204 г. Искитим Новосибирская область м-р Подгорный 46Б</t>
  </si>
  <si>
    <t>dushisk@mail.ru</t>
  </si>
  <si>
    <t>МБУ ДО Каргатская ДЮСШ "Атлант"</t>
  </si>
  <si>
    <t>Каргат</t>
  </si>
  <si>
    <t>Новосибирская область, город Каргат, улица Советская 118 а</t>
  </si>
  <si>
    <t>dusc_karg@edu54</t>
  </si>
  <si>
    <t>МАУДО "СШОР по футболу"</t>
  </si>
  <si>
    <t>Кемерово</t>
  </si>
  <si>
    <t>пр.Кузнецкий, 2</t>
  </si>
  <si>
    <t>futball@bk.ru</t>
  </si>
  <si>
    <t>Кузнецова И.М. С-УЕФА</t>
  </si>
  <si>
    <t>Для сохранения старшей женской команды необходима финансовая помощь РФС в плане софинансирования при проведении официальных турниров (первая Лига, вторая Лига)</t>
  </si>
  <si>
    <t>муниципальное бюджетное учреждение дополнительного образования "Спортивная школа"</t>
  </si>
  <si>
    <t>Киселевский городской округ</t>
  </si>
  <si>
    <t>г.Киселевск, ул.Советская, 1</t>
  </si>
  <si>
    <t>dushkisl@bk.ru</t>
  </si>
  <si>
    <t>Белов Михаил Юрьевич</t>
  </si>
  <si>
    <t>Муниципальное казённое образовательное учреждение дополнительного образования  «Кожевниковская спортивная школа имени Николая Ивановича Вакурина»</t>
  </si>
  <si>
    <t>Кожевниково</t>
  </si>
  <si>
    <t>636161, Томская обл., с. Кожевниково, пер. Совхозный  2 А</t>
  </si>
  <si>
    <t>(8-38-244) 23-122</t>
  </si>
  <si>
    <t>osipovdv@kozhevnikovo.gov70.ru</t>
  </si>
  <si>
    <t xml:space="preserve">МАУ ДО Колпашевская СШ им.О. Рахматулиной </t>
  </si>
  <si>
    <t xml:space="preserve">Колпашево </t>
  </si>
  <si>
    <t>Ул Ленина 52</t>
  </si>
  <si>
    <t>boriskuncev254@gmail.com</t>
  </si>
  <si>
    <t>МАУДО "СШОР "Рассвет"</t>
  </si>
  <si>
    <t>Красноярск</t>
  </si>
  <si>
    <t>Высотная 2л, стр.1</t>
  </si>
  <si>
    <t>(8-391) 202-20-12</t>
  </si>
  <si>
    <t>rassvet-sport24@yandex.ru</t>
  </si>
  <si>
    <t>КГАУ ДО СШОР по футболу "Енисей"</t>
  </si>
  <si>
    <t>г. Красноярск, 660055, ул. Новгородская 5, стр.7</t>
  </si>
  <si>
    <t>osp@dfc-enisey.ru</t>
  </si>
  <si>
    <t>Капустина О.Е. А УЕФА-элитный юношеский, Бргушевич К.В. В-УЕФА, Карху А.В. С-УЕФА, Шавкунов В.Н. С-УЕФА, Лукьяненко Т.Л. С-УЕФА, Веретнов И.Н. С-УЕФА</t>
  </si>
  <si>
    <t>АНО ФК "Енисей"</t>
  </si>
  <si>
    <t>ул. Новгородская 5 стр 7</t>
  </si>
  <si>
    <t>an22089@yandex.ru</t>
  </si>
  <si>
    <t>Алексеев Е.В- B-YEФА Баранов А.В- A--YEФА</t>
  </si>
  <si>
    <t xml:space="preserve">Юниор </t>
  </si>
  <si>
    <t xml:space="preserve">Красноярск </t>
  </si>
  <si>
    <t>Партизана Железняка 9г</t>
  </si>
  <si>
    <t>junior.24@yandex.ru</t>
  </si>
  <si>
    <t xml:space="preserve">МУ ДО "ДЮСШ Красночикойского района" </t>
  </si>
  <si>
    <t>Красный Чикой</t>
  </si>
  <si>
    <t>Красночикойский район с. Красный Чикой, ул. Советская, 69б</t>
  </si>
  <si>
    <t>DUSH.CHIKOY@yandex.ru</t>
  </si>
  <si>
    <t>Муниципальное бюджетное учреждение дополнительного образования Куйтунская районная детская юношеская спортивная школа</t>
  </si>
  <si>
    <t>Куйтун</t>
  </si>
  <si>
    <t>665302, Иркутская область, Куйтунский район, р.п. Куйтун, ул. Карла Маркса, 36А</t>
  </si>
  <si>
    <t>sportkn@mail.ru</t>
  </si>
  <si>
    <t>АНО СК "Кызыл"</t>
  </si>
  <si>
    <t>Республика Тыва</t>
  </si>
  <si>
    <t>Кызыл</t>
  </si>
  <si>
    <t>Калинина 2в</t>
  </si>
  <si>
    <t>fc_kyzyl@mail.ru</t>
  </si>
  <si>
    <t>Частный клуб</t>
  </si>
  <si>
    <t>Наконечный А. В. С-УЕФА, Сенников В. В. С-УЕФА</t>
  </si>
  <si>
    <t>Автономная некоммерческая организация Детско-юношеский футбольный клуб "Ирбис"</t>
  </si>
  <si>
    <t>ул.Бай-Хаакская 8 - 98</t>
  </si>
  <si>
    <t>fk_irbisport@mail.ru</t>
  </si>
  <si>
    <t>Детско-юношеский футбольный клуб</t>
  </si>
  <si>
    <t>ГБУ ДО РТ СШОР БАРУН-ХЕМЧИКСКОГО РАЙОНА</t>
  </si>
  <si>
    <t>Кызыл-Мажалык</t>
  </si>
  <si>
    <t>Республика Тыва, с. Кызыл-Мажалык ул. Чадамба д.22</t>
  </si>
  <si>
    <t>dyussh.barum@mail.ru</t>
  </si>
  <si>
    <t>МАУ ДО " Кяхтинская спортивная школа "</t>
  </si>
  <si>
    <t xml:space="preserve">Кяхта </t>
  </si>
  <si>
    <t>Кяхтинский район, г. Кяхта ,ул Ленина 48А</t>
  </si>
  <si>
    <t>kyahta.dussh@mail.ru</t>
  </si>
  <si>
    <t>МБУДО СШ</t>
  </si>
  <si>
    <t>Ленинск-Кузнецкий</t>
  </si>
  <si>
    <t>пл.Мазикина 6</t>
  </si>
  <si>
    <t>sh1-lk@yandex.ru</t>
  </si>
  <si>
    <t>Побольше массового футбола среди команд девочек в регионе</t>
  </si>
  <si>
    <t>Муниципальное бюджетное учреждение дополнительного образования "Центр физического воспитания"</t>
  </si>
  <si>
    <t>Ленинск-Кузнецкий муниципальный округ</t>
  </si>
  <si>
    <t>652590 Кемеровская область-Кузбасс, Ленинск-Кузнецкий муниципальный округ, п. Демьяновка, ул. Чкаова, домовладение 7, помещение 14</t>
  </si>
  <si>
    <t>8 (384 56) 6-83-38</t>
  </si>
  <si>
    <t>demsport2000@mail.ru</t>
  </si>
  <si>
    <t>Центр физического воспитания"</t>
  </si>
  <si>
    <t>Заглядин Д.П.,Терещенко А.И., Верчук А.Д.</t>
  </si>
  <si>
    <t>Нашей организации необходимо укрепление материально-технической базы, увеличение количества ставок тренеров-преподавателей и повышение их квалификации</t>
  </si>
  <si>
    <t>МБУ ДО "Спортивная школа № 1"</t>
  </si>
  <si>
    <t>Лесосибирск</t>
  </si>
  <si>
    <t>г. Лесосибирск, ул. Победы, 31</t>
  </si>
  <si>
    <t>8-39145-6-24-96</t>
  </si>
  <si>
    <t>dyss1@mail.ru</t>
  </si>
  <si>
    <t>МБУДО "СШ по футболу"</t>
  </si>
  <si>
    <t>Междуреченск</t>
  </si>
  <si>
    <t>50 лет Комсомола 23-46</t>
  </si>
  <si>
    <t xml:space="preserve">8 38475 4-21-36 </t>
  </si>
  <si>
    <t>futbool-94@mail.ru</t>
  </si>
  <si>
    <t>Бутковский Р.В. С-УЕФА</t>
  </si>
  <si>
    <t>МБУ ДО "СШОР им.В.П.Щедрухина"</t>
  </si>
  <si>
    <t>Минусинск</t>
  </si>
  <si>
    <t>ул.Свердлова, 105</t>
  </si>
  <si>
    <t>dussh.minus@mail.ru</t>
  </si>
  <si>
    <t>в спортивной школе нет команд девочек, нет возможности оценить данный вопрос</t>
  </si>
  <si>
    <t>ГБУ ДО РТ СШ ЭРЗИНСКОГО КОЖУУНА</t>
  </si>
  <si>
    <t>Морен</t>
  </si>
  <si>
    <t>Д.Данил 28</t>
  </si>
  <si>
    <t>mbou2014@mail.ru</t>
  </si>
  <si>
    <t>МАУ ДО "СШ"</t>
  </si>
  <si>
    <t>Назарово</t>
  </si>
  <si>
    <t>Гуськова 4</t>
  </si>
  <si>
    <t>8(39155)7-15-25</t>
  </si>
  <si>
    <t>DYSH-2nazarovo@mail.ru</t>
  </si>
  <si>
    <t xml:space="preserve">Мбу до ДЮСШ Назаровского района </t>
  </si>
  <si>
    <t xml:space="preserve">Назарово </t>
  </si>
  <si>
    <t>662217, Красноярский край, Назаровский район, п. Степной, ул. 30 лет ВЛКСМ, д. 44</t>
  </si>
  <si>
    <t>8 (39155) 7-17-71</t>
  </si>
  <si>
    <t>dushNR@yandex.ru</t>
  </si>
  <si>
    <t>Забайкальский край</t>
  </si>
  <si>
    <t>Муниципальное бюджетное учреждение дополнительного образования "Детско-юношеская спортивная школа "Темп"</t>
  </si>
  <si>
    <t>Нижний Ингаш</t>
  </si>
  <si>
    <t>663850 Красноярский край, Нижнеингашский район, п. Нижний Ингаш, ул. Красная площадь, д. 24 "а"</t>
  </si>
  <si>
    <t>sporttempingash@mail.ru</t>
  </si>
  <si>
    <t>Сш Ннр</t>
  </si>
  <si>
    <t>Николаевка</t>
  </si>
  <si>
    <t>С.  Гальбштадте</t>
  </si>
  <si>
    <t>malek1812@mail.ru</t>
  </si>
  <si>
    <t>МАУ ДО "СШ по футболу "Металлург"</t>
  </si>
  <si>
    <t>Новокузнецк</t>
  </si>
  <si>
    <t>г.Новокузнецк, пр. Советской Армии, 48А</t>
  </si>
  <si>
    <t>metallurg-zapsib@mail.ru</t>
  </si>
  <si>
    <t>МБУ ДО "СШ по футболу"</t>
  </si>
  <si>
    <t>Новосибирск</t>
  </si>
  <si>
    <t>630033, Новосибирская область, город Новосибирск, ул. Аникина, дом 2</t>
  </si>
  <si>
    <t>+7 (383) 305-42-38</t>
  </si>
  <si>
    <t>football_2009@mail.ru</t>
  </si>
  <si>
    <t>Метла А. П. С-УЕФА</t>
  </si>
  <si>
    <t>МБУДО "СШ "Энергия"</t>
  </si>
  <si>
    <t>г. Новосибирск, ул.Часовая, д. 2</t>
  </si>
  <si>
    <t>8(383)264-20-40</t>
  </si>
  <si>
    <t>sh_energiya@mail.ru</t>
  </si>
  <si>
    <t xml:space="preserve">Исаева М.Н. С-УЕФА, Миненко М.Н. </t>
  </si>
  <si>
    <t>АНО ДО "Федерация Развития Футбола"</t>
  </si>
  <si>
    <t>ул. Шевченко, 29А</t>
  </si>
  <si>
    <t>anofrf@gmail.com</t>
  </si>
  <si>
    <t>нет отдельных групп девочек</t>
  </si>
  <si>
    <t>Автономная некоммерческая организация "Футбольный клуб "Сибирь"</t>
  </si>
  <si>
    <t>Новосибрск</t>
  </si>
  <si>
    <t>630099, г. Новосибирск, ул. Советская, д 33, 3 этаж</t>
  </si>
  <si>
    <t>(383)211-13-09</t>
  </si>
  <si>
    <t>fc@nso.ru</t>
  </si>
  <si>
    <t>Метла А.П. С-УЕФА, Исаева М.Н. С-УЕФА, Мартемьянова А.П. С-УЕФА</t>
  </si>
  <si>
    <t>Муниципальное бюджетное образовательное учреждение дополнительного образования Ордынского района Новосибирской области "Ордынская детско-юношеская спортивная школа"</t>
  </si>
  <si>
    <t>Ордынское</t>
  </si>
  <si>
    <t>Новосибирская обл., Ордынский р-н, рп Ордынское, Байдуги пер, дом 48</t>
  </si>
  <si>
    <t>(838)359 35101</t>
  </si>
  <si>
    <t xml:space="preserve"> dyush_ord@edu54.ru</t>
  </si>
  <si>
    <t>МБОУ ДО "Первомайская спортивная школ"а</t>
  </si>
  <si>
    <t>Первомайское</t>
  </si>
  <si>
    <t>636930 с.Первомайское ,Томская область, Первомайский район</t>
  </si>
  <si>
    <t>838-245-2-15-88</t>
  </si>
  <si>
    <t>75 sport@mail.ru</t>
  </si>
  <si>
    <t>Муниципальное автономное учреждение дополнительного образования "Спортивная школа № 1"</t>
  </si>
  <si>
    <t>Прокопьевск</t>
  </si>
  <si>
    <t>Прокопьевский г.о, г.Прокопьевск, ул.Институтская, зд.21</t>
  </si>
  <si>
    <t>dush_1_prk@mail.ru</t>
  </si>
  <si>
    <t xml:space="preserve">Увеличить количество соревнований межрегиональных среди девочек от 10 до 14 лет. </t>
  </si>
  <si>
    <t xml:space="preserve">МБУ ДО "Ребрихинская СШ" </t>
  </si>
  <si>
    <t>Ребриха</t>
  </si>
  <si>
    <t>с. Ребриха, ул. Партизанская 68</t>
  </si>
  <si>
    <t>rebriha.dyssh@mail.ru</t>
  </si>
  <si>
    <t>МБУ ДО "СШ "Рубцовск"</t>
  </si>
  <si>
    <t>Рубцовск</t>
  </si>
  <si>
    <t>ул.Калинина,21</t>
  </si>
  <si>
    <t>8 (38557)77334</t>
  </si>
  <si>
    <t>dush_rubtsovsk@mail.ru</t>
  </si>
  <si>
    <t>МУДО ,,Сретенская ДЮСШ"</t>
  </si>
  <si>
    <t>Сретенск</t>
  </si>
  <si>
    <t>Забайкальский край,г.Сретенск ул. Балябина 14</t>
  </si>
  <si>
    <t>sretdush@mail.ru</t>
  </si>
  <si>
    <t>Мбудо "Спортивная школа" г. о. Стрежквой</t>
  </si>
  <si>
    <t>Стрежевой</t>
  </si>
  <si>
    <t>209а</t>
  </si>
  <si>
    <t>8(38259)53046</t>
  </si>
  <si>
    <t>dussh-str@yandex.ru</t>
  </si>
  <si>
    <t xml:space="preserve">Юниор Спорт </t>
  </si>
  <si>
    <t>Ханты-Мансийский автономный округ — Югра</t>
  </si>
  <si>
    <t xml:space="preserve">Сургут </t>
  </si>
  <si>
    <t>Энергетиков, 47</t>
  </si>
  <si>
    <t>(3462)965096</t>
  </si>
  <si>
    <t>cfr_juniorsport@mail.ru</t>
  </si>
  <si>
    <t xml:space="preserve">Центр физического развития </t>
  </si>
  <si>
    <t>МБУ ДО СШ СУХОБУЗИМСКОГО РАЙОНА</t>
  </si>
  <si>
    <t>Сухобузимское</t>
  </si>
  <si>
    <t>с.Сухобузимское.ул.Комсомольская 16</t>
  </si>
  <si>
    <t>dush_suhob@mail.ru</t>
  </si>
  <si>
    <t>Трофимов А.Н</t>
  </si>
  <si>
    <t>Муниципальное бюджетное учреждение дополнительного образования «Спортивная школа Таштыпского района Республики Хакасия»</t>
  </si>
  <si>
    <t>Таштып</t>
  </si>
  <si>
    <t>РХ, Таштыпский район, с. Таштып, ул. Луначарского, д12а</t>
  </si>
  <si>
    <t>8(39046) 2-10-76, 8(39046) 2-10-77</t>
  </si>
  <si>
    <t>sh-sport@r-19.ru</t>
  </si>
  <si>
    <t>девочек мало, чтобы проводить соревнования</t>
  </si>
  <si>
    <t>Бозыков С.М., Кулумаев С.В.</t>
  </si>
  <si>
    <t>МУ ДО Тисульская ДЮСШ</t>
  </si>
  <si>
    <t>Тисуль</t>
  </si>
  <si>
    <t>Кемеровская область, Тисульский район, пгт Тисуль, ул. Фрунзе, д.11</t>
  </si>
  <si>
    <t>8(38447)2-14-30</t>
  </si>
  <si>
    <t xml:space="preserve"> tisdush@yandex.ru</t>
  </si>
  <si>
    <t>МАУ ДО СШ № 17</t>
  </si>
  <si>
    <t>Томск</t>
  </si>
  <si>
    <t>ул. 5-ой Армии, 15 стр. 1</t>
  </si>
  <si>
    <t>8(3822) 462296</t>
  </si>
  <si>
    <t>st-vosxod@mail.ru</t>
  </si>
  <si>
    <t>Кисляков И.М. С-УЕФА</t>
  </si>
  <si>
    <t>МАУ ДО СШ "Кедр"</t>
  </si>
  <si>
    <t>ул. Владимира Высоцкого, 7</t>
  </si>
  <si>
    <t>8 (3822) 64 62 33</t>
  </si>
  <si>
    <t>vip7otd@mail.ru</t>
  </si>
  <si>
    <t xml:space="preserve">ЖФК Тигрицы </t>
  </si>
  <si>
    <t xml:space="preserve">Томск </t>
  </si>
  <si>
    <t>Г. Томск ул. Фрунзе 240а строение 23</t>
  </si>
  <si>
    <t>Casp999@mail.ru</t>
  </si>
  <si>
    <t xml:space="preserve">Детская футбольная школа </t>
  </si>
  <si>
    <t>Танкель Евгений Георгиевич С-УЕФА</t>
  </si>
  <si>
    <t>МАУ ДО "Спортивная школа№6" г. Улан-Удэ</t>
  </si>
  <si>
    <t>Улан-Удэ</t>
  </si>
  <si>
    <t>г. Улан-Удэ, ул. Трубачеева 24</t>
  </si>
  <si>
    <t>dush6_uu@mail.ru</t>
  </si>
  <si>
    <t>До 10 лет, До 12 лет, До 13 лет, До 15 лет, в принципе их недостаточно</t>
  </si>
  <si>
    <t>Рыбакова А.Д - С-УЕФА, Власова Е.В, Атутов А.П, Федосеенко В.С</t>
  </si>
  <si>
    <t>Включите команду нашей школы в список участников соревнований ЮФЛ-ДЕВУШКИ до 16 лет, пожалуйста)</t>
  </si>
  <si>
    <t xml:space="preserve">Улу-Юльская СОШ </t>
  </si>
  <si>
    <t xml:space="preserve">Улу-Юл </t>
  </si>
  <si>
    <t>П. Улу-Юл, ул. Советская 18</t>
  </si>
  <si>
    <t>ulschool@pervomaisky.gov70.ru</t>
  </si>
  <si>
    <t>Муниципальное бюджетное учреждение дополнительного образования "Спортивная школа №7" городского округа "Город Чита"</t>
  </si>
  <si>
    <t>Чита</t>
  </si>
  <si>
    <t>5 мкр, д.4</t>
  </si>
  <si>
    <t>sport7.chita@mail.ru</t>
  </si>
  <si>
    <t>Государственное автономное учреждение дополнительного образования «Спортивная школа по футболу» Забайкальского края</t>
  </si>
  <si>
    <t>г. Чита, ул. Генерала Белика, д. 33</t>
  </si>
  <si>
    <t>chita.2006@mail.ru</t>
  </si>
  <si>
    <t>Доценко Татьяна Владимировна</t>
  </si>
  <si>
    <t>ГУ ДО ЗКСШ «Олимпиец»</t>
  </si>
  <si>
    <t>Чита, Ул Ленинградская д 106</t>
  </si>
  <si>
    <t>(8-3022)32-01-27</t>
  </si>
  <si>
    <t>Olimp-chita@yandex.ru</t>
  </si>
  <si>
    <t xml:space="preserve">Муниципальное бюджетное учреждение дополнительного образования Спортивная школа 5  городского округа Город Чита </t>
  </si>
  <si>
    <t xml:space="preserve">Чита </t>
  </si>
  <si>
    <t>672027 Забайкальский край , город Чита улица Токмакова 1, пом. пом 2</t>
  </si>
  <si>
    <t>8(3022) 31-09-64</t>
  </si>
  <si>
    <t>dyussh.5chita@yanbex.ru</t>
  </si>
  <si>
    <t xml:space="preserve">Козелкова ЕН С-УЕФА
Казанов КВ - С- УЕФА
Борисов ЛЕ - С- УЕФА 
Векварт ВФ - на обучении </t>
  </si>
  <si>
    <t xml:space="preserve">Ждём поддержки для участия в новом сезоне команды девочек от нашего региона Забайкальский край на ЮФЛ девочки ( до 14 лет ) </t>
  </si>
  <si>
    <t>Муниципальное бюджетное учреждение дополнительного образования "Спортивная школа г. Шарыпово"</t>
  </si>
  <si>
    <t>Шарыпово</t>
  </si>
  <si>
    <t>Красноярский край, город Шарыпово, проспект Энергетиков , здание 7</t>
  </si>
  <si>
    <t>8(39153)23-3-95</t>
  </si>
  <si>
    <t>dussh.sh@yandex.ru</t>
  </si>
  <si>
    <t>Шелаболихинская спортивная школа</t>
  </si>
  <si>
    <t>Шелаболиза</t>
  </si>
  <si>
    <t>659059 Алтайский край Шелаболихинский район Шелаболиха ул. Солнечная, 17</t>
  </si>
  <si>
    <t>8(385)58000000</t>
  </si>
  <si>
    <t xml:space="preserve">   shelsport@mail.ru</t>
  </si>
  <si>
    <t>МБУ ДО "ДЮСШ" ЮМО</t>
  </si>
  <si>
    <t>Юрга 2</t>
  </si>
  <si>
    <t>п.ст.Юрга 2, ул. Школьная,16</t>
  </si>
  <si>
    <t>8(384)5160994</t>
  </si>
  <si>
    <t>duschoolvvv@mail.ru</t>
  </si>
  <si>
    <t>МБУ ДО "ЯУСЦ"</t>
  </si>
  <si>
    <t>Ясногорск</t>
  </si>
  <si>
    <t>Забайкальский край Оловяннинский муниципальный округ п. Ясногорск ул Строителей 12</t>
  </si>
  <si>
    <t>as_logvinenko@mail.ru</t>
  </si>
  <si>
    <t>Дополнительное образование</t>
  </si>
  <si>
    <t>Логвиненко А. С.</t>
  </si>
  <si>
    <t>МАУ СШ Муниципального р-на Уфимский р-он РБ</t>
  </si>
  <si>
    <t>Урал и Западная Сибирь</t>
  </si>
  <si>
    <t>Республика Башкортостан</t>
  </si>
  <si>
    <t>Авдон</t>
  </si>
  <si>
    <t>Ул. 60 лет СССР дом 2</t>
  </si>
  <si>
    <t>8-347-246-58-73</t>
  </si>
  <si>
    <t>ufimsportschool@ya.ru</t>
  </si>
  <si>
    <t>ВВ Рыжков</t>
  </si>
  <si>
    <t xml:space="preserve">ДЮСШ </t>
  </si>
  <si>
    <t xml:space="preserve">Аргаяш </t>
  </si>
  <si>
    <t>Ленина 3</t>
  </si>
  <si>
    <t>sport@argayash.ru</t>
  </si>
  <si>
    <t>Кутлухужин 
Сайфуллин
Манапов</t>
  </si>
  <si>
    <t xml:space="preserve">Бесплатные Турниры среди ДЮСШ </t>
  </si>
  <si>
    <t>МБУ ФОЦ Сигнал</t>
  </si>
  <si>
    <t>Свердловская область</t>
  </si>
  <si>
    <t>Артёмовский</t>
  </si>
  <si>
    <t>улица Пригородная, 2 б</t>
  </si>
  <si>
    <t>cignal2012@mail.ru</t>
  </si>
  <si>
    <t>Физкультурно-оздоровительный центр</t>
  </si>
  <si>
    <t>Федоров В. Б.  С-УЕФА</t>
  </si>
  <si>
    <t>МБУСШ "Малахит" Асбестовского Мо</t>
  </si>
  <si>
    <t>Асбест</t>
  </si>
  <si>
    <t>г. Асбест, ул. Некрасова, 23</t>
  </si>
  <si>
    <t>(34365)2-02-79</t>
  </si>
  <si>
    <t>sportmalahit@yandex.ru</t>
  </si>
  <si>
    <t>МКУ "СШ по футболу Металлург" АМР</t>
  </si>
  <si>
    <t>Челябинская область</t>
  </si>
  <si>
    <t>Аша</t>
  </si>
  <si>
    <t>г.Аша, ул.Ленина, 6</t>
  </si>
  <si>
    <t>dush-metallurg@mail.ru</t>
  </si>
  <si>
    <t>Григорьева А.И.С-УЕФА</t>
  </si>
  <si>
    <t>МКУ ДО "ДЮСШ"</t>
  </si>
  <si>
    <t>Брединский МР</t>
  </si>
  <si>
    <t>457310, Челябинская область, район Брединский, п.Бреды, Черемушки, дом 16</t>
  </si>
  <si>
    <t>8(908)0420506</t>
  </si>
  <si>
    <t>sport.skola.17@mail.ru</t>
  </si>
  <si>
    <t>Смоляков Максим Владимирович</t>
  </si>
  <si>
    <t>Муниципальное казенное учреждение дополнительного образования "Детско-юношеская спортивная школа им. Ловчикова Н.В." Варненского муниципального района</t>
  </si>
  <si>
    <t>Варна</t>
  </si>
  <si>
    <t>457200, Челябинская область, с. Варна, ул. Советская д. 127</t>
  </si>
  <si>
    <t>8(35142)2-27-79</t>
  </si>
  <si>
    <t>duchvarna@mail.ru</t>
  </si>
  <si>
    <t>Муниципальное казенное учреждение дополнительного образования «Детско – юношеская спортивная школа» Верхнеуральского района</t>
  </si>
  <si>
    <t>Верхнеуральск</t>
  </si>
  <si>
    <t>Челябинская область, Верхнеуральск, Розы Люксембург, 26</t>
  </si>
  <si>
    <t>+7(351)432-27-76</t>
  </si>
  <si>
    <t>nti-58@mail.ru</t>
  </si>
  <si>
    <t>СА Кузьмин</t>
  </si>
  <si>
    <t>МАУ ДО "СШОР "Лидер"</t>
  </si>
  <si>
    <t>Верхняя Пышма (Свердловская область)</t>
  </si>
  <si>
    <t>Свердловская область, г.Верхняя Пышма, с.Балтым, ул. Первомайская, 50А</t>
  </si>
  <si>
    <t>8 (34368) 7-71-52</t>
  </si>
  <si>
    <t>lidervp74@mail.ru</t>
  </si>
  <si>
    <t>Коршунов Н.М., Павлов П.В.</t>
  </si>
  <si>
    <t>Муниципальное учреждение дополнительного образования "Спортивная школа муниципального образования Алапаевское"</t>
  </si>
  <si>
    <t>Верхняя Синячиха</t>
  </si>
  <si>
    <t>624691 Свердловская область, Алапаевский район, пгт. Верхняя Синячиха, ул. Октябрьская, д.17А, корп. 1.</t>
  </si>
  <si>
    <t>ar_dussh@mail.ru</t>
  </si>
  <si>
    <t>В спортивной школе нет команд девочек для участия в соревнованиях</t>
  </si>
  <si>
    <t>СКК Горняк</t>
  </si>
  <si>
    <t>Вишневогорск</t>
  </si>
  <si>
    <t>Каслинский район, п. Вишневогорск, ул. Клубная дом 8</t>
  </si>
  <si>
    <t>Vaganov10491@mail.ru</t>
  </si>
  <si>
    <t>Спортивный клуб</t>
  </si>
  <si>
    <t>В.В. Ваганов</t>
  </si>
  <si>
    <t>Муниципальное бюджетное учреждение дополнительного образования «Глядянская детско-юношеская спортивная школа»</t>
  </si>
  <si>
    <t>Курганская область</t>
  </si>
  <si>
    <t xml:space="preserve">Глядянское </t>
  </si>
  <si>
    <t>641400 Курганская область Притобольный район Глядянское улица Спортивная Д.14</t>
  </si>
  <si>
    <t>glyadyanka.sport@mail.ru</t>
  </si>
  <si>
    <t xml:space="preserve">Нет финансирования для приобретения Спорт инвентарь , нет качественного футбольного поля, зарплата тренеров совместителей не дотягивает до 10000 руб. </t>
  </si>
  <si>
    <t>МБОУ ДО СШ по футболу ВИЗ</t>
  </si>
  <si>
    <t>Екатеринбург</t>
  </si>
  <si>
    <t>г.Екатеринбург, ул.Опалихинская 23а</t>
  </si>
  <si>
    <t>mf-school-viz@mail.ru</t>
  </si>
  <si>
    <t>Шарунова О.А. "С" УЕФА, Булатова Е.А. "С" УЕФА</t>
  </si>
  <si>
    <t>МБОУ ДО СШ "Буревестник"</t>
  </si>
  <si>
    <t>620137, г. Екатеринбург, ул. Академическая, дом 10</t>
  </si>
  <si>
    <t>8 (343) 317-93-95</t>
  </si>
  <si>
    <t>burevestnik@ekadm.ru</t>
  </si>
  <si>
    <t>ЖФК "Юма"</t>
  </si>
  <si>
    <t>г. Екатеринбург, ул. Мичурина, 206</t>
  </si>
  <si>
    <t>sta070380@gmail.com</t>
  </si>
  <si>
    <t xml:space="preserve">Кротов Дмитрий </t>
  </si>
  <si>
    <t>ГАУ ДО СО СШ "Академия ФК "Урал"</t>
  </si>
  <si>
    <t>г.Екатеринбург, ул. Фестивальная, 10</t>
  </si>
  <si>
    <t>Urfaso@yandex.ru</t>
  </si>
  <si>
    <t>Засыпкин Н.А С-УЕФА, Жижова А.С. В_УЕФА</t>
  </si>
  <si>
    <t>УГЛТУ</t>
  </si>
  <si>
    <t>Сибирский тракт 37</t>
  </si>
  <si>
    <t>shirinyansv@m.usfeu.ru</t>
  </si>
  <si>
    <t>Чермашенцев П.В.</t>
  </si>
  <si>
    <t>ЖФК ЦСКА-Екатеринбург</t>
  </si>
  <si>
    <t>Ул. Кузнечная 91а</t>
  </si>
  <si>
    <t>prosto_efimych@mail.ru</t>
  </si>
  <si>
    <t>Коммерческая школа</t>
  </si>
  <si>
    <t>Ефимова К.А. С-УЕФА</t>
  </si>
  <si>
    <t xml:space="preserve">ЖМФК ЦСКА-Екатеринбург </t>
  </si>
  <si>
    <t xml:space="preserve">Ул. Кузнечная 91а </t>
  </si>
  <si>
    <t>wfc_cska_ekb@mail.ru</t>
  </si>
  <si>
    <t>футбольный клуб</t>
  </si>
  <si>
    <t>К.А. Ефимова</t>
  </si>
  <si>
    <t>Дюк Атлант</t>
  </si>
  <si>
    <t>Ул., стачек 21</t>
  </si>
  <si>
    <t>koytov10@mail.ru</t>
  </si>
  <si>
    <t>Дюк</t>
  </si>
  <si>
    <t>Койтов Геннадий Андреевич 
Куртий Милена Спартаковна</t>
  </si>
  <si>
    <t>ЖФК Файтерс</t>
  </si>
  <si>
    <t>Фрезеровщиков 84А</t>
  </si>
  <si>
    <t>irinavergunova.8@gmail.com</t>
  </si>
  <si>
    <t>И.В. Вергунова, Т.М. Нигамаджанова</t>
  </si>
  <si>
    <t>МБОУ ДО СШ по футболу «Урал»</t>
  </si>
  <si>
    <t xml:space="preserve">Екатеринбург </t>
  </si>
  <si>
    <t>Бакинских Комиссаров,6</t>
  </si>
  <si>
    <t>ural_football@mail.ru</t>
  </si>
  <si>
    <t>Молочкова М.М С-УЕФА</t>
  </si>
  <si>
    <t xml:space="preserve">ДЮЦ Межшкольный стадион </t>
  </si>
  <si>
    <t>Денисова Уральского 3а</t>
  </si>
  <si>
    <t>interschoolstadium@mail.ru</t>
  </si>
  <si>
    <t xml:space="preserve">ДЮЦ </t>
  </si>
  <si>
    <t>ФГБОУ ВО Уральский институт ГПС МЧС России</t>
  </si>
  <si>
    <t>Екатеринбург, мира, 22</t>
  </si>
  <si>
    <t xml:space="preserve">+73433608001 приёмная начальника института </t>
  </si>
  <si>
    <t>uigps@uigps.ru</t>
  </si>
  <si>
    <t xml:space="preserve">Институт </t>
  </si>
  <si>
    <t xml:space="preserve">Маркеев К. С. </t>
  </si>
  <si>
    <t xml:space="preserve">ФК УЛЬТРА </t>
  </si>
  <si>
    <t>Пер. Красный 13а</t>
  </si>
  <si>
    <t>polyakov.sergei83@mail.ru</t>
  </si>
  <si>
    <t>МАОУ гимназия 176</t>
  </si>
  <si>
    <t>Ул.Рассветная 9</t>
  </si>
  <si>
    <t>+7 (343) 347-27-97</t>
  </si>
  <si>
    <t>gimnaziya176@eduekb.ru</t>
  </si>
  <si>
    <t>МАОУ</t>
  </si>
  <si>
    <t>Тутынин С.Д.</t>
  </si>
  <si>
    <t>АНО Женская школа футбола</t>
  </si>
  <si>
    <t>Готвальда, 11</t>
  </si>
  <si>
    <t>dizkris@yandex.ru</t>
  </si>
  <si>
    <t>К.Л. Сегень, С-УЕФА</t>
  </si>
  <si>
    <t>МБУ ДО "Детско-юношеская спортивная школа"</t>
  </si>
  <si>
    <t>Еткульский р-н</t>
  </si>
  <si>
    <t>Челябинская область Еткульский район, с.Еткуль ул. Ленина д.48 п.5</t>
  </si>
  <si>
    <t>etkuldyussh@mail.ru</t>
  </si>
  <si>
    <t>А,А. Мезенцев</t>
  </si>
  <si>
    <t>СШ №7 Таганай</t>
  </si>
  <si>
    <t>Златоуст</t>
  </si>
  <si>
    <t>ул. Мира 9А</t>
  </si>
  <si>
    <t>diussh7@yandex.ru</t>
  </si>
  <si>
    <t>Давлетшин В.М. 1 категория</t>
  </si>
  <si>
    <t>МАОУ ДО "Ирбитская спортивная школа"</t>
  </si>
  <si>
    <t>Ирбит</t>
  </si>
  <si>
    <t>Азева 12а</t>
  </si>
  <si>
    <t>irbitsporthkola@rambler.ru</t>
  </si>
  <si>
    <t>Силкин Владимир Георгиевич</t>
  </si>
  <si>
    <t>Муниципальное бюджетное учреждение дополнительного образования Детско-юношеская спортивная школа муниципального района Калтасинский район Республики Башкортостан</t>
  </si>
  <si>
    <t>Калтасы</t>
  </si>
  <si>
    <t>РБ, Калтасинский район, с.Калтасы, ул.Тельмана, 11А</t>
  </si>
  <si>
    <t>dushka-sport@mail.ru</t>
  </si>
  <si>
    <t>МАУДО СШОР</t>
  </si>
  <si>
    <t>Каменск-Уральский</t>
  </si>
  <si>
    <t>ул.Кунавина,16</t>
  </si>
  <si>
    <t>sduschor_ku@mail.ru</t>
  </si>
  <si>
    <t>Очень не хватает методических семинаров на местах, хотя бы в Екатеринбурге последний был на базе МФК Синары в 2024 году по теме футзала, а по футболу уже и не помню, лет 6 назад обучали на категорию Д и после этого упразднили Д, на С перестали обучать в Екатеринбурге и ближайшие центры Новосибирск и Казань.
Но на самом деле хотелось бы каждый год на разные темы обучающие семинары на местах в маленьких городах типа Каменска, Шадринска, Ревды и др...</t>
  </si>
  <si>
    <t>ДЮСШ Кармаскалы</t>
  </si>
  <si>
    <t>Кармаскалы</t>
  </si>
  <si>
    <t>Кирова 54Б</t>
  </si>
  <si>
    <t>8-34765-2-12-17</t>
  </si>
  <si>
    <t>dysh25karm@yandex.ru</t>
  </si>
  <si>
    <t>Ф.Г. Рамазанов, Султакаев З.Х.</t>
  </si>
  <si>
    <t>МУ ДО СШ "Олимп"</t>
  </si>
  <si>
    <t>Качканар</t>
  </si>
  <si>
    <t>4 мкр, 62</t>
  </si>
  <si>
    <t>+7 (34341) 3-43-82</t>
  </si>
  <si>
    <t>olimp1977@yandex.ru</t>
  </si>
  <si>
    <t>Сидоров Д.В.</t>
  </si>
  <si>
    <t>МБУ ДО "СШ № 4"</t>
  </si>
  <si>
    <t>Копейск</t>
  </si>
  <si>
    <t>456655, Россия, Челябинская область, г. Копейск, ул.19 Партсъезда,1,</t>
  </si>
  <si>
    <t>kopdysh4@yandex.ru</t>
  </si>
  <si>
    <t>МБУ ДО СШ "Маяк"</t>
  </si>
  <si>
    <t>Краснотурьинск</t>
  </si>
  <si>
    <t>Свердловская обл, г. Краснотурьинск, ул. Чкалова, д. 20</t>
  </si>
  <si>
    <t>8(343)8448242</t>
  </si>
  <si>
    <t>d.mayak2010@yandex.ru</t>
  </si>
  <si>
    <t xml:space="preserve">не участвуют команды девочек </t>
  </si>
  <si>
    <t xml:space="preserve"> МБОУ "Гимназия №31"</t>
  </si>
  <si>
    <t>Курган</t>
  </si>
  <si>
    <t>640018, Курганская область, г. Курган, ул. Пичугина, дом 36</t>
  </si>
  <si>
    <t>+7 (352) 235283  +7 (352) 235185</t>
  </si>
  <si>
    <t>gymnasium31@mail.ru</t>
  </si>
  <si>
    <t>Чугунова Т.А., МС</t>
  </si>
  <si>
    <t>РЖД лицей №5</t>
  </si>
  <si>
    <t>Курган ул. Карбышева д. 56</t>
  </si>
  <si>
    <t>8(3522)436200</t>
  </si>
  <si>
    <t>inrernat17.mihailova@yandex.ru</t>
  </si>
  <si>
    <t>Лицей</t>
  </si>
  <si>
    <t>-----</t>
  </si>
  <si>
    <t>МБОУ г. Кургана " Лицей 12"</t>
  </si>
  <si>
    <t>улица Кравченко, 28</t>
  </si>
  <si>
    <t>rojina1967@mail.ru</t>
  </si>
  <si>
    <t>Е.С. Рожина</t>
  </si>
  <si>
    <t>МБУДО "ДЮСШ № 3"</t>
  </si>
  <si>
    <t>улица Тимофея Невежина, д. 7</t>
  </si>
  <si>
    <t>+ 7 (3522)-65-17-88</t>
  </si>
  <si>
    <t>dussh3-kgn@mail.ru</t>
  </si>
  <si>
    <t>МБОУ " СОШ №44"</t>
  </si>
  <si>
    <t>Ул. Бородина , д. 41</t>
  </si>
  <si>
    <t>+7(3522) 25-03-49</t>
  </si>
  <si>
    <t>school-44-kurgan@yandex.ru</t>
  </si>
  <si>
    <t>Горбачевская Оксана Олеговна</t>
  </si>
  <si>
    <t xml:space="preserve">Дополнительное количество тренеров нужно. </t>
  </si>
  <si>
    <t>Куртамышское СУВУ</t>
  </si>
  <si>
    <t>Куртамыш</t>
  </si>
  <si>
    <t>641430, Курганская обл., г. Куртамыш, ул. Строителей, 19</t>
  </si>
  <si>
    <t>+7(35249)2-13-04</t>
  </si>
  <si>
    <t>kurtspu@mail.ru</t>
  </si>
  <si>
    <t xml:space="preserve">Специальное учебно-воспитательная организация закрытого типа </t>
  </si>
  <si>
    <t>МОУ ДО ДЮСШ "Академия футбола"</t>
  </si>
  <si>
    <t>Кыштым</t>
  </si>
  <si>
    <t>Челябинская область, г.Кыштым, ул.Малышева, 60</t>
  </si>
  <si>
    <t>football@edu.kyshtym.org</t>
  </si>
  <si>
    <t>Во всех категориях недостаточно соревновательной практики, так как недостаточно команд девочек</t>
  </si>
  <si>
    <t>Макуров Михаил Сергеевич</t>
  </si>
  <si>
    <t>МБУ ДО СШ ГО г. Нефтекамск РБ</t>
  </si>
  <si>
    <t>Нефтекамск</t>
  </si>
  <si>
    <t>Ленина, д. 23А</t>
  </si>
  <si>
    <t>sport_neft@mail.ru</t>
  </si>
  <si>
    <t>И.А. Салахова, 1 кат.</t>
  </si>
  <si>
    <t>МАУДО "СШОР "Самотлор"</t>
  </si>
  <si>
    <t>Нижневартовск</t>
  </si>
  <si>
    <t xml:space="preserve">ул. Омская 1а </t>
  </si>
  <si>
    <t>8-3466-414949</t>
  </si>
  <si>
    <t>igroviki@yandex.ru</t>
  </si>
  <si>
    <t>Сенченкова А.Н., Гурбанов А.Г.</t>
  </si>
  <si>
    <t>ЖФК Нижние Муллы</t>
  </si>
  <si>
    <t>Пермский край</t>
  </si>
  <si>
    <t>Нижние Муллы</t>
  </si>
  <si>
    <t>ул. Школьная 7</t>
  </si>
  <si>
    <t>11111@mail.ru</t>
  </si>
  <si>
    <t>спортивный клуб</t>
  </si>
  <si>
    <t>А.В. Дубовец</t>
  </si>
  <si>
    <t xml:space="preserve">Муниципальное бюджетное учреждение дополнительного образования "Спортивная школа олимпийского резерва "Спутник" </t>
  </si>
  <si>
    <t>Нижний Тагил</t>
  </si>
  <si>
    <t>622051, Свердловская область, город Нижний Тагил, проспект Вагоностроителей, д.34а</t>
  </si>
  <si>
    <t>akulen4ik@mail.ru</t>
  </si>
  <si>
    <t>МБУ ДО "СШ "Высокогорец"</t>
  </si>
  <si>
    <t>Красноармейская 82А</t>
  </si>
  <si>
    <t>stadionv@mail.ru</t>
  </si>
  <si>
    <t>Н.А. Веселов</t>
  </si>
  <si>
    <t>МБОУ ДО СШ</t>
  </si>
  <si>
    <t>Нововаршавка</t>
  </si>
  <si>
    <t>ул. Северная 39</t>
  </si>
  <si>
    <t>doddush@n-varsh.obr55.ru</t>
  </si>
  <si>
    <t>у нас нет команды девушек- поэтому не в курсе</t>
  </si>
  <si>
    <t>МАУ ДО "СШ № 2"</t>
  </si>
  <si>
    <t>Новоуральск</t>
  </si>
  <si>
    <t>Свердлова, 1 Б</t>
  </si>
  <si>
    <t>8(34370)5-25-05</t>
  </si>
  <si>
    <t>Dush2-nov@mail.ru</t>
  </si>
  <si>
    <t xml:space="preserve">Арапова Олеся Олеговна </t>
  </si>
  <si>
    <t>ДЮСК Ямбург</t>
  </si>
  <si>
    <t>Ямало-Ненецкий автономный округ</t>
  </si>
  <si>
    <t>Новый Уренгой</t>
  </si>
  <si>
    <t>Геологоразведчиков 20</t>
  </si>
  <si>
    <t>A.vdovikin@ygd.gazprom.ru</t>
  </si>
  <si>
    <t>ДЕТСКО ЮНОШЕСКИЙ СПОРТИВНЫЙ КЛУБ</t>
  </si>
  <si>
    <t>Шин Я.И., Шин И.Л.</t>
  </si>
  <si>
    <t>БУ ОО ДО "СШОР "Динамо"</t>
  </si>
  <si>
    <t>Омская область</t>
  </si>
  <si>
    <t>Омск</t>
  </si>
  <si>
    <t>пр-кт. Мира, 1 А офис 121</t>
  </si>
  <si>
    <t>8(3812)67-60-72</t>
  </si>
  <si>
    <t>shk-dinamo@yandex.ru</t>
  </si>
  <si>
    <t>До 12 лет, До 17 лет</t>
  </si>
  <si>
    <t>Загрутдинов Р. С-УЕФА, Трофимова Е.А., Терехина В.А.</t>
  </si>
  <si>
    <t>БУ ОО СШ "Красная звезда"</t>
  </si>
  <si>
    <t>ул. Масленникова, 142/1</t>
  </si>
  <si>
    <t xml:space="preserve">redstar_sport@bk.ru </t>
  </si>
  <si>
    <t>Иванова Е.Н.- С
Муравьева Е.А. - С
Мельников Н.К. - С</t>
  </si>
  <si>
    <t>Желание участвовать командой спортивной школы в ЮФЛ-16 "девочки", т.к. U-14 команда участвует, логичный переход команд и сохранность контингента.</t>
  </si>
  <si>
    <t>БУ ДО г. Омска "СШОР "АОФ "Иртыш"</t>
  </si>
  <si>
    <t>ул.3 Молодёжная,55</t>
  </si>
  <si>
    <t>du_dod_irtysh@mail.ru</t>
  </si>
  <si>
    <t>Муравьёва Е.А. С - УЕФА</t>
  </si>
  <si>
    <t>МАУ ДО "Очерская спортивная школа"</t>
  </si>
  <si>
    <t>Очёр</t>
  </si>
  <si>
    <t>Белинского, 69</t>
  </si>
  <si>
    <t>+7(342) 783-83-04</t>
  </si>
  <si>
    <t>och_sportschool@mail.ru</t>
  </si>
  <si>
    <t>Е.В. Агеева, 1 категория</t>
  </si>
  <si>
    <t>"Школа футбольного мастерства "</t>
  </si>
  <si>
    <t>Пермь</t>
  </si>
  <si>
    <t>ул. Куйбышева 111 а</t>
  </si>
  <si>
    <t>partnersfm159@gmail.com</t>
  </si>
  <si>
    <t>Р.И. Гимадеев</t>
  </si>
  <si>
    <t>ЖФК «Талисман»</t>
  </si>
  <si>
    <t>ул.Баумана 5</t>
  </si>
  <si>
    <t>liza.semerikova.1998@mail.ru</t>
  </si>
  <si>
    <t>И.А. Долматов</t>
  </si>
  <si>
    <t>ГБУ ДО ПК  «СШОР Академия игровых видов спорта»</t>
  </si>
  <si>
    <t>Юридический: 614065, г. Пермь, Шоссе Космонавтов, 158-а</t>
  </si>
  <si>
    <t>(342) 215-88-59</t>
  </si>
  <si>
    <t>info-academy59@yandex.ru</t>
  </si>
  <si>
    <t>Баталова Ю.В., Касаткина О.Ю., Нужин Д.В., Ленешмидт А. - у всех В-УЕФА, Зуева М.А. - С-УЕФА, Смирнова М.Р. - нет.</t>
  </si>
  <si>
    <t>1) Отсутствуют в штате начальник и администратор женской молодежной ФК;              2) Отсутствует в штате в женском отделении - инструктор-методист;                                3) Нет спортивного оборудования и ноутбуков для тренеров.                                             4) Огромнейшие проблемы с присвоением спортивных разрядов, т.к. например, в прошлом году, наша команда девочек в Первенстве РФ заняли 3 место, но Минспорт Пермского края отказал по причине, что обслуживающие судьи данного соревнования не соответствовали требованиям Положения ЕВСК, утвержденного приказом Минспорта России от 19.12.2022 №1255 (категория судей не соответствовала). Мы сразу же написали письмо во все инстанции, но ему не дали "хода" свыше. Если у вас имеется возможность написать по данной проблеме, то можете указать вашу электронку на мой телефон 89824746901 (Павел Генералов, инструктор-методист Академии) и я вам вышлю, подготовленное мною письмо. Данная проблема не только спортивных школ, но и всех Федераций, всё взаимосвязано. А ведь, кто-то готовит федеральные стандарты, нам скидываю госзадания, а как мы их можем выполнить, если мы даже такой сильной команде, занявшей 3 место в России не можем присвоить спортивный разряд!?</t>
  </si>
  <si>
    <t>МАУ ДО СШ "Стимул"</t>
  </si>
  <si>
    <t>Приютово</t>
  </si>
  <si>
    <t>РБ, Белебеевский район, р.п.Приютово, ул. Первомайская д.20</t>
  </si>
  <si>
    <t>ckd_priyutovo@mail.ru</t>
  </si>
  <si>
    <t>Д. Никитин, тренер-преподаватель</t>
  </si>
  <si>
    <t>проведение мероприятия для детей с привлечением известных футболистов</t>
  </si>
  <si>
    <t>МАУ ДО СШ "Олимп"</t>
  </si>
  <si>
    <t>Рефтинский</t>
  </si>
  <si>
    <t>п. Рефтинский ул. Молодежная 2а</t>
  </si>
  <si>
    <t>dushreft@mail.ru</t>
  </si>
  <si>
    <t>Румянцев Д.А. 1 категория</t>
  </si>
  <si>
    <t>МАУ ДО СШ "Салават" г. Салавата</t>
  </si>
  <si>
    <t>Салават</t>
  </si>
  <si>
    <t>г. Салават, ул. Пархоменко, д.8</t>
  </si>
  <si>
    <t>my_gsksalavat@mail.ru</t>
  </si>
  <si>
    <t>В.В. Калмыков, П.А. Будаев</t>
  </si>
  <si>
    <t>МАУ ДО "СШ им. Л.П. Моисеева"</t>
  </si>
  <si>
    <t>Серов</t>
  </si>
  <si>
    <t>г. Серов, ул. Каквинская, 3</t>
  </si>
  <si>
    <t>8(343-85) 5-47-82</t>
  </si>
  <si>
    <t>dysh-serov@yandex.ru</t>
  </si>
  <si>
    <t>у нас нет целых женских команд</t>
  </si>
  <si>
    <t>Одинцев А.В., Рогов В.В., Крупин А.Г.</t>
  </si>
  <si>
    <t>наши спортсменки играют за женские команды другого города и в смешанных командах нашей СШ на уровне округа, области</t>
  </si>
  <si>
    <t xml:space="preserve">АНОДО СК Феникс </t>
  </si>
  <si>
    <t>Снежинск</t>
  </si>
  <si>
    <t>Ленина, 12</t>
  </si>
  <si>
    <t>zev4el70@mail.ru</t>
  </si>
  <si>
    <t>Звягинцев И.В.</t>
  </si>
  <si>
    <t>ЧУДО СШ Нефтяник</t>
  </si>
  <si>
    <t>Сургут</t>
  </si>
  <si>
    <t>ул. Энтузиастов, д.47–А</t>
  </si>
  <si>
    <t>8 (3462) 45-70-38</t>
  </si>
  <si>
    <t>sdusor@bk.ru</t>
  </si>
  <si>
    <t>А.С. Мунгалов</t>
  </si>
  <si>
    <t>МБУ СШ Олимпик</t>
  </si>
  <si>
    <t>Сухой Лог</t>
  </si>
  <si>
    <t>ул. Юбилейная, 8</t>
  </si>
  <si>
    <t xml:space="preserve"> +7 (34373) 4-44-18</t>
  </si>
  <si>
    <t>olimpik-slog@mail.ru</t>
  </si>
  <si>
    <t>С.А. Окольников</t>
  </si>
  <si>
    <t>МКОДО ТМО "Талицкая СШ имени Ю.В. Исламова"</t>
  </si>
  <si>
    <t>Талица</t>
  </si>
  <si>
    <t>Свердловская область, г. Талица, ул. Советская, 65</t>
  </si>
  <si>
    <t>+734371 2-86-78</t>
  </si>
  <si>
    <t>talitskaia_dush@bk.ru</t>
  </si>
  <si>
    <t>ЦСПР АНО «Футбол-Хоккей»</t>
  </si>
  <si>
    <t>Тюменская область</t>
  </si>
  <si>
    <t>Тюмень</t>
  </si>
  <si>
    <t>625003, г. Тюмень, ул. Коммуны, д.22, корпус 1</t>
  </si>
  <si>
    <t>tspsr.tyumen@yandex.ru</t>
  </si>
  <si>
    <t>Центр подготовки спортивного резерва</t>
  </si>
  <si>
    <t>Кузьмин А.С. B-УЕФА , Ракутина А.М. С-УЕФА, Кечеруков В.А. B-УЕФА</t>
  </si>
  <si>
    <t>Паритет</t>
  </si>
  <si>
    <t>Воронинские горки, 1А</t>
  </si>
  <si>
    <t>khamitovka@yandex.ru</t>
  </si>
  <si>
    <t>Хамитов К.А.</t>
  </si>
  <si>
    <t>МАУ ДО СШ "Старт XXI век "</t>
  </si>
  <si>
    <t>ул. Высотная 1, к. 4</t>
  </si>
  <si>
    <t>start.xxi.vek@yandex</t>
  </si>
  <si>
    <t>И.В. Княжев</t>
  </si>
  <si>
    <t xml:space="preserve">Фк Юная Сибирь </t>
  </si>
  <si>
    <t xml:space="preserve">Тюмень </t>
  </si>
  <si>
    <t>Белинского 24</t>
  </si>
  <si>
    <t>+7 929 269 09 04.</t>
  </si>
  <si>
    <t>Office@fcys.ru</t>
  </si>
  <si>
    <t xml:space="preserve">Частная </t>
  </si>
  <si>
    <t xml:space="preserve">Федорова Виктория Николаевна </t>
  </si>
  <si>
    <t xml:space="preserve">Муниципальное автономное учреждение дополнительного образования "Спортивная школа № 10" городского округа город Уфа Республики Башкортостан </t>
  </si>
  <si>
    <t>Уфа</t>
  </si>
  <si>
    <t>450071, г. Уфа, ул. Менделеева, д. 199/1</t>
  </si>
  <si>
    <t>8(347)232-63-00</t>
  </si>
  <si>
    <t>sdushor10@mail.ru</t>
  </si>
  <si>
    <t>Рашитова А.М. С-УЕФА
Лайне Ю.А. С-УЕФА</t>
  </si>
  <si>
    <t>АНО "ФК "Уфа"</t>
  </si>
  <si>
    <t>450112, г.Уфа, ул.Комарова 9</t>
  </si>
  <si>
    <t>(347)287-97-00</t>
  </si>
  <si>
    <t>info@fcufa.pro</t>
  </si>
  <si>
    <t>Чернова Н.Г. В-УЕФА, Рашитова А.Н. С-УЕФА, Лайне Ю.А. С-УЕФА</t>
  </si>
  <si>
    <t>Муниципальное учреждение дополнительного образования  "Детско-юношеская спортивная школа" Нагайбакского муниципального района Челябинской области</t>
  </si>
  <si>
    <t>Фершампенуаз</t>
  </si>
  <si>
    <t>с.Фершампенуаз, ул. Мира, 17А</t>
  </si>
  <si>
    <t>dfershampenuaz@mail.ru</t>
  </si>
  <si>
    <t>МБУДО "СШ "Олимп"</t>
  </si>
  <si>
    <t>Тульская область</t>
  </si>
  <si>
    <t>Челябинск</t>
  </si>
  <si>
    <t xml:space="preserve"> 454085 г. Челябинск, ул. Марченко, 28</t>
  </si>
  <si>
    <t>8(351)243-08-42</t>
  </si>
  <si>
    <t>olimp.chel@mail.ru</t>
  </si>
  <si>
    <t xml:space="preserve">МУНИЦИПАЛЬНОЕ БЮДЖЕТНОЕ УЧРЕЖДЕНИЕ ДОПОЛНИТЕЛЬНОГО ОБРАЗОВАНИЯ «СПОРТИВНАЯ ШКОЛА ОЛИМПИЙСКОГО РЕЗЕРВА ПО ФУТБОЛУ «СИГНАЛ» ГОРОДА ЧЕЛЯБИНСКА </t>
  </si>
  <si>
    <t>454139, Челябинск, ул. Дербентская, д. 41</t>
  </si>
  <si>
    <t>8(351)253-84-37</t>
  </si>
  <si>
    <t>zenit-signal@mail.ru</t>
  </si>
  <si>
    <t>Точилкин А.В.</t>
  </si>
  <si>
    <t>Добавить количество соревнований для девочек до 10 и до 12 лет.</t>
  </si>
  <si>
    <t xml:space="preserve">Муниципальное бюджетное учреждение дополнительного образования «Спортивная школа олимпийского резерва «Академия футбола» города Челябинска </t>
  </si>
  <si>
    <t>г. Челябинск, ул. Кузнецова, д. 7Б</t>
  </si>
  <si>
    <t>+7(351)727-97-76</t>
  </si>
  <si>
    <t>akademiyafutbola74@mail.ru</t>
  </si>
  <si>
    <t>Ибрагимова Ж.Н. С-УЕФА</t>
  </si>
  <si>
    <t>ОГАУ ДО ОСШ по футболу</t>
  </si>
  <si>
    <t>Челябинск, ул. Худякова, д.31</t>
  </si>
  <si>
    <t>8(351)2172821</t>
  </si>
  <si>
    <t>shkola-football74@mail.ru</t>
  </si>
  <si>
    <t>Гаврилина Л.Ю. С-УЕФА, Жданикин Н.А. - С-УЕФА, Кузьмина Н.С. - С-УЕФА, Киреев С.Н.- В-УЕФА, обучается на А-УЕФА, Корячко И.С. - С-УЕФА</t>
  </si>
  <si>
    <t>МУНИЦИПАЛЬНОЕ БЮДЖЕТНОЕ УЧРЕЖДЕНИЕ ДОПОЛНИТЕЛЬНОГО ОБРАЗОВАНИЯ "СПОРТИВНАЯ ШКОЛА ОЛИМПИЙСКОГО РЕЗЕРВА "ТОРПЕДО" ГОРОДА ЧЕЛЯБИНСКА</t>
  </si>
  <si>
    <t>шоссе Копейское, 5</t>
  </si>
  <si>
    <t>(351)253-92-68</t>
  </si>
  <si>
    <t>torpedo2008@mail.ru</t>
  </si>
  <si>
    <t>Бутук Н.А. высшая категория</t>
  </si>
  <si>
    <t>"Спортивная школа по футболу "Олимп"</t>
  </si>
  <si>
    <t>Чусовской район</t>
  </si>
  <si>
    <t>618204, Пермский край, г. Чусовой, ул. Сивкова, 8а</t>
  </si>
  <si>
    <t>8 (34-256)4-32-09</t>
  </si>
  <si>
    <t>sportschool-olimp@yandex.ru</t>
  </si>
  <si>
    <t>А.Н. Никулина, Н.Н. Рулденко</t>
  </si>
  <si>
    <t>МФК Газпром-Югра</t>
  </si>
  <si>
    <t>Югорск</t>
  </si>
  <si>
    <t>Югорск, ул. Кирова, д.7</t>
  </si>
  <si>
    <t>kskmfk@mail.ru</t>
  </si>
  <si>
    <t>Академия МФК Газпром-Югра</t>
  </si>
  <si>
    <t>Панов Д.А.</t>
  </si>
  <si>
    <t>обучение тренеров команд девочек в РФС</t>
  </si>
  <si>
    <t>МАУДО "Спортивная школа города Ялуторовска"</t>
  </si>
  <si>
    <t>Ялуторовск</t>
  </si>
  <si>
    <t>Тюменская область, город Ялуторовск, улица Кармелюка, дом 13</t>
  </si>
  <si>
    <t>sportshkola58@yandex.ru</t>
  </si>
  <si>
    <t>Блинов Дмитрий Евгеньевич</t>
  </si>
  <si>
    <t>ЖФК Город Н</t>
  </si>
  <si>
    <t>Ноябрьск</t>
  </si>
  <si>
    <t>Лиственная 28</t>
  </si>
  <si>
    <t>r_gorodnov@list.ru</t>
  </si>
  <si>
    <t>МБУ ДО "СШ по футболу "Метар" г. Челябинска</t>
  </si>
  <si>
    <t>г. Челябинск ул Черкасская 1/4</t>
  </si>
  <si>
    <t>218-73-38</t>
  </si>
  <si>
    <t>74metar@mail.ru</t>
  </si>
  <si>
    <t xml:space="preserve">МАудо сш-7 </t>
  </si>
  <si>
    <t>Пр. Мира 45</t>
  </si>
  <si>
    <t>diussh7,@yandex.ru</t>
  </si>
  <si>
    <t>МБУ ДО "ДЮСШ им. генерала М.Д. Скобелева"</t>
  </si>
  <si>
    <t>Центр</t>
  </si>
  <si>
    <t>Рязанская область</t>
  </si>
  <si>
    <t>Александро-Невский</t>
  </si>
  <si>
    <t>Россия, Рязанская область, Александро-Невский район, рабочий посёлок Александро-Невский, Заводская улица дом 35</t>
  </si>
  <si>
    <t>dusshnevsk@mail.ru</t>
  </si>
  <si>
    <t>Каширский А.Н.</t>
  </si>
  <si>
    <t>Детский спорт клуб Алтуховка</t>
  </si>
  <si>
    <t>Алтухово</t>
  </si>
  <si>
    <t>242150 Брянская область Навлинский район п. Алтухово ул. Вяльцевой д. 1а</t>
  </si>
  <si>
    <t>nav-altuhovo@mail.ru</t>
  </si>
  <si>
    <t>ГБУ ДО "СШОР №1 Белгородской области"</t>
  </si>
  <si>
    <t>Белгородская область</t>
  </si>
  <si>
    <t>Белгород</t>
  </si>
  <si>
    <t>Белинского 4Б</t>
  </si>
  <si>
    <t>sdushorbel@yandex.ru</t>
  </si>
  <si>
    <t>ГБУ ДО "СШОР № 1 Белгородской области</t>
  </si>
  <si>
    <t>г. Белгород, ул. Сумская, 64</t>
  </si>
  <si>
    <t>Толстая Е.С. С-УЕФА, Холоденко В.В. С-УЕФА</t>
  </si>
  <si>
    <t>МБУДО СШ №6</t>
  </si>
  <si>
    <t>пр-т. Богдана Хмельницкого 107</t>
  </si>
  <si>
    <t xml:space="preserve">   sport6@beluo31.ru</t>
  </si>
  <si>
    <t>МКУ ДО Бобровская спортивная школа им. В.Л. Паткина</t>
  </si>
  <si>
    <t>Воронежская область</t>
  </si>
  <si>
    <t>Бобров</t>
  </si>
  <si>
    <t>Воронежская область, г. Бобров, ул. Парижской Коммуны, д. 59а</t>
  </si>
  <si>
    <t>8 (47350) 4-16-50</t>
  </si>
  <si>
    <t>bobrovdussh@govvrn.ru</t>
  </si>
  <si>
    <t>МУДО ДЮСШ</t>
  </si>
  <si>
    <t>Богородицк</t>
  </si>
  <si>
    <t>ул.Пролетарская д.58</t>
  </si>
  <si>
    <t>mudo.dyussh.vindmana@tularegion.org</t>
  </si>
  <si>
    <t>нет необходимости</t>
  </si>
  <si>
    <t>МУНИЦИПАЛЬНОЕ БЮДЖЕТНОЕ УЧРЕЖДЕНИЕ «БОРОВСКАЯ СПОРТИВНАЯ ШКОЛА «ЗВЕЗДА»</t>
  </si>
  <si>
    <t>Боровск</t>
  </si>
  <si>
    <t>249010, КАЛУЖСКАЯ ОБЛАСТЬ, Р-Н БОРОВСКИЙ, Г. БОРОВСК, УЛ. 1 МАЯ, д.54</t>
  </si>
  <si>
    <t>zvezda.borovsk@mail.ru</t>
  </si>
  <si>
    <t>АНО ДО "Футбольная школа Александра Степина"</t>
  </si>
  <si>
    <t>Брянск</t>
  </si>
  <si>
    <t>241013, г. Брянск, ул. Металлистов, д.2, кв. 207</t>
  </si>
  <si>
    <t>stepinav2008@yandex.ru</t>
  </si>
  <si>
    <t>автономная некоммерческая организация дополнительного образования</t>
  </si>
  <si>
    <t>Ермакова Юлия Владимировна, Алешин Алексей Викторович, Рыченков Андрей Сергеевич, Семин Владимир Сергеевич, Гербик Николай Николаевич</t>
  </si>
  <si>
    <t>АНО ДО «Юный Динамовец»</t>
  </si>
  <si>
    <t>241019, Брянская Область, г. Брянск, ул. Красноармейская, д. 138а, помещ. 3</t>
  </si>
  <si>
    <t>sonka1811@yandex.ru</t>
  </si>
  <si>
    <t xml:space="preserve">Организация доп. образования </t>
  </si>
  <si>
    <t>АНО ДО Академия Алимпика</t>
  </si>
  <si>
    <t>Брянск ул. Красных партизан д. 31</t>
  </si>
  <si>
    <t>info@akademy-alimpika.ru</t>
  </si>
  <si>
    <t>Ассоциация НП "ФК "Динамо-Брянск"</t>
  </si>
  <si>
    <t>Бульвар Гагарина, 28</t>
  </si>
  <si>
    <t>+7 (4832) 66-28-18</t>
  </si>
  <si>
    <t>stadion08@yandex.ru</t>
  </si>
  <si>
    <t>Бабенкин В. С-УЕФА</t>
  </si>
  <si>
    <t>Брянский государственный спортивный комбинат</t>
  </si>
  <si>
    <t>г. Брянск ул. 2 - я аллея д.1</t>
  </si>
  <si>
    <t>+7 (4832) 59-54-04</t>
  </si>
  <si>
    <t>bgskspartak@mail.ru</t>
  </si>
  <si>
    <t xml:space="preserve">Спортивный комбинат </t>
  </si>
  <si>
    <t>Савкина Софья Андреевна- С УЕФА
Родин Артём Васильевич - С УЕФА</t>
  </si>
  <si>
    <t>МБУ ДО СШ "Партизан"</t>
  </si>
  <si>
    <t>г. Брянск, ул. Пушкина, 67</t>
  </si>
  <si>
    <t>(4832) 36-25-85</t>
  </si>
  <si>
    <t>partizan-bryansk@yandex.ru</t>
  </si>
  <si>
    <t>АНО ФК "ОЛИМП"</t>
  </si>
  <si>
    <t>г. Брянск, ул. Шевченко, 44</t>
  </si>
  <si>
    <t>olimp-fs32@rambler.ru</t>
  </si>
  <si>
    <t>Дуденков А.А. C-УЕФА, Казанская О.Ю. C-УЕФА</t>
  </si>
  <si>
    <t>Хотели бы получать на регулярной основе методическую поддержку. Проведение в режиме оффлайн мероприятий на тему развития женского футбола и заблаговременно получать информацию для участия в них.</t>
  </si>
  <si>
    <t>Муниципальное бюджетное образовательное учреждение дополнительного образования Бутурлиновская спортивная школа Бутурлиновского муниципального района Воронежской области</t>
  </si>
  <si>
    <t>Бутурлиновка</t>
  </si>
  <si>
    <t>Воронежская обл., г.Бутурлиновка, ул.Дорожная, д.71</t>
  </si>
  <si>
    <t>8-47361-2-83-32</t>
  </si>
  <si>
    <t>motor-sport2013@yandex.ru</t>
  </si>
  <si>
    <t>Лункашу Л.И., Дятлов А.А.</t>
  </si>
  <si>
    <t>МБУ ДО "Вейделевская спортивная школа"</t>
  </si>
  <si>
    <t>Вейделевский муниципальный округ</t>
  </si>
  <si>
    <t>309720 Белгородская область, п.Вейделевка, ул.Центральная 32 а</t>
  </si>
  <si>
    <t>vej-sport@yandex.ru</t>
  </si>
  <si>
    <t>недостаточно во всех возрастах</t>
  </si>
  <si>
    <t>Побольше соревнований для девочек</t>
  </si>
  <si>
    <t>МКУДО "Верхнемамонская ДЮСШ"</t>
  </si>
  <si>
    <t>Верхний Мамон</t>
  </si>
  <si>
    <t>396460, Воронежская область, Верхнемамонский район, с. Верхний Мамон, ул. 60 лет Октября, д. 11А</t>
  </si>
  <si>
    <t>8(47355) 5- 62- 31</t>
  </si>
  <si>
    <t xml:space="preserve">dyussh.vmamon@govvrn.ru   </t>
  </si>
  <si>
    <t>Жигульский А.С.</t>
  </si>
  <si>
    <t>ГАУ ДО ВО "СШ "Ротор"</t>
  </si>
  <si>
    <t>Волгоградская область</t>
  </si>
  <si>
    <t>Волгоград</t>
  </si>
  <si>
    <t>400074, г. Волгоград, ул. Баррикадная, 25</t>
  </si>
  <si>
    <t>+7 (8442) 99-78-06</t>
  </si>
  <si>
    <t>rotor@volganet.ru</t>
  </si>
  <si>
    <t>Иванова М.А. B-УЕФА, Братухин П.А. В-УЕФА, Арстанов Р.З. С-УЕФА, Михайлов Н.А. B-УЕФА детско-юношеский футбол</t>
  </si>
  <si>
    <t>СК Импульс</t>
  </si>
  <si>
    <t>400131, г. Волгоград, пл. Павших Борцов, д. 1</t>
  </si>
  <si>
    <t>+7 (905) 466-29-08</t>
  </si>
  <si>
    <t>ssc_volgmed_impulse@mail.ru</t>
  </si>
  <si>
    <t>ск</t>
  </si>
  <si>
    <t>Мунипальное бюджетное учреждение дополнительного образования Спортивная школа олимпийского резерва № 11 "Зенит-Волгоград"</t>
  </si>
  <si>
    <t>г. Волгоград, ул. им. Гули Королевой, 8</t>
  </si>
  <si>
    <t>chkola11zenit@mail.ru</t>
  </si>
  <si>
    <t>Пронченко В.И. С-УЕФА
Науменко И.М. С-УЕФА
Курьянов И.М.  С-УЕФА</t>
  </si>
  <si>
    <t xml:space="preserve">Включить команды МБУ ДО СШОР № 11 "Зенит-Волгоград"  в Юношескую футбольную лигу сезона 2026 года среди девочек до 14 лет и среди девушек до 16 лет от Волгоградской области. </t>
  </si>
  <si>
    <t>СК ВГСПУ</t>
  </si>
  <si>
    <t>просп. имени В.И. Ленина, 27, Волгоград</t>
  </si>
  <si>
    <t>(8442) 60-28-76</t>
  </si>
  <si>
    <t>vspu@vspu.ru</t>
  </si>
  <si>
    <t>ВРДЮСОО по развитию футбола им. Л. Слуцкого</t>
  </si>
  <si>
    <t>ул. гв. майора Степанищева, 2</t>
  </si>
  <si>
    <t>fsc_slutsky_vlg@mail.ru</t>
  </si>
  <si>
    <t>ВРДЮСОО</t>
  </si>
  <si>
    <t>ЖФК Аксинья</t>
  </si>
  <si>
    <t>ул. Гули Королевой 9</t>
  </si>
  <si>
    <t>МКУДО "Воробьевская ДЮСШ"</t>
  </si>
  <si>
    <t>Воробьевка</t>
  </si>
  <si>
    <t>Воробьевка, ул.Калинина, 24В</t>
  </si>
  <si>
    <t>3-16-66</t>
  </si>
  <si>
    <t>vrbdussh@mail.ru</t>
  </si>
  <si>
    <t>АФК "ФАКЕЛ"</t>
  </si>
  <si>
    <t>Воронеж</t>
  </si>
  <si>
    <t>394006, г. Воронеж, пер. Красноармейский, 3А</t>
  </si>
  <si>
    <t>+7 (473) 272-71-47</t>
  </si>
  <si>
    <t>office@fakelfc.ru</t>
  </si>
  <si>
    <t>футбольная академия</t>
  </si>
  <si>
    <t>Шестопалова Л.В. В-УЕФА
Саенко М.П. С-УЕФА
Амелина Е.С. С-УЕФА
Богданова Н.В. С-УЕФА
Гаврилова М.С. С-РФС физ.подготовка
Сопнев С.В. А-УЕФА элитный юношеский футбол
Красных В.В. С-УЕФА</t>
  </si>
  <si>
    <t>ЖФК "Танаис"-Воронеж</t>
  </si>
  <si>
    <t xml:space="preserve">Воронеж, б-р Победы, д. 50, офис 6 </t>
  </si>
  <si>
    <t>+7 (903) 854-47-65</t>
  </si>
  <si>
    <t>ЖФК "ШТУРМ"</t>
  </si>
  <si>
    <t>Воронеж, Переулок Минина 3</t>
  </si>
  <si>
    <t>Sturmfc@mail.ru</t>
  </si>
  <si>
    <t>МБУДО ЦДО "Созвездие"</t>
  </si>
  <si>
    <t>ул. Генерала Лизюкова 6</t>
  </si>
  <si>
    <t>a.shevnev@bk.ru</t>
  </si>
  <si>
    <t>Доп образование</t>
  </si>
  <si>
    <t>ГБУ ДО ВО СШ по футболу "Факел"</t>
  </si>
  <si>
    <t>ул. Писателя Маршака, д.1а</t>
  </si>
  <si>
    <t>sportf@list.ru</t>
  </si>
  <si>
    <t>До 10 лет, До 12 лет, До 13 лет, До 15 лет, До 17 лет, До 19 лет, соревновательной практики для команд девочек и девушек недостаточно во всех возрастных категориях</t>
  </si>
  <si>
    <t>МКУ ДО ДЮСШ Хохольская</t>
  </si>
  <si>
    <t>Гремячье</t>
  </si>
  <si>
    <t>Воронежская область Хохольский р-н с.Гремячье ул. Чехова 5А</t>
  </si>
  <si>
    <t>sporthohol@mail.ru</t>
  </si>
  <si>
    <t>Муниципальное казенное учреждение дополнительного образования "Грибановская спортивная школа"</t>
  </si>
  <si>
    <t>Грибановский</t>
  </si>
  <si>
    <t>397240, Воронежская область, Грибановский район, пгт Грибановский, ул. Комарова, д. 7</t>
  </si>
  <si>
    <t>(47348)3-00-35</t>
  </si>
  <si>
    <t>griban-dussh.grib@govvrn.ru</t>
  </si>
  <si>
    <t>МБУ ДО ДЮСШ г.Грязи</t>
  </si>
  <si>
    <t>Липецкая область</t>
  </si>
  <si>
    <t>Грязи</t>
  </si>
  <si>
    <t>ул.Крылова 4</t>
  </si>
  <si>
    <t>sportcentrgrjazi2012@yandex.ru</t>
  </si>
  <si>
    <t>МБУДО "СШ №3"</t>
  </si>
  <si>
    <t>Губкин</t>
  </si>
  <si>
    <t>г. Губкин ул. Комсомольская, зд. 18</t>
  </si>
  <si>
    <t>f-shool@yandex.ru</t>
  </si>
  <si>
    <t>МБУ ДО центр "Мечта"</t>
  </si>
  <si>
    <t>Орловская область</t>
  </si>
  <si>
    <t>Дмитровск</t>
  </si>
  <si>
    <t>303240 Орловская область, г. Дмитровск, ул. Советская, 84а</t>
  </si>
  <si>
    <t>oo_dm_mechta@orel-region.ru</t>
  </si>
  <si>
    <t>учреждение дополнительного образования</t>
  </si>
  <si>
    <t>МАУ ДО ДЮСШ с. Долгоруково</t>
  </si>
  <si>
    <t>Долгоруково</t>
  </si>
  <si>
    <t>с. Долгоруково, ул. Терешковой д. 23а</t>
  </si>
  <si>
    <t>2-63-36</t>
  </si>
  <si>
    <t>bassein48@mail.ru</t>
  </si>
  <si>
    <t xml:space="preserve">только смешанные </t>
  </si>
  <si>
    <t>Триумф</t>
  </si>
  <si>
    <t xml:space="preserve">Дятьково </t>
  </si>
  <si>
    <t>г. Дятьково, Брянской обл. ул. Крупской д.5</t>
  </si>
  <si>
    <t>3-20-83</t>
  </si>
  <si>
    <t>dtsch2@mail.ru</t>
  </si>
  <si>
    <t>МУДО СШ</t>
  </si>
  <si>
    <t>Гришков А.Г.</t>
  </si>
  <si>
    <t>МБСУ ФК "Елец"</t>
  </si>
  <si>
    <t>Елец</t>
  </si>
  <si>
    <t>г. Елец, ул Чехова 42</t>
  </si>
  <si>
    <t>fc-elets@yandex.ru</t>
  </si>
  <si>
    <t>МБУ ДО "СШОР"</t>
  </si>
  <si>
    <t>Железногорск</t>
  </si>
  <si>
    <t>Курская область, г. Железногорск, ул. Димитрова, 20</t>
  </si>
  <si>
    <t>8(47148)77754, 8(47148)77756</t>
  </si>
  <si>
    <t>olimp046@mail.ru</t>
  </si>
  <si>
    <t>МАУ Цфкис Десна</t>
  </si>
  <si>
    <t xml:space="preserve">Жуковка </t>
  </si>
  <si>
    <t>Пер.Первомайский д 43</t>
  </si>
  <si>
    <t>dush-zhu@ yandex.ru</t>
  </si>
  <si>
    <t>Они хотят играть с мальчиками</t>
  </si>
  <si>
    <t>Разрешить участвовать в соревнованиях вместе с мальчиками,т.к на команду не можем набрать девочек одного года</t>
  </si>
  <si>
    <t>МУ ДО "Захаровская ДЮСШ"</t>
  </si>
  <si>
    <t>Захарово</t>
  </si>
  <si>
    <t>Рязанская область, с. Захарово, ул. Победы, д. 49а</t>
  </si>
  <si>
    <t>zaxarovodush@yandex.ru</t>
  </si>
  <si>
    <t xml:space="preserve">СК Соколята </t>
  </si>
  <si>
    <t xml:space="preserve">Злынка </t>
  </si>
  <si>
    <t>Вокзальная 36б кв 5</t>
  </si>
  <si>
    <t xml:space="preserve">nosenkovl75@gmail.com </t>
  </si>
  <si>
    <t>МБОУ ДО "Знаменская ДЮСШ"</t>
  </si>
  <si>
    <t>Тамбовская область</t>
  </si>
  <si>
    <t>Знаменка</t>
  </si>
  <si>
    <t>ул. Парковая д.1</t>
  </si>
  <si>
    <t>zamsport@r52.tambov.gov.ru</t>
  </si>
  <si>
    <t>в данный момент нет необходимости</t>
  </si>
  <si>
    <t>Мкоу ДО Калачеевская СШ им. В.И. Бакулина</t>
  </si>
  <si>
    <t>Калач</t>
  </si>
  <si>
    <t>Ул.Советская д.37</t>
  </si>
  <si>
    <t>dussh@mail.ru</t>
  </si>
  <si>
    <t>ГАУ ДО КО "СШ по футболу "Калуга"</t>
  </si>
  <si>
    <t>Калуга</t>
  </si>
  <si>
    <t>г. Калуга, ул. Анненки, д.5</t>
  </si>
  <si>
    <t>dushkaluga@yandex.ru</t>
  </si>
  <si>
    <t>МБУ ДО "СШ "Торпедо" г. Калуги</t>
  </si>
  <si>
    <t>Калуга, ул. Ленина 50</t>
  </si>
  <si>
    <t>84842-56-78-00</t>
  </si>
  <si>
    <t>torpedo.kaluga@yandex.ru</t>
  </si>
  <si>
    <t>МБУ ДО "СШ №5"</t>
  </si>
  <si>
    <t>Суворова, 118</t>
  </si>
  <si>
    <t>8 (4842) 57-85-92</t>
  </si>
  <si>
    <t>dush5@spark-mail.ru</t>
  </si>
  <si>
    <t>Добычина Г.А.,  Аброськина А.А., Маркин А.В., Ядзевич Н.М.</t>
  </si>
  <si>
    <t xml:space="preserve">МБУ ДО СШ 2 </t>
  </si>
  <si>
    <t>Камышин</t>
  </si>
  <si>
    <t>г. Камышин, ул. Короленко, 24</t>
  </si>
  <si>
    <t>8 (84457) 9-33-73</t>
  </si>
  <si>
    <t>dush2kam@mail.ru</t>
  </si>
  <si>
    <t>МБУ СШ 17 г. Камышин Волгоградской области</t>
  </si>
  <si>
    <t>ул. Текстильная 2</t>
  </si>
  <si>
    <t>dema0884@mail.ru</t>
  </si>
  <si>
    <t>Сш</t>
  </si>
  <si>
    <t>До 13 лет, До 15 лет, Соревновательной практики достаточно</t>
  </si>
  <si>
    <t>Демченко Никита Валерьевич лицензия В-Уефа</t>
  </si>
  <si>
    <t>МКУ ДО "ДЮСШ" Кантемировского муниципального района Воронежской области</t>
  </si>
  <si>
    <t>Кантемировка</t>
  </si>
  <si>
    <t>Воронежская область, р.п.Кантемировка, улица Первомайская дом 14</t>
  </si>
  <si>
    <t>8(47367)61484</t>
  </si>
  <si>
    <t>dush74@mail.ru</t>
  </si>
  <si>
    <t>МБУДО "Киреевская ДЮСШ"</t>
  </si>
  <si>
    <t>Киреевск</t>
  </si>
  <si>
    <t>ул. Зеленая 18а</t>
  </si>
  <si>
    <t>8(48754)61325</t>
  </si>
  <si>
    <t>kireevsk.mkudo_dyussh@tularegion.org</t>
  </si>
  <si>
    <t>девочек мало, нет смешанных соревнований</t>
  </si>
  <si>
    <t xml:space="preserve">МКОУ ДО СШ "Лидер" </t>
  </si>
  <si>
    <t>Калужская область г. Киров ул Ленина 23а</t>
  </si>
  <si>
    <t>lider-kirov@mail.ru</t>
  </si>
  <si>
    <t xml:space="preserve">Иванькин Максим Николаевич
С-УЕФА высшая категория 
Слесарев Дмитрий Олегович
С-УЕФА "
</t>
  </si>
  <si>
    <t xml:space="preserve">Карловцы СК </t>
  </si>
  <si>
    <t>Клинцы</t>
  </si>
  <si>
    <t>Брянская область, г. Клинцы, ул. Калинина, д. 155</t>
  </si>
  <si>
    <t>8-4336-55175</t>
  </si>
  <si>
    <t>klsch9@yandex.ru</t>
  </si>
  <si>
    <t>во всех возрастных категориях</t>
  </si>
  <si>
    <t>Зимина А.В. - нет</t>
  </si>
  <si>
    <t>Мы всем довольны!</t>
  </si>
  <si>
    <t>МКУ СШ Дзержинского района</t>
  </si>
  <si>
    <t>Кондрово</t>
  </si>
  <si>
    <t>Дзержинский район г. Кондрово пр.Труда д. 10</t>
  </si>
  <si>
    <t>dyussh2012@mail.ru</t>
  </si>
  <si>
    <t>МБУ ДО Кораблинская ДЮСШ</t>
  </si>
  <si>
    <t>Кораблино</t>
  </si>
  <si>
    <t>г. Кораблино, ул. Маяковского, д.30</t>
  </si>
  <si>
    <t>sportkor2013@mail.ru</t>
  </si>
  <si>
    <t>Дербиков Кирилл Александрович, С-УЕФА</t>
  </si>
  <si>
    <t>По возможности проводите больше очных конференций для тренеров по женскому футболу как в 2022 году. Конференция была очень полезна для развития.</t>
  </si>
  <si>
    <t>ГАУ ДО РО "СШ "Рекорд"</t>
  </si>
  <si>
    <t>ул. Маяковского, д. 30Б</t>
  </si>
  <si>
    <t>fskrekord@ryazan.gov.ru</t>
  </si>
  <si>
    <t>МБОУ - Коржовоголубовская СОШ</t>
  </si>
  <si>
    <t>Коржовка - Голубовка</t>
  </si>
  <si>
    <t>243105, Брянская обл, Клинцовский р-н, Коржовка-Голубовка, ул Советская, д 7</t>
  </si>
  <si>
    <t>+7 (483) 363-39-08</t>
  </si>
  <si>
    <t>korgovka_soh@mail.ru</t>
  </si>
  <si>
    <t>МБУДО "Краснояружская ДЮСШ"</t>
  </si>
  <si>
    <t>Красная Яруга</t>
  </si>
  <si>
    <t>Белгородская область, Краснояружский район, п. Красная Яруга, ул. Победы, 1Б</t>
  </si>
  <si>
    <t>(47263)45034</t>
  </si>
  <si>
    <t>sport1214@mail.ru</t>
  </si>
  <si>
    <t>Финт Курск</t>
  </si>
  <si>
    <t>Курская область</t>
  </si>
  <si>
    <t>Курск</t>
  </si>
  <si>
    <t>Пр-т Кулакова 146к3</t>
  </si>
  <si>
    <t>frola07masha@gmail.com</t>
  </si>
  <si>
    <t>нет соревнований</t>
  </si>
  <si>
    <t>Женская футбольная команда "Топаз"</t>
  </si>
  <si>
    <t>Ул. Краснополянская, 2А</t>
  </si>
  <si>
    <t>Частная футбольная школа для девочек</t>
  </si>
  <si>
    <t>До 10 лет, До 12 лет, До 13 лет, До 15 лет, До 17 лет, До 19 лет, В регионе вооьще нет соревнований по девочкам, за исключением ШФЛ 1-2р в год</t>
  </si>
  <si>
    <t>Болотова М.В.</t>
  </si>
  <si>
    <t>Для нашей команды нет поля и зала для тренировок с хорошими условиями.</t>
  </si>
  <si>
    <t>ФК Авангард</t>
  </si>
  <si>
    <t>ул. Ленина, 58</t>
  </si>
  <si>
    <t>8 (4712) 52-06-13</t>
  </si>
  <si>
    <t xml:space="preserve"> fk-av-shkola@mail.ru</t>
  </si>
  <si>
    <t>в данный момент нет возможности для соревнований</t>
  </si>
  <si>
    <t>Муниципальное бюджетное учреждение дополнительного образования "Спортивная школа" города Ливны</t>
  </si>
  <si>
    <t>Ливны</t>
  </si>
  <si>
    <t>303850 Орловская область, город Ливны, ул. Ленина, д.26, пом.34</t>
  </si>
  <si>
    <t>8(48677)20060</t>
  </si>
  <si>
    <t>olimpiecz13@mail.ru</t>
  </si>
  <si>
    <t>Кириллов Д.А.
Селин А.В.</t>
  </si>
  <si>
    <t>Муниципальное бюджетное образовательное учреждение дополнительного образования "Спортивная школа № 12"</t>
  </si>
  <si>
    <t>Липецк</t>
  </si>
  <si>
    <t>398020, г. Липецк, ул. Гранитная, 2а</t>
  </si>
  <si>
    <t>dussh-12.football@yandex.ru</t>
  </si>
  <si>
    <t>Зиянгиров И.Д. С-УЕФА</t>
  </si>
  <si>
    <t>1. Увеличить количество официальных соревнований для девочек с 7 лет. 2. Соревнования проводить по годам рождения.</t>
  </si>
  <si>
    <t xml:space="preserve">ГАУ ДО ЛО "ОК СШОР" </t>
  </si>
  <si>
    <t xml:space="preserve">398002, Липецкая область, город Липецк, ул Гагарина, д. 70а </t>
  </si>
  <si>
    <t>+7 (4742) 72-69-69</t>
  </si>
  <si>
    <t>okdysh@mail.ru</t>
  </si>
  <si>
    <t>МКУ ДО "СШ"Восточная"</t>
  </si>
  <si>
    <t>Лиски</t>
  </si>
  <si>
    <t>397902, Воронежская Область, р-н Лискинский, г. Лиски, ул. 40 Лет Победы, д.3</t>
  </si>
  <si>
    <t>+7 (47391) 3-84-30</t>
  </si>
  <si>
    <t>Vostochnaya_DYUSSH@govvrn.ru</t>
  </si>
  <si>
    <t>Муниципальное бюджетное учреждение дополнительного образования "Мглинская спортивная школа" Брянской области</t>
  </si>
  <si>
    <t>Мглин</t>
  </si>
  <si>
    <t>243220, Брянская область, г. Мглин, пл. Советская, д.6а</t>
  </si>
  <si>
    <t>8(48339) 2-31-09</t>
  </si>
  <si>
    <t>хотелось бы соревнований для смешанных команд</t>
  </si>
  <si>
    <t>ШСК "Надежды спорта"</t>
  </si>
  <si>
    <t>Мичуринск</t>
  </si>
  <si>
    <t xml:space="preserve">393761, Тамбовская область, город Мичуринск, Полтавская ул., д.159 </t>
  </si>
  <si>
    <t>+7 (4754) 55-08-62</t>
  </si>
  <si>
    <t>michschool7@obr.g45.tambov.gov.ru</t>
  </si>
  <si>
    <t xml:space="preserve">СШ </t>
  </si>
  <si>
    <t xml:space="preserve">Терехов Алексей Андреевич </t>
  </si>
  <si>
    <t>Увеличить количество соревнований среди девочек. Поддержка областной фередации футбола. Помощь для получение тренерской категории</t>
  </si>
  <si>
    <t>Тамбовское областное государственное автономное учреждение дополнительного образования "Спортивная школа олимпийского резерва № 4 "Мичуринск"</t>
  </si>
  <si>
    <t>Тамбовская обл., г. Мичуринск, ул. Красная, д. 64</t>
  </si>
  <si>
    <t>sport.michurinsk@sport.tambov.gov.ru</t>
  </si>
  <si>
    <t>Буданцев Игорь Владимирович</t>
  </si>
  <si>
    <t>МБУДО "СШ Мценского района"</t>
  </si>
  <si>
    <t>Мценский район</t>
  </si>
  <si>
    <t>Мценский района, Тельчье, улица Садовая, дом 20</t>
  </si>
  <si>
    <t>dyussh.mr.yandex.ru</t>
  </si>
  <si>
    <t>Навлинская МДУ ДО Спортивная школа</t>
  </si>
  <si>
    <t>Навля</t>
  </si>
  <si>
    <t>улица. Ленина дом 84</t>
  </si>
  <si>
    <t>navlya.diussh@yandex.ru</t>
  </si>
  <si>
    <t xml:space="preserve">нет смысла </t>
  </si>
  <si>
    <t xml:space="preserve">Муниципальное учреждение "Спортивная школа имени Богатырева А.М." </t>
  </si>
  <si>
    <t>Николаевск</t>
  </si>
  <si>
    <t xml:space="preserve"> ул. Октябрьская , 23а</t>
  </si>
  <si>
    <t>8(844 94) 6-12-50</t>
  </si>
  <si>
    <t>dush64@yandex.ru</t>
  </si>
  <si>
    <t>Новоаненская СШ Беркут</t>
  </si>
  <si>
    <t>Новоанинский</t>
  </si>
  <si>
    <t>Ленина 81</t>
  </si>
  <si>
    <t>novan_do.sport@volganet.ru</t>
  </si>
  <si>
    <t>МКУ ДО "Спортивная школа городского округа город Нововоронеж"</t>
  </si>
  <si>
    <t>Нововоронеж</t>
  </si>
  <si>
    <t>Воронежская область, г. Нововоронеж, ул. Строителей, д. 1</t>
  </si>
  <si>
    <t>+7 (473) 645-19-60</t>
  </si>
  <si>
    <t>nvsport@govvrn.ru</t>
  </si>
  <si>
    <t>Муниципальное бюджетное учреждение дополнительного образования «Детско-юношеская спортивная школа» Пронского района Рязанской области</t>
  </si>
  <si>
    <t>Новомичуринск</t>
  </si>
  <si>
    <t>Новомичуринск, микрорайон Д, 21Д</t>
  </si>
  <si>
    <t>8(49141)42028</t>
  </si>
  <si>
    <t>dyussh.pronsk@ryazan.gov.ru</t>
  </si>
  <si>
    <t>МКУДО Новохоперская ДЮСШ</t>
  </si>
  <si>
    <t>Новохоперск</t>
  </si>
  <si>
    <t>Советская 144</t>
  </si>
  <si>
    <t>3-16-12</t>
  </si>
  <si>
    <t>dush.nvh@mail.ru</t>
  </si>
  <si>
    <t xml:space="preserve">Спортивный клуб Бобовичи  </t>
  </si>
  <si>
    <t>Новые Бобовичи</t>
  </si>
  <si>
    <t>Улица Советская д. 30</t>
  </si>
  <si>
    <t>aleksandreroshenko@mail.ru</t>
  </si>
  <si>
    <t>СК СОШ</t>
  </si>
  <si>
    <t>БУ ДО ОО «СШ «Академия футбола имени Ю.П. Семина»</t>
  </si>
  <si>
    <t>Орел</t>
  </si>
  <si>
    <t>302028, Орловская область, г. Орел, ул. Тургенева, д. 55</t>
  </si>
  <si>
    <t>oo_bu_rusichi@orel-region.ru</t>
  </si>
  <si>
    <t>Акимов Руслан Викторович, Сафонов Максим Сергеевич, Николаев Максим Владимирович</t>
  </si>
  <si>
    <t>СШ Русичи</t>
  </si>
  <si>
    <t>г. Орел стадион им. Ленина</t>
  </si>
  <si>
    <t>bu_rusihi@orel-region.ru</t>
  </si>
  <si>
    <t>На соревнования выезжаем только в Брянскую область и фестивали в Ливнах</t>
  </si>
  <si>
    <t>ОрелГУ</t>
  </si>
  <si>
    <t>Комсомольская 95</t>
  </si>
  <si>
    <t>8-4862-751318</t>
  </si>
  <si>
    <t>info@oreluniver.ru</t>
  </si>
  <si>
    <t>Муниципальное бюджетное учреждение дополнительного образования "Спортивная школа №3 г. Орла"</t>
  </si>
  <si>
    <t>Орёл</t>
  </si>
  <si>
    <t>г. Орёл, ул. Латышских стрелков, д. 103</t>
  </si>
  <si>
    <t>+7 (4862) 77-10-53</t>
  </si>
  <si>
    <t>oo_orel_ssh3@orel-region.ru</t>
  </si>
  <si>
    <t>Ноздрин В.А. - С-УЕФА</t>
  </si>
  <si>
    <t>МКОУ ДО "Павловская СШ"</t>
  </si>
  <si>
    <t>Павловск</t>
  </si>
  <si>
    <t>396420,Россия, Воронежская область, г. Павловск, проспект Революции – 102 «А»</t>
  </si>
  <si>
    <t xml:space="preserve"> pavlovsk.dyussh@govvrn.ru</t>
  </si>
  <si>
    <t>Спасибо, вопросов нет</t>
  </si>
  <si>
    <t>МКОУ ДО «Павловская СШ»</t>
  </si>
  <si>
    <t>Воронежская обл.; г. Павловск, пр. Революции -102 «А»</t>
  </si>
  <si>
    <t>8(4732) 2-68-80</t>
  </si>
  <si>
    <t>pavlovsk.dyussh@govvrn.ru</t>
  </si>
  <si>
    <t>Петропавловская детско-юношеская спортивная школа</t>
  </si>
  <si>
    <t>Петропавловка</t>
  </si>
  <si>
    <t>397670, Воронежская область, Петропавловский район,  с. Петропавловка, ул. Победы, д. 30/1</t>
  </si>
  <si>
    <t>8-473-65-2-15-05</t>
  </si>
  <si>
    <t>mkoudysch@yandex.ru</t>
  </si>
  <si>
    <t>МАУ ДО "Спортивная школа "Чемпион" Почепского района"</t>
  </si>
  <si>
    <t>Почеп</t>
  </si>
  <si>
    <t>БРЯНСКАЯ ОБЛАСТЬ, ПОЧЕПСКИЙ Р-Н, 1 ПОЧЕПСКОЕ, Г ПОЧЕП, ПРОЕЗД 1-Й ОКТЯБРЬСКИЙ, Д. 3А</t>
  </si>
  <si>
    <t>cool.sovetova2012@gmail.com</t>
  </si>
  <si>
    <t>Муниципальное бюджетное образовательное учреждение дополнительного образования детей «Детско-юношеская спортивная школа» имени С.С. Реутова</t>
  </si>
  <si>
    <t>рабочий посёлок Чернь</t>
  </si>
  <si>
    <t>301090, Тульская обл., п. Чернь, ул. Свободная, д.147</t>
  </si>
  <si>
    <t>8 (48756) 2-12-09</t>
  </si>
  <si>
    <t>dusch.chern@tularegion.org</t>
  </si>
  <si>
    <t>Шадский Виктор Сергеевич</t>
  </si>
  <si>
    <t>Муниципальное казенное учреждение дополнительного образования "Россошанская спортивная школа"</t>
  </si>
  <si>
    <t>Россошь</t>
  </si>
  <si>
    <t>Воронежская обл., г. Россошь, ул. Дзержинского, зд. 66Б</t>
  </si>
  <si>
    <t>+7 (47396) 66-0-45</t>
  </si>
  <si>
    <t>rossoshdussh@mail.ru</t>
  </si>
  <si>
    <t>МБУДО "Рогнединская СШ"</t>
  </si>
  <si>
    <t>рп Рогнедино</t>
  </si>
  <si>
    <t>ул. Ленина 40</t>
  </si>
  <si>
    <t>rognedinosport@rambler.ru</t>
  </si>
  <si>
    <t>Милевская О.С.</t>
  </si>
  <si>
    <t>Разрешить играть девочкам вместе с мальчиками</t>
  </si>
  <si>
    <t>МБОУ ДО "Рыльская ДЮСШ"</t>
  </si>
  <si>
    <t>Рыльск</t>
  </si>
  <si>
    <t>г Рыльск ул Кирова д.2 М</t>
  </si>
  <si>
    <t>d_ssh@mail.ru</t>
  </si>
  <si>
    <t>нет возможности принимать участие в соревнованиях</t>
  </si>
  <si>
    <t>В 2025 году регулярные тренировки не проводились</t>
  </si>
  <si>
    <t>СК "Рязань" (структурное подразделение "Спортивная школа по футболу"</t>
  </si>
  <si>
    <t>Рязань</t>
  </si>
  <si>
    <t>390000, г. Рязань, ул. Маяковского д. 46</t>
  </si>
  <si>
    <t>+7(4912) 55-03-14</t>
  </si>
  <si>
    <t>futbol@bk.ru</t>
  </si>
  <si>
    <t>ГАУ РО "ФК "Рязань"</t>
  </si>
  <si>
    <t>ул. Маяковского, д. 46</t>
  </si>
  <si>
    <t>+7(4912) 70-78-07</t>
  </si>
  <si>
    <t xml:space="preserve"> academy@pfcryazan.ru</t>
  </si>
  <si>
    <t>Субботин Д.А. В-УЕФА</t>
  </si>
  <si>
    <t xml:space="preserve">МБУ ДО ДЮСШ </t>
  </si>
  <si>
    <t xml:space="preserve">Сафоново </t>
  </si>
  <si>
    <t>Смоленская область, город Сафоново, ул Гагарина 7</t>
  </si>
  <si>
    <t>8(48142)43941</t>
  </si>
  <si>
    <t>mbydodush@yandex.ru</t>
  </si>
  <si>
    <t>МБУ ДО СШ "Буревестник" г. Севск</t>
  </si>
  <si>
    <t>Севск</t>
  </si>
  <si>
    <t>242440 Брянская область, г. Севск, ул. Розы Люксембург, д. 50</t>
  </si>
  <si>
    <t>8(48356) 9-70-65</t>
  </si>
  <si>
    <t>burevestniksevsk@yandex.ru</t>
  </si>
  <si>
    <t>Спортивный клуб детско-юношеского спорта "СГУС"</t>
  </si>
  <si>
    <t>Смоленская область</t>
  </si>
  <si>
    <t>Смоленск</t>
  </si>
  <si>
    <t>Смоленск, пр-т Гагарина 23 а</t>
  </si>
  <si>
    <t>olgakuzenkova70@gmail.com</t>
  </si>
  <si>
    <t>АНО СК "РЕГИОН-67"</t>
  </si>
  <si>
    <t>ул. Индустриальная 9А</t>
  </si>
  <si>
    <t>academyfootball@bk.ru</t>
  </si>
  <si>
    <t>муниципальное бюджетное учреждение дополнительного образования спортивная школа № 5 по футболу</t>
  </si>
  <si>
    <t>ул.Попова д.20Б</t>
  </si>
  <si>
    <t>smolsport5@mail.ru</t>
  </si>
  <si>
    <t>в Смоленской области нет официальных соревнований для девочек, девушек</t>
  </si>
  <si>
    <t>Попов Александр Валентинович "С" - УЕФА</t>
  </si>
  <si>
    <t>Больше информации в регионы о проведении соревнований, проведение мастер-классов , открытых уроков, приглашение тренеров на семинары, круглые столы</t>
  </si>
  <si>
    <t>МБУДО "Сосновская спортивная школа"</t>
  </si>
  <si>
    <t>Сосновка</t>
  </si>
  <si>
    <t>Тамбовская обл.Сосновский МО.Р/П Сосновка,ул.Котовского 12а</t>
  </si>
  <si>
    <t>sosnduz@r32.tambov.gov.ru</t>
  </si>
  <si>
    <t>Кобзев В.С.</t>
  </si>
  <si>
    <t>МАУ ДО СШ Среднеахтубинского района</t>
  </si>
  <si>
    <t>Средняя Ахтуба</t>
  </si>
  <si>
    <t>Волгоградская область, Среднеахтубинский район, р. п. Средняя Ахтуба, ул. Вятская, 2а</t>
  </si>
  <si>
    <t>(84479) 5-36-02</t>
  </si>
  <si>
    <t>ssh-ahtyba@yandex.ru</t>
  </si>
  <si>
    <t>АНО ФК "Молния-31"</t>
  </si>
  <si>
    <t>Старый Оскол</t>
  </si>
  <si>
    <t xml:space="preserve">309502, Белгородская область, г Старый Оскол, мкр Дубрава Квартал 1, д. 7, кв. 19 </t>
  </si>
  <si>
    <t>molniafc@yandex.ru</t>
  </si>
  <si>
    <t xml:space="preserve">Автономная некоммерческая организация </t>
  </si>
  <si>
    <t>Струев Н.В. C-УЕФА</t>
  </si>
  <si>
    <t>МБУ ДО СШ "Спартак"</t>
  </si>
  <si>
    <t>Белгородская область, город Старый Оскол, м-н Горняк, 22а</t>
  </si>
  <si>
    <t>8(4725) 39-51-75</t>
  </si>
  <si>
    <t>spartak.4725@mail.ru</t>
  </si>
  <si>
    <t>Шаповалова Т.С.- С-УЕФА; Дмитриева Н.А.-нет</t>
  </si>
  <si>
    <t>Орлята СК</t>
  </si>
  <si>
    <t>Супонево</t>
  </si>
  <si>
    <t>С.Супонево, ул.Советская, д.10А</t>
  </si>
  <si>
    <t>"suponevo-2-032@yandex.ru" &lt;suponevo-2-032@yandex.ru&gt;</t>
  </si>
  <si>
    <t>Арещенко Л.А.</t>
  </si>
  <si>
    <t>ГУ ДО "СШОР №1 "АКАДЕМИЯ ФУТБОЛА"</t>
  </si>
  <si>
    <t>ТАМБОВ</t>
  </si>
  <si>
    <t xml:space="preserve">392000 ТАМБОВ, УЛ .ГАСТЕЛЛО, Д.46 </t>
  </si>
  <si>
    <t>AKADEMIA68@YANDEX.RU</t>
  </si>
  <si>
    <t>МАЛЮТИН В.А. С-УЕФА</t>
  </si>
  <si>
    <t>МКУ ДО "Терновская ДЮСШ"</t>
  </si>
  <si>
    <t>Терновка</t>
  </si>
  <si>
    <t xml:space="preserve">Воронежская обл., Терновской р-он, с. Терновка, ул. Советская, д.51 </t>
  </si>
  <si>
    <t xml:space="preserve">8(47347)-5-15-44 </t>
  </si>
  <si>
    <t>terndush.ternov@govvrn.ru</t>
  </si>
  <si>
    <t>Поздняков В. М., Щербатых Е. И., Ключевский А. В.</t>
  </si>
  <si>
    <t>АНО "ПФК "АРСЕНАЛ"</t>
  </si>
  <si>
    <t>Тула</t>
  </si>
  <si>
    <t>300012, г. Тула, пр. Ленина, 87</t>
  </si>
  <si>
    <t>academy@arsenaltula.ru</t>
  </si>
  <si>
    <t>Центр подготовки юных футболистов-Академия "Арсенал"</t>
  </si>
  <si>
    <t>Мазов В.В. В-УЕФА, Икаев А.С. С-УЕФА, Родионов А.С. С-УЕФА, Плотникова Е.Б. С-УЕФА, Прошкина Я.А. -</t>
  </si>
  <si>
    <t>ЖФК Тула</t>
  </si>
  <si>
    <t>Рязанская 18 кв 14</t>
  </si>
  <si>
    <t>wfc-tula@yandex.ru</t>
  </si>
  <si>
    <t>МБУДО СШ "Олимп"</t>
  </si>
  <si>
    <t>Тульская область, п. Ленинский, ул. Гагарина, 9</t>
  </si>
  <si>
    <t>mbuolimp@tularegion.org</t>
  </si>
  <si>
    <t>ГУ ДО ТО "СШ "ЦИВС"</t>
  </si>
  <si>
    <t>Тульская область, поселок Обидимо, ул Советская 2а</t>
  </si>
  <si>
    <t>shi.obidimo@tularegion.ru</t>
  </si>
  <si>
    <t>Шароваров Д.М. Бондарев С.О. С-УЕФА</t>
  </si>
  <si>
    <t>Усмань</t>
  </si>
  <si>
    <t>Новоселов 4а</t>
  </si>
  <si>
    <t>4-16-53</t>
  </si>
  <si>
    <t>sport.hkola@yandex.ru</t>
  </si>
  <si>
    <t>МБУДО "Холмовская спортивная школа"</t>
  </si>
  <si>
    <t>Холм-Жирковский</t>
  </si>
  <si>
    <t>пер.Парковый, д.2Б</t>
  </si>
  <si>
    <t xml:space="preserve">sportholm2015@yandex.ru </t>
  </si>
  <si>
    <t>МОУ "Чучковская СШ"</t>
  </si>
  <si>
    <t>Чучково</t>
  </si>
  <si>
    <t>391420, Рязанская область, Чучковский район, р.п. Чучково, ул. Новая, д.9</t>
  </si>
  <si>
    <t>+7 (49138) 7-15-30</t>
  </si>
  <si>
    <t>sh.chuchkovo@mail.ru</t>
  </si>
  <si>
    <t>АзбукАСпорта</t>
  </si>
  <si>
    <t>Ярцево</t>
  </si>
  <si>
    <t>Ярцево Южная 4</t>
  </si>
  <si>
    <t xml:space="preserve">МКУ ДО СШ «Спартак» </t>
  </si>
  <si>
    <t>Юг</t>
  </si>
  <si>
    <t>Абинск</t>
  </si>
  <si>
    <t>353320, Краснодарский край, Абинский р-н, Абинск г, Советов ул, дом № 35</t>
  </si>
  <si>
    <t>+7 (86150) 202 65 00 доб (701)</t>
  </si>
  <si>
    <t>spartak-abinsk@mail.ru</t>
  </si>
  <si>
    <t>Черепухин В.Г.</t>
  </si>
  <si>
    <t>ГБУ ДО РО "СШОР№9"</t>
  </si>
  <si>
    <t>Азов</t>
  </si>
  <si>
    <t>Мира, 8</t>
  </si>
  <si>
    <t>osdushor9@mail.ru</t>
  </si>
  <si>
    <t>АФК"Дончанка"</t>
  </si>
  <si>
    <t>Проезд Литейный 2</t>
  </si>
  <si>
    <t>skdonchanka@mail.ru</t>
  </si>
  <si>
    <t>ГБУ ДО РО СШОР №9</t>
  </si>
  <si>
    <t xml:space="preserve">Азов </t>
  </si>
  <si>
    <t>Ул. Мира 8</t>
  </si>
  <si>
    <t>osdushor9@ mail.ru</t>
  </si>
  <si>
    <t>Гринёв А.Л , Цвиринько Г.Н , Цуканова Л.А</t>
  </si>
  <si>
    <t>МБУ ДО СШ 7</t>
  </si>
  <si>
    <t>Анапа</t>
  </si>
  <si>
    <t>г Анапа ст. Анапская ул Тбилисская 1в</t>
  </si>
  <si>
    <t>(86133) 7-27-95</t>
  </si>
  <si>
    <t>dush7@anapaedu.ru​​​​​​​</t>
  </si>
  <si>
    <t>Гармаш А.А.</t>
  </si>
  <si>
    <t>МБУ ДО СШ ЦП ВВС «Олимп»</t>
  </si>
  <si>
    <t>353422 Краснодарский край, город-курорт Анапа, п. Виноградный, улица Таманская, 2в</t>
  </si>
  <si>
    <t>8(86133)96258</t>
  </si>
  <si>
    <t>olimp@anapaedu.ru</t>
  </si>
  <si>
    <t>Булгаков Алексей Анатольевич, Касина Ульяна Викторовна, Гончаров Юрий Петрович</t>
  </si>
  <si>
    <t>МКУ ДО СШ "Олимп" Апшеронского района</t>
  </si>
  <si>
    <t>Апшеронск</t>
  </si>
  <si>
    <t>352690, Краснодарский край, г. Апшеронск, ул. Спорта, 2</t>
  </si>
  <si>
    <t>8-861-52-2-54-95</t>
  </si>
  <si>
    <t>olimpmaster@bk.ru</t>
  </si>
  <si>
    <t>МКУ ДО СШ "Авангард" Апшеронск</t>
  </si>
  <si>
    <t xml:space="preserve">Апшеронск </t>
  </si>
  <si>
    <t>Апшеронск, ул. Королева, 128</t>
  </si>
  <si>
    <t>2-74-79</t>
  </si>
  <si>
    <t>maoydoddusha@mail.ru</t>
  </si>
  <si>
    <t xml:space="preserve">Гвоздёв Александр Николаевич 
Синенко Алексей Николаевич </t>
  </si>
  <si>
    <t>МБУ ДО СШ Арзгирского района</t>
  </si>
  <si>
    <t>Ставропольский край</t>
  </si>
  <si>
    <t>Арзгир</t>
  </si>
  <si>
    <t>Арзгирский район, с.Арзгир,  ул.П.Базалеева,  д.8</t>
  </si>
  <si>
    <t>8 (865 60) 3-14-30</t>
  </si>
  <si>
    <t>arzdush@yandex.ru</t>
  </si>
  <si>
    <t>Петренко В.С.</t>
  </si>
  <si>
    <t>0612.2025 15:45:03</t>
  </si>
  <si>
    <t>МАУ ДО СШ по футболу г.Армавир</t>
  </si>
  <si>
    <t xml:space="preserve">Армавир </t>
  </si>
  <si>
    <t>Свердлова 92</t>
  </si>
  <si>
    <t>2-34-00</t>
  </si>
  <si>
    <t>school.football.armavir@mail.ru</t>
  </si>
  <si>
    <t>Джугелия Лилия Валерьевна</t>
  </si>
  <si>
    <t>МБУ ДО г. Астрахани «СШ 1»</t>
  </si>
  <si>
    <t>Астраханская область</t>
  </si>
  <si>
    <t>Астрахань</t>
  </si>
  <si>
    <t>Г. Астрахань, ул. Капитана Краснова, 26</t>
  </si>
  <si>
    <t>cdo-3@mail.ru</t>
  </si>
  <si>
    <t>Абдуллов Н.А -С-УЕФА, Арюкова Р.В.-С-УЕФА</t>
  </si>
  <si>
    <t>АНО "СФК "Волгарь"</t>
  </si>
  <si>
    <t>г. Астрахань, ул. Латышева, 3</t>
  </si>
  <si>
    <t>sfc@volgar-fc.ru</t>
  </si>
  <si>
    <t>Департамент по развитию женского футбола</t>
  </si>
  <si>
    <t>Проживалов С.В. - В-УЕФА, Аитов Х.А. - В-УЕФА, Попова А.Н. -С-УЕФА, Трещилина К.Ю.-б/л</t>
  </si>
  <si>
    <t xml:space="preserve">Спортивный клуб Астрахань </t>
  </si>
  <si>
    <t xml:space="preserve">Астрахань </t>
  </si>
  <si>
    <t>Город Астрахань улица Ползунова 1Б</t>
  </si>
  <si>
    <t>8 (937) 900-35-57</t>
  </si>
  <si>
    <t>sc-astrakhan@mail.ru</t>
  </si>
  <si>
    <t>МБУ ДО "ДЮСШ по футболу "Ахцах"</t>
  </si>
  <si>
    <t>Республика Дагестан</t>
  </si>
  <si>
    <t>Ахты</t>
  </si>
  <si>
    <t>Ахтынский район Ахты</t>
  </si>
  <si>
    <t>bagirov.nuraddin@gmail.ru</t>
  </si>
  <si>
    <t>МБУ ДО "СШ Белоглинского района"</t>
  </si>
  <si>
    <t>Белая Глина</t>
  </si>
  <si>
    <t>353040, Краснодарский край, Белоглинский р-н, Белая Глина с, Красная ул., дом № 106А</t>
  </si>
  <si>
    <t>+7(86154) 7-24-05</t>
  </si>
  <si>
    <t>sportblg2012@yandex.ru</t>
  </si>
  <si>
    <t>Шевердинов С.А.,Пахомов В.Ф., Ефремов Ю.А.</t>
  </si>
  <si>
    <t>МБОШИ им. Каниди</t>
  </si>
  <si>
    <t>Республика Северная Осетия — Алания</t>
  </si>
  <si>
    <t>Беслан</t>
  </si>
  <si>
    <t>г. Беслан ул. Окружная 7</t>
  </si>
  <si>
    <t>867-3746220</t>
  </si>
  <si>
    <t>moshikanidi@list.ru</t>
  </si>
  <si>
    <t xml:space="preserve">МБОШИ </t>
  </si>
  <si>
    <t>Кокаев Арам Юрьевич C РФС</t>
  </si>
  <si>
    <t>МАУ ДО "СШ "Родина" станицы Бесскорбной"</t>
  </si>
  <si>
    <t>Бесскорбная</t>
  </si>
  <si>
    <t>352200 Новокубанский район, станица Бесскорбная, улица Ленина, дом 200</t>
  </si>
  <si>
    <t>8(861)952-31-12</t>
  </si>
  <si>
    <t>pk-rodina@mail.ru</t>
  </si>
  <si>
    <t>Вопросов нет</t>
  </si>
  <si>
    <t xml:space="preserve">МБОУ ДО СШ Боковского района </t>
  </si>
  <si>
    <t>Боковская</t>
  </si>
  <si>
    <t xml:space="preserve">Ростовская область, Боковский район, станица Боковская, переулок Чкалова, 59-а </t>
  </si>
  <si>
    <t xml:space="preserve">Skolsport@mail.ru </t>
  </si>
  <si>
    <t>МБУ ДО спортивная школа ст. Брюховецкой</t>
  </si>
  <si>
    <t>Брюховецкая</t>
  </si>
  <si>
    <t>352750, Краснодарский край, Брюховецкий район, ст. Брюховецкая, ул. О.Кошевого, 119 А</t>
  </si>
  <si>
    <t>(861-56) 20-488</t>
  </si>
  <si>
    <t>brsport2006@yandex.ru</t>
  </si>
  <si>
    <t>Астанков С.А., Гузий Д.А.</t>
  </si>
  <si>
    <t>МКОУ «Винновская СОШ»</t>
  </si>
  <si>
    <t>Винный</t>
  </si>
  <si>
    <t xml:space="preserve">416174, Астраханская область, Володарский район, поселок Винный, ул. Им.Лати Каримова, зд. 2 </t>
  </si>
  <si>
    <t>8-(85142) 9-11-26</t>
  </si>
  <si>
    <t>vinnoeadm@astrobl.ru</t>
  </si>
  <si>
    <t xml:space="preserve">ШСК </t>
  </si>
  <si>
    <t>Преонов В.В.</t>
  </si>
  <si>
    <t>Academy Afsanti</t>
  </si>
  <si>
    <t>Владикавказ</t>
  </si>
  <si>
    <t xml:space="preserve"> г. Владикавказ, ул. Владикавказская, д.69 «Г».</t>
  </si>
  <si>
    <t>+7 906 999 15 15</t>
  </si>
  <si>
    <t>salbiev111@mail.ru</t>
  </si>
  <si>
    <t>Частная школа футбола</t>
  </si>
  <si>
    <t>До 15 лет, До 17 лет, До 19 лет, Взрослые</t>
  </si>
  <si>
    <t>Салбиев А.С. С-УЕФА</t>
  </si>
  <si>
    <t>Сейчас заходим еще в несколько школ надеюсь девочек станет больше. Хотелось бы больше методических материалов по тренировкам девочек</t>
  </si>
  <si>
    <t xml:space="preserve">АФ Алания </t>
  </si>
  <si>
    <t>Г Владикавказ пр Коста 8</t>
  </si>
  <si>
    <t>8(867)2333405</t>
  </si>
  <si>
    <t>Fa-alania@mail.ru</t>
  </si>
  <si>
    <t xml:space="preserve">Академия Футбола Алания </t>
  </si>
  <si>
    <t>Гулиев С.Б B-UEFA
Мишелашвили В.Д C-UEFA
Тиникашвили Г.С C-UEFA
Дзиов А.А B-UEFA(тр вратарей)
Березов Э.А B-UEFA</t>
  </si>
  <si>
    <t>Хотелось бы больше внимания и ифроструктуры ,больше турниров ,чтобы дети играли дома в своей команде ,а не уезжали ,в юфл чемпионате чтобы играли весь год по своим возрастам ,а не за пару месяцев заканчивать весь чемпионат ,к которому готовишься по пол года , спасибо за внимание !</t>
  </si>
  <si>
    <t xml:space="preserve">ГАУ ДО СШ ЮНОСТЬ им. Н.З. Папелишвили </t>
  </si>
  <si>
    <t>Город Владикавказ , улица Леваневского 53</t>
  </si>
  <si>
    <t>+7 (8672) 514382</t>
  </si>
  <si>
    <t>yunost35@mail.ru</t>
  </si>
  <si>
    <t>Тиникашвили Г. С. С-УЕФА</t>
  </si>
  <si>
    <t>АНО ФК «АЛАНТА-Аланы»</t>
  </si>
  <si>
    <t xml:space="preserve">Владикавказ </t>
  </si>
  <si>
    <t>Владикавказ ул. Весенняя</t>
  </si>
  <si>
    <t>V.v.k.kibizov@yandex.ru</t>
  </si>
  <si>
    <t>Кибизов В.В. С-УЕФА</t>
  </si>
  <si>
    <t>МАУ ДО СШ</t>
  </si>
  <si>
    <t>Выселки</t>
  </si>
  <si>
    <t>ул. Ленина 196</t>
  </si>
  <si>
    <t>djussh_viselki@mail.ru</t>
  </si>
  <si>
    <t>Любин Е. А.</t>
  </si>
  <si>
    <t xml:space="preserve">МБУ СШ Спарта </t>
  </si>
  <si>
    <t xml:space="preserve">Геленджик </t>
  </si>
  <si>
    <t>С.Кабардинка, ул. Горная, 60</t>
  </si>
  <si>
    <t>dush.sparta@ mail.ru</t>
  </si>
  <si>
    <t xml:space="preserve">Загуменная Елена Сергеевна </t>
  </si>
  <si>
    <t>Больше соревнований в младших возрастных группах</t>
  </si>
  <si>
    <t>МБУ ДО СШ Спарта</t>
  </si>
  <si>
    <t>Геленджик Кабардинка</t>
  </si>
  <si>
    <t>353480, с. Кабардинка, ул. Революционная, д. 90</t>
  </si>
  <si>
    <t>dush-sparta@mail.ru</t>
  </si>
  <si>
    <t>Загуменная Е.С,</t>
  </si>
  <si>
    <t>МБУ ДО СШ "Олимп"</t>
  </si>
  <si>
    <t>Глубокий</t>
  </si>
  <si>
    <t>ул. Щаденко 32</t>
  </si>
  <si>
    <t>sportchkola.olimp@mail.ru</t>
  </si>
  <si>
    <t xml:space="preserve">МБУ ДО СШ № 1   МО ГУЛЬКЕВИЧСКИЙ РАЙОН ИМЕНИ ЗАСЛУЖЕНОГО ТРЕНЕРА  РОССИИ А.Ф. БОНДАРЕВА  </t>
  </si>
  <si>
    <t>Гулькевичи</t>
  </si>
  <si>
    <t>Комсомольская ул., 80, г. Гулькевичи,Гу лькевич.          ский район,  Краснодарский край,</t>
  </si>
  <si>
    <t>86160  3-33-67</t>
  </si>
  <si>
    <t xml:space="preserve"> e-mail: sdyshor1.gul@mail.ru</t>
  </si>
  <si>
    <t>Шетинин Е.В., Сидоренко В.В., Лазарида Л.Г.</t>
  </si>
  <si>
    <t>МАУ ДО "СШ № 3" МО ДИНСКОЙ РАЙОН</t>
  </si>
  <si>
    <t>Динская</t>
  </si>
  <si>
    <t>СТ. ДИНСКАЯ, УЛ. ТЕЛЬМАНА 139/1</t>
  </si>
  <si>
    <t>sportschooldinsk@mail.ru</t>
  </si>
  <si>
    <t>Каримов Н.И.</t>
  </si>
  <si>
    <t>АНО "Центр подготовки футболистов "ЧЕМПИОН"</t>
  </si>
  <si>
    <t>Ейск</t>
  </si>
  <si>
    <t>ул. Красная, д. 66/6, кв. 19</t>
  </si>
  <si>
    <t>maxim46rus@rambler.ru</t>
  </si>
  <si>
    <t>Автономная некоммерческая организация (СО НКО)</t>
  </si>
  <si>
    <t>Гнедых М.А., нет</t>
  </si>
  <si>
    <t xml:space="preserve">В 2024 и 2025 гг на территории Ейского района наша организация реализовала 2 социальных проекта развития женского футбола с использованием грантов Губернатора Кубани. Более 2,3 млн рублей были направлены на проведение 319 практических и теоретических мероприятий для более 5000 благополучателей (дошкольницы, младшие школьницы, педагоги, законные представители несовершеннолетних). Был приобретен инвентарь для бесплатных занятий в секции футбола, были оплачены медицинские осмотры с визой спортивного врача, были оплачены выезды в г. Краснодар на мастер-класс от женского отделения Академии СШОР "Кубань" и просмотр матча группового этапа Кубка России по футболу между ФК "Краснодар" и ФК "Крылья Советов", а также полностью оплачено участие двух команд в финальных турнирах ДФЛ "Большие звезды светят малым" среди девочек 2015 г.р. и "Загрузи себя футболом!" среди девочек 2014 г.р. Главный социальный эффект - разрушен стереотип, что футбол - не женское занятие. </t>
  </si>
  <si>
    <t>МКОУ "Забузанская СОШ имени Турченко Э. П."</t>
  </si>
  <si>
    <t>Забухан</t>
  </si>
  <si>
    <t>с. Забузан, улица Свердлова 5</t>
  </si>
  <si>
    <t>zabuzah scool63@mai.ru</t>
  </si>
  <si>
    <t>Попов В. М., Суханова Д,Ш.</t>
  </si>
  <si>
    <t>Проводить почаще встречи с легендами Российского футбола, семинары с тренерами.</t>
  </si>
  <si>
    <t xml:space="preserve">МКОУ ЗЕНЗЕЛИНСКАЯ СОШ </t>
  </si>
  <si>
    <t>Зензели</t>
  </si>
  <si>
    <t>Астраханская область Лиманский район С.Зензели ул Мира 36</t>
  </si>
  <si>
    <t>limzenzeli@yandex.ru</t>
  </si>
  <si>
    <t>Куркова В.А.</t>
  </si>
  <si>
    <t xml:space="preserve">Всё хорошо спасибо Министерству спорта и Федерации футбола </t>
  </si>
  <si>
    <t>МАУ ДО СШ станицы Калининской</t>
  </si>
  <si>
    <t>Калининская Калининского района Краснодарского края</t>
  </si>
  <si>
    <t>Калининский район, ст.Калининская, пер.Лесной, д.11</t>
  </si>
  <si>
    <t>elena1112@list.ru</t>
  </si>
  <si>
    <t>полных групп девочек в спортшколе нет, единицы разбросаны по группам и занимаются вместе с мальчиками</t>
  </si>
  <si>
    <t>МАУ ДО СШ "Олимпиец"</t>
  </si>
  <si>
    <t>Каневская</t>
  </si>
  <si>
    <t>Краснодарский край, Каневской район, ст. Каневская, ул. Вокзальная, 130</t>
  </si>
  <si>
    <t>8(861-64)68-5-94</t>
  </si>
  <si>
    <t>olimpiec2011@mail.ru</t>
  </si>
  <si>
    <t xml:space="preserve">МБОУ МО ГО «Каспийск» МНОГОПРОФИЛЬНЫЙ ЛИЦЕЙ 14 им. ГЕРОЯ РОССИЙСКОЙ ФЕДЕРАЦИИ Н.Э.Гаджимагомедова </t>
  </si>
  <si>
    <t xml:space="preserve">Каспийск </t>
  </si>
  <si>
    <t>Европейская 4</t>
  </si>
  <si>
    <t>mplyceum14@mail.ru</t>
  </si>
  <si>
    <t>Многопрофильный лицей</t>
  </si>
  <si>
    <t>Каспий - РЦО</t>
  </si>
  <si>
    <t>Связная 25</t>
  </si>
  <si>
    <t>djovinko21@gmail.com</t>
  </si>
  <si>
    <t>ГБПОУ</t>
  </si>
  <si>
    <t>Курбанов Д.М</t>
  </si>
  <si>
    <t>МБУ ДО СШ "Смена"</t>
  </si>
  <si>
    <t>Коноково</t>
  </si>
  <si>
    <t>352464, Краснодарский край, Успенский район, с.Коноково, ул. Калинина 51</t>
  </si>
  <si>
    <t>smena30@mail.ru</t>
  </si>
  <si>
    <t>Ждаков Вячеслав Михайлович, Ждаков Андрей Вячеславович</t>
  </si>
  <si>
    <t>МБУ ДО КР СШ "Олимпиец"</t>
  </si>
  <si>
    <t>Красноармейский район, станица Старонижестеблиевская</t>
  </si>
  <si>
    <t>станица Старонижестеблиевская, улица Мира 193/1</t>
  </si>
  <si>
    <t xml:space="preserve">olimpiets@yandex.ru </t>
  </si>
  <si>
    <t>ДФК АНО КК ФК "Легион"</t>
  </si>
  <si>
    <t>Краснодар</t>
  </si>
  <si>
    <t>350028, Краснодарский край, г. Краснодар, ул. Героев-Разведчиков, д. 28, кв. 326</t>
  </si>
  <si>
    <t>+7 (938) 477-67-02</t>
  </si>
  <si>
    <t>mixstyle@mail.ru</t>
  </si>
  <si>
    <t>Гук Алексей Николаевич - С УЕФА, Очиров Очир Викторович С УЕФА</t>
  </si>
  <si>
    <t>МБУ ДО "Спортивная школа № 7" МОГК</t>
  </si>
  <si>
    <t>г. Краснодар Красноармейская, ул., 73/1</t>
  </si>
  <si>
    <t>(861) 992-53-91</t>
  </si>
  <si>
    <t xml:space="preserve">sport_school7@krd.ru </t>
  </si>
  <si>
    <t xml:space="preserve">Аркатов Александр Иванович, Дьяченко Федор Сергеевич </t>
  </si>
  <si>
    <t xml:space="preserve">ГБУ ДО КК "СШОР "АФ "Кубань" </t>
  </si>
  <si>
    <t>г. Краснодар ул. Железнодорожная, 49</t>
  </si>
  <si>
    <t>88612390516, 88612997246</t>
  </si>
  <si>
    <t>footbolkrasnodar@mail.ru</t>
  </si>
  <si>
    <t xml:space="preserve">Зайцева Т.В. - А-УЕФА, Порожнюк Е. А. - В-УЕФА, Фильчукова А. А., Евсеева Т. Г., Ждаков В. М., Миканадзе В. В., Мигуль А.Н.  - В-УЕФА, Коберский В. М. </t>
  </si>
  <si>
    <t>МБОУ ДО СШ №1</t>
  </si>
  <si>
    <t>г. Краснодар, ул. Садовая, д. 11 литер Б</t>
  </si>
  <si>
    <t>sport1krd@bk.ru</t>
  </si>
  <si>
    <t>Савченко С.В.</t>
  </si>
  <si>
    <t>ФК Краснодар</t>
  </si>
  <si>
    <t>ул. Жлобы, 114 А</t>
  </si>
  <si>
    <t>8(861)210-89-90</t>
  </si>
  <si>
    <t>academy@fckrasnodar.ru</t>
  </si>
  <si>
    <t>Бабаев Г.Н.- А-УЕФА, Гладков - В-УЕФА, Бондаренко- В-УЕФА тренер вратарей, Бабаева Д.А - В-УЕФА тренер по физ.подготовке, Пташников Е.А. - А-УЕФА, Ковальчук С.А. -В-УЕФА, Тарасов П.Ю. - В-УЕФА детско-юношеский футбол, тренер по вратарям, Фролова А.В.- С-УЕФА, Беглов А.Ю. - В-УЕФА, Вахрушев О.С.- В-УЕФА.</t>
  </si>
  <si>
    <t>ГБУ ДО КК СШ "Академия футбола"</t>
  </si>
  <si>
    <t>улица 2-я Пятилетка, 14</t>
  </si>
  <si>
    <t>sdushor-5@mail.ru</t>
  </si>
  <si>
    <t>Аладин М.Н. С-УЕФА</t>
  </si>
  <si>
    <t>Просим рассмотреть вопрос о включении нашей команды в число участников Всероссийских соревнований - ЮФЛ среди девочек до 14 лет</t>
  </si>
  <si>
    <t>ЖФК «Екатеринодар»</t>
  </si>
  <si>
    <t xml:space="preserve">Краснодар </t>
  </si>
  <si>
    <t>Ул 2-я Трудовая, д. 1, кВ 50</t>
  </si>
  <si>
    <t>alyanovaa@bk.ru</t>
  </si>
  <si>
    <t xml:space="preserve">До 19 лет, Категория «Женщины» </t>
  </si>
  <si>
    <t>МБУ ДО СШ "Юность" ст.Крыловской</t>
  </si>
  <si>
    <t>Крыловская</t>
  </si>
  <si>
    <t>ст. Крыловская ул.Энгельса, 138</t>
  </si>
  <si>
    <t>sportivnaja2015@mail.ru</t>
  </si>
  <si>
    <t>Мельников Василий Владимирович</t>
  </si>
  <si>
    <t>МБУ ДО СШ "Ровесник"</t>
  </si>
  <si>
    <t>Крымск</t>
  </si>
  <si>
    <t>г.Крымск ул.Свердова, д.3</t>
  </si>
  <si>
    <t>886131 4-21-44</t>
  </si>
  <si>
    <t>dushkrimsk@mail.ru</t>
  </si>
  <si>
    <t>МБУ ДО СШ "Витязь"</t>
  </si>
  <si>
    <t>Краснодарский край, г. Крымск, ул. Синева, д.9</t>
  </si>
  <si>
    <t>fk-vityaz-krimsk@mail.ru</t>
  </si>
  <si>
    <t xml:space="preserve">В нашей школе нет отдельных команд для девочек или девушек. Тренировочный процесс осуществляется в смешанных группах. </t>
  </si>
  <si>
    <t xml:space="preserve"> МБУ ДО СШ  №1 г.Курганинска</t>
  </si>
  <si>
    <t>Курганенск</t>
  </si>
  <si>
    <t>352430, Краснодарский край, г.Курганинск, ул .Д.Бедного, 213</t>
  </si>
  <si>
    <t>8(86147)2-25-56</t>
  </si>
  <si>
    <t>nina.ginko.58@mail.ru</t>
  </si>
  <si>
    <t>Максимов Виталий Александрович</t>
  </si>
  <si>
    <t>МБУ ДО СШ 2</t>
  </si>
  <si>
    <t>Курганинск</t>
  </si>
  <si>
    <t>Калина 41</t>
  </si>
  <si>
    <t>kurg.sport2@mail.ru</t>
  </si>
  <si>
    <t xml:space="preserve">До 10 лет, </t>
  </si>
  <si>
    <t>МБУ ДО СШ</t>
  </si>
  <si>
    <t>Курсавка</t>
  </si>
  <si>
    <t xml:space="preserve"> Андроповский район,  с. Курсавка, улица Красная, № 27</t>
  </si>
  <si>
    <t>8 (86556) 6-40-63</t>
  </si>
  <si>
    <t>dush-androp@list.ru</t>
  </si>
  <si>
    <t>Никитин Александр Юрьевич, Дробыш Евгений Леонидович</t>
  </si>
  <si>
    <t>Не хватает игровой практики для девочек</t>
  </si>
  <si>
    <t>МАУ ДО КСШ "Лидер"</t>
  </si>
  <si>
    <t>Кущевская</t>
  </si>
  <si>
    <t>станица Кущевская ул. Октябрьская 8а</t>
  </si>
  <si>
    <t>+7 (86168) 5-34-96</t>
  </si>
  <si>
    <t>chscolkush@mail.ru</t>
  </si>
  <si>
    <t>Бирюков Владимир Дмитриевич</t>
  </si>
  <si>
    <t>МАУ ДО СШ «Лидер»</t>
  </si>
  <si>
    <t>Ленинградская</t>
  </si>
  <si>
    <t>Ленинградский район,  ст. Ленинградская, ул. Ленина, 96Б</t>
  </si>
  <si>
    <t>8 (86145) 7-23-09</t>
  </si>
  <si>
    <t>mboododush2015@yandex.ru</t>
  </si>
  <si>
    <t>Смирнов Вадим Владимирович, Смирнов Валерий Владимирович</t>
  </si>
  <si>
    <t>ГБО ДО РА "СШ по футболу"</t>
  </si>
  <si>
    <t>Республика Адыгея</t>
  </si>
  <si>
    <t>Майкоп</t>
  </si>
  <si>
    <t>ул. Конституции, 8-а</t>
  </si>
  <si>
    <t>rtspf-adygeya@yandex.ru</t>
  </si>
  <si>
    <t>недостаточное количество человек для проведения соревнований</t>
  </si>
  <si>
    <t>Коломиец В.С.</t>
  </si>
  <si>
    <t>МБУДО "СШ станицы Марьянского"</t>
  </si>
  <si>
    <t>Марьянский</t>
  </si>
  <si>
    <t xml:space="preserve">Российская Федерация, 353823, Краснодарский край, Красноармейский район, станица Марьянская улица Ленина,65 ж </t>
  </si>
  <si>
    <t>sport.maryanskaya@mail.ru</t>
  </si>
  <si>
    <t xml:space="preserve">Тарасенко Вячеслав Андреевич
Муштаев Николай Алексеевич
Макоед Александр Иванович
</t>
  </si>
  <si>
    <t>Автономная некоммерческая организация «Футбольный клуб Динамо»</t>
  </si>
  <si>
    <t>Махачкала</t>
  </si>
  <si>
    <t>город Махачкала, улица Времена года, владение 10</t>
  </si>
  <si>
    <t>dynamo-mcx@yandex.ru</t>
  </si>
  <si>
    <t>футбольная школа (ФШ)</t>
  </si>
  <si>
    <t>Ибрагимова Эльмира Магомедовна В-УЕФА, Зайцев Микаил Сергеевич С-УЕФА</t>
  </si>
  <si>
    <t xml:space="preserve">Олимп </t>
  </si>
  <si>
    <t xml:space="preserve">Махачкала </t>
  </si>
  <si>
    <t>Гагарина 54д</t>
  </si>
  <si>
    <t>Dussho@mail.ru</t>
  </si>
  <si>
    <t xml:space="preserve">Магомедова Баху Хирамагомедовна , Абасов Султан Абасович </t>
  </si>
  <si>
    <t>МБОУ Сяош3</t>
  </si>
  <si>
    <t>Моздок</t>
  </si>
  <si>
    <t xml:space="preserve">г. Моздок ул. Аслана Лалиева1 </t>
  </si>
  <si>
    <t>mozdok3@mail.ru</t>
  </si>
  <si>
    <t>Всем успехов и побед! Здоровья и благополучия!</t>
  </si>
  <si>
    <t>МБУДО СШ1 г.Моздока</t>
  </si>
  <si>
    <t>г.Моздок, ул.Кирова 7</t>
  </si>
  <si>
    <t>sportshkola1mozdok.yandex.ru</t>
  </si>
  <si>
    <t>МБУ СШ Олимп</t>
  </si>
  <si>
    <t>Мостовской</t>
  </si>
  <si>
    <t>пгт. Мостовской , ул. Переправенская 11</t>
  </si>
  <si>
    <t>До 15 лет, До 19 лет</t>
  </si>
  <si>
    <t>Максимов Виталий Александрович, Кузнецов Дмитрий Сергеевич,                                                           Свинухова Ольга Валентиновна</t>
  </si>
  <si>
    <t>ГАУ КБР "ПФК "Спартак-Нальчик"</t>
  </si>
  <si>
    <t>Кабардино-Балкарская Республика</t>
  </si>
  <si>
    <t>Нальчик</t>
  </si>
  <si>
    <t>г. Нальчик, ул. Шогенцукова, д.13</t>
  </si>
  <si>
    <t>88662-42-35-20</t>
  </si>
  <si>
    <t>info.spartak-nalchik@mail.ru</t>
  </si>
  <si>
    <t>Структурное подразделение</t>
  </si>
  <si>
    <t>Лобжанидзе Гия Георгиевич С-УЕФА</t>
  </si>
  <si>
    <t>Муниципальное казенное учреждение дополнительного образования "Спортивная школа по футболу"</t>
  </si>
  <si>
    <t>КБР, г. Нальчик, ул. Шогенцукова, 13</t>
  </si>
  <si>
    <t>8-965-285-77-77</t>
  </si>
  <si>
    <t>mkoudosdushor@mail.ru</t>
  </si>
  <si>
    <t>Джанкишиев А.А. С-УЕФА</t>
  </si>
  <si>
    <t>ДФК «Форвард»</t>
  </si>
  <si>
    <t xml:space="preserve">Нариманов </t>
  </si>
  <si>
    <t>Школьная 9</t>
  </si>
  <si>
    <t>alibek.bal90@mail.ru</t>
  </si>
  <si>
    <t>Балмухамбетов А.А</t>
  </si>
  <si>
    <t>ФК Веста</t>
  </si>
  <si>
    <t xml:space="preserve">Невинномысск </t>
  </si>
  <si>
    <t>Бульвар мира 9</t>
  </si>
  <si>
    <t>legendanomer64@mail.ru</t>
  </si>
  <si>
    <t>До 10 лет, До 12 лет, До 15 лет, До 13 лет, До 17 лет</t>
  </si>
  <si>
    <t>Газарян Рудольф Арменович</t>
  </si>
  <si>
    <t>Мало соревнований для девочек</t>
  </si>
  <si>
    <t>МБУ ДО СШ ст.Новоджерелиевской</t>
  </si>
  <si>
    <t>Новоджерелиевская</t>
  </si>
  <si>
    <t>ул.Коммунаров 30</t>
  </si>
  <si>
    <t>sportshkola-novodjer@yandex.ru</t>
  </si>
  <si>
    <t>Муниципальное автономное учреждение дополнительного образования "Спортивная школа "Крепыш" им. Тамазова К.Х." муниципального образования Новокубанский район</t>
  </si>
  <si>
    <t>Новокубанск</t>
  </si>
  <si>
    <t>Краснодарский край, г. Новокубанск, ул. Первомайская, 182</t>
  </si>
  <si>
    <t>k-32221@yandex.ru</t>
  </si>
  <si>
    <t>Балахонов С.В., В-УЕФА</t>
  </si>
  <si>
    <t>МАУ ДО СШ Победа</t>
  </si>
  <si>
    <t>Новороссийск</t>
  </si>
  <si>
    <t>Краснодарский край г.Новороссийск ул Видова 174</t>
  </si>
  <si>
    <t>88617260-261</t>
  </si>
  <si>
    <t>pobeda_school@mail.ru</t>
  </si>
  <si>
    <t>Гигая А.С. С-УЕФА Дубровский Д.А. С-УЕФА</t>
  </si>
  <si>
    <t>МАУ ДО СШ "Черноморец"</t>
  </si>
  <si>
    <t>ул. Советов 55</t>
  </si>
  <si>
    <t>mauchernomorec@mail.ru</t>
  </si>
  <si>
    <t>Воронков А.Н с-уефа, Никифоров В.А. с-уефа, Семизьян М.С. - с-уефа</t>
  </si>
  <si>
    <t>МБУ ДО &lt;&lt;СШ&lt;&lt;Олимпия&gt;&gt;</t>
  </si>
  <si>
    <t>Отрадная</t>
  </si>
  <si>
    <t>Краснодарский край  Отрадненский район  ст. Отрадная ул. Комарова 52</t>
  </si>
  <si>
    <t>8(86144)3-32-52</t>
  </si>
  <si>
    <t>olimpia-otr@yandex.ru</t>
  </si>
  <si>
    <t xml:space="preserve">Курбанмагомедов Г. М. </t>
  </si>
  <si>
    <t xml:space="preserve">Проводить обучающихся семинара. Лицензировать тренеров
</t>
  </si>
  <si>
    <t xml:space="preserve">МКУ ДО «ДЮСШ» п. Володарский </t>
  </si>
  <si>
    <t>Поселок Володарский</t>
  </si>
  <si>
    <t>ул.Суворова 9 «а»</t>
  </si>
  <si>
    <t>vol.sport.4@mail.ru</t>
  </si>
  <si>
    <t>МБУ ДО КР СШ им.А.И.Майстренко</t>
  </si>
  <si>
    <t>посёлок Октябрьский,Красноармейский район</t>
  </si>
  <si>
    <t>ул.Мира,20</t>
  </si>
  <si>
    <t>ai.maistrenko@mail.ru</t>
  </si>
  <si>
    <t>Худой Ю.А. Дудка А.В. Солодунов С.В. Антонюк А.В.</t>
  </si>
  <si>
    <t>МБУ ДО СШ ПО ФУТБОЛУ N*6</t>
  </si>
  <si>
    <t>Пятигорск</t>
  </si>
  <si>
    <t xml:space="preserve">ул Розы Люксембург  72 </t>
  </si>
  <si>
    <t>8(8793) 39-65-64</t>
  </si>
  <si>
    <t>ssh6football@mail.ru</t>
  </si>
  <si>
    <t>Айрапетян В.Б</t>
  </si>
  <si>
    <t>МКОУ "СОШ им.А.Джанибекова с. Растопуловка"</t>
  </si>
  <si>
    <t>РАСТОПУЛОВКА</t>
  </si>
  <si>
    <t>Приволжский район, с.Растопуловка, ул.50-летия Победы, 6</t>
  </si>
  <si>
    <t>rastoshool@mail.ru</t>
  </si>
  <si>
    <t xml:space="preserve">Арюпова Динара Асхаровна </t>
  </si>
  <si>
    <t>СШ "Радуга"</t>
  </si>
  <si>
    <t>Родионово-Несветайский район</t>
  </si>
  <si>
    <t>Родионово-Несветайский район, х. Весёлый ул. Ленина 5в</t>
  </si>
  <si>
    <t>veselii-dush@mail.ru</t>
  </si>
  <si>
    <t>ЖФК «Пантера»</t>
  </si>
  <si>
    <t>Ростов на Дону</t>
  </si>
  <si>
    <t>abramova_lusine@mail.ru</t>
  </si>
  <si>
    <t xml:space="preserve">Школа </t>
  </si>
  <si>
    <t>Арбамова Л.М.</t>
  </si>
  <si>
    <t>АО ФК «Ростов»</t>
  </si>
  <si>
    <t>Ростов-на-Дону</t>
  </si>
  <si>
    <t>пр.Шолохова, д.31е</t>
  </si>
  <si>
    <t>info@fc-rostov.ru</t>
  </si>
  <si>
    <t>Чуб Я.Г. - А-УЕФА, Челбахиани Н.И. - В-УЕФА, Стрикалов Г.В. - А-УЕФА галкипер, Синютина А.В. - С-УЕФА, Махидиев Р.М.- С-УЕФА тренер по физ.подготовке, Гордиков Е. - В-УЕФА галкипер, Лукаш С.С.-С-УЕФА, Дыгай Н.Н. - В-УЕФА, Хаванская А. - С-УЕФА, Акулова О.Э. - В-УЕФА, Куранин К.С.- В-УЕФА</t>
  </si>
  <si>
    <t>АНО ДО РФКС "Академия футбола им. И.П.Чайка"</t>
  </si>
  <si>
    <t>344019, Ростовская область, г. Ростов-на-Дону, ул. Максима Горького, д. 276, этаж 8, помещение № 5 б.</t>
  </si>
  <si>
    <t>8 (863) 310-46-48</t>
  </si>
  <si>
    <t>academy@fc-chayka.ru</t>
  </si>
  <si>
    <t>Романова О.А. В-УЕФА</t>
  </si>
  <si>
    <t>"Академия футбола им. И.П.Чайка" очень хотела бы принять участие в ЮФЛ-Девочки в сезоне 2026 года.</t>
  </si>
  <si>
    <t>МБУ ДО "Гребной канал "Дон"</t>
  </si>
  <si>
    <t>г. Ростов-на-Дону, ул. Пойменная 2а</t>
  </si>
  <si>
    <t>8 (863) 240-50-65</t>
  </si>
  <si>
    <t>rgk2003@yandex.ru</t>
  </si>
  <si>
    <t>Акулова О.Э. С-УЕФА, Мадазимова А.С,, Гвоздик А.И.</t>
  </si>
  <si>
    <t xml:space="preserve">Гимназия #46 (ЖФК "Пантера") </t>
  </si>
  <si>
    <t>Ростов-на-Дону, ул. Тимошенко, 30</t>
  </si>
  <si>
    <t>278-19-05</t>
  </si>
  <si>
    <t>sch46@donpac.ru</t>
  </si>
  <si>
    <t>ГБОУ РО РШИСП</t>
  </si>
  <si>
    <t>ул. Дачная 8а</t>
  </si>
  <si>
    <t>intsport@bk.ru</t>
  </si>
  <si>
    <t>школа-интернат спортивного профиля</t>
  </si>
  <si>
    <t>Дыгай Наталья Николаевна, квалификация В УЕФА</t>
  </si>
  <si>
    <t>ГОСУДАРСТВЕННОЕ БЮДЖЕТНОЕ УЧРЕЖДЕНИЕ ДОПОЛНИТЕЛЬНОГО ОБРАЗОВАНИЯ РОСТОВСКОЙ ОБЛАСТИ «СПОРТИВНАЯ ШКОЛА ОЛИМПИЙСКОГО РЕЗЕРВА № 8 им. В.В. Понедельника»</t>
  </si>
  <si>
    <t xml:space="preserve">Ростов-на-Дону </t>
  </si>
  <si>
    <t xml:space="preserve">Ул. 1-й Конной Армии 4Е </t>
  </si>
  <si>
    <t>8(863) 242-29-77</t>
  </si>
  <si>
    <t>sportvvp8@mail.ru</t>
  </si>
  <si>
    <t>Рассказова А.В. С-УЕФА</t>
  </si>
  <si>
    <t xml:space="preserve">МБУ ДО СШ СТ. СЕВЕРСКОЙ </t>
  </si>
  <si>
    <t>Северская</t>
  </si>
  <si>
    <t>353240, Краснодарский край, Северский р-н, ст-ца Северская, ул Ленина, д 132</t>
  </si>
  <si>
    <t xml:space="preserve"> +7 (861) 662-16-95</t>
  </si>
  <si>
    <t>sever_sport@mail.ru</t>
  </si>
  <si>
    <t>Цицюра Александр Богданович, Попандопуло Сергей Николаевич</t>
  </si>
  <si>
    <t>МАУ ДО СШ «Надежда»</t>
  </si>
  <si>
    <t xml:space="preserve">Советская </t>
  </si>
  <si>
    <t>Краснодарский край, Новокубанский район, Ст. Советская, ул. Бурдовой, 45</t>
  </si>
  <si>
    <t>dysch-nadeghda@mail.ru</t>
  </si>
  <si>
    <t xml:space="preserve">Борзенко А.П. С-УЕФА </t>
  </si>
  <si>
    <t>МБУ ДО СШ №7 г. Сочи</t>
  </si>
  <si>
    <t>Сочи</t>
  </si>
  <si>
    <t>город Сочи, ул. 20-ой Горнострелковой дивизии, д. 1/8</t>
  </si>
  <si>
    <t>8(862)241-21-25</t>
  </si>
  <si>
    <t xml:space="preserve">sportschool7@edu.sochi.ru
</t>
  </si>
  <si>
    <t>Попов Вячелав Васильевич, Тарба Денис Рудикович</t>
  </si>
  <si>
    <t>Женский футбольный клуб "Сокол" (ЖФК "Сокол")</t>
  </si>
  <si>
    <t>Мацестинская 11</t>
  </si>
  <si>
    <t>8-988-181-06-36</t>
  </si>
  <si>
    <t>fcsokol-sochi@mail.ru</t>
  </si>
  <si>
    <t>Любительский клуб</t>
  </si>
  <si>
    <t>Абсолютной категории</t>
  </si>
  <si>
    <t>Больше турниров для взрослых игроков, которых выпускают Академии, но не берут клубы</t>
  </si>
  <si>
    <t>АНО ДО СШ ФК Сочи</t>
  </si>
  <si>
    <t>Сочи , ул. Старонасыпная 22</t>
  </si>
  <si>
    <t>8 (862) 291-50-50</t>
  </si>
  <si>
    <t>info_academy@pfcsochi.ru</t>
  </si>
  <si>
    <t>Куц Д. -C-uefa,Михалев А.Н - B-uefa,Розвадовский  П.Д - В - uefa, Зуев В.C uefa (B)</t>
  </si>
  <si>
    <t>МБУ СШ по футболу г.Ставрополя</t>
  </si>
  <si>
    <t>Ставрополь</t>
  </si>
  <si>
    <t>Бруснева 10 к.1</t>
  </si>
  <si>
    <t>dusshfutbol@mail.ru</t>
  </si>
  <si>
    <t xml:space="preserve">Нимченко Алексей Анатольевич 
Моногаров Алексей Александрович </t>
  </si>
  <si>
    <t>ФК "Сокол"</t>
  </si>
  <si>
    <t>Темрюк</t>
  </si>
  <si>
    <t>г. Темрюк ул. Щорса 33</t>
  </si>
  <si>
    <t>Igor.igorek2017@mail.ru</t>
  </si>
  <si>
    <t xml:space="preserve">Ильяшенко Игорь Евгеньевич </t>
  </si>
  <si>
    <t xml:space="preserve">МБУ ДО СШ </t>
  </si>
  <si>
    <t>Темрюк, площадь Терлецкого 2/2</t>
  </si>
  <si>
    <t>ya.dyussch@yandex.ru</t>
  </si>
  <si>
    <t xml:space="preserve">Создать в городе Краснодар региональный центр обучения педагогов на тренерские лицензии по футболу.  </t>
  </si>
  <si>
    <t xml:space="preserve">Муниципальная бюджетная организация дополнительного образования "Спортивная школа "Труд" </t>
  </si>
  <si>
    <t>Тихорецк</t>
  </si>
  <si>
    <t>352120, Краснодарский край, г. Тихорецк, ул. Октябрьская, 54А</t>
  </si>
  <si>
    <t xml:space="preserve">8-96196-4-13-86 </t>
  </si>
  <si>
    <t xml:space="preserve">cpstrud@mail.ru </t>
  </si>
  <si>
    <t>МБУ ДО "СШ "Дружба"</t>
  </si>
  <si>
    <t>Удобная</t>
  </si>
  <si>
    <t>Краснодарский край, Отрадненский район, ст. Удобная, ул. Школьная, д. 13 "а"</t>
  </si>
  <si>
    <t>drujbasport@mail.ru</t>
  </si>
  <si>
    <t xml:space="preserve">Шахбанов Мизамутдин Зиаутдинович 
Хащенко Ирина Игоревна 
Чичилов Руслан Петрович </t>
  </si>
  <si>
    <t>МБУ ДО "СШ "Дружба</t>
  </si>
  <si>
    <t>Школьная 13а</t>
  </si>
  <si>
    <t>drujbasport</t>
  </si>
  <si>
    <t>РГБУ ДО  "Комплексная спортивная школа "Победа"</t>
  </si>
  <si>
    <t xml:space="preserve">Усть - Джегута </t>
  </si>
  <si>
    <t xml:space="preserve">г. Усть - Джегута, мкр. Московский </t>
  </si>
  <si>
    <t>rgbudopobeda01@mail.ru</t>
  </si>
  <si>
    <t xml:space="preserve">МБОУ ДО СШ Виктория </t>
  </si>
  <si>
    <t xml:space="preserve">Усть-Лабинск </t>
  </si>
  <si>
    <t>Г. Усть-Лабинск ул. Заполотняная д. 15</t>
  </si>
  <si>
    <t>sportivnayashkola.viktoriya@yandex.ru</t>
  </si>
  <si>
    <t xml:space="preserve">Играйте в футбол </t>
  </si>
  <si>
    <t xml:space="preserve">МКУДО СШ "Старт" </t>
  </si>
  <si>
    <t>Хадыженск</t>
  </si>
  <si>
    <t>г.Хадыженск, ул.Аэродромная, 43-А</t>
  </si>
  <si>
    <t>8 86152 4-19-47</t>
  </si>
  <si>
    <t>sportschoolstart@yandex.ru</t>
  </si>
  <si>
    <t>МБУ ДО СШ 3 МО Северский район</t>
  </si>
  <si>
    <t>Черноморский</t>
  </si>
  <si>
    <t>Северский район, пгт Черноморский, Тельмана 9</t>
  </si>
  <si>
    <t>ssh3chernomor@mail.ru</t>
  </si>
  <si>
    <t xml:space="preserve">Руденко М. О. </t>
  </si>
  <si>
    <t xml:space="preserve">Улучшить инфраструктуру в нашей спортивной школе </t>
  </si>
  <si>
    <t>АНО СК «Академия Чемпионов»</t>
  </si>
  <si>
    <t>Шахты</t>
  </si>
  <si>
    <t>Ростовская область, город Шахты, проспект строителей 36,кВ 30</t>
  </si>
  <si>
    <t>academia-champions@yandex.ru</t>
  </si>
  <si>
    <t>МБОУ ДО "СШ "Юниор"</t>
  </si>
  <si>
    <t>Шкуринская</t>
  </si>
  <si>
    <t>Краснодарский край, Кущевский р-н, ст-ца Шкуринская, ул. Ленина, 87</t>
  </si>
  <si>
    <t>8(8618)45-1-89</t>
  </si>
  <si>
    <t>junior-sport2016@yandex.ru</t>
  </si>
  <si>
    <t>Попов Вячеслав Васильевич, Тарба Денис Рудикович</t>
  </si>
  <si>
    <t>Бюджетное учреждение дополнительного образования Республики Калмыкия "Республиканская спортивная школа олимпийского резерва по футболу "Уралан"</t>
  </si>
  <si>
    <t>Республика Калмыкия</t>
  </si>
  <si>
    <t>Элиста</t>
  </si>
  <si>
    <t>г. Элиста, ул. Буденного 5а</t>
  </si>
  <si>
    <t>footschool@mail.ru</t>
  </si>
  <si>
    <t>Даржинов А.А. С-УЕФА</t>
  </si>
  <si>
    <t>МРО</t>
  </si>
  <si>
    <t>Карачаево-Черкесская Республика</t>
  </si>
  <si>
    <t>Row Labels</t>
  </si>
  <si>
    <t>Grand Total</t>
  </si>
  <si>
    <t>Count of Название организации</t>
  </si>
  <si>
    <t>Sum of Численность занимающихся футболом девочек</t>
  </si>
  <si>
    <t>Республика Алтай</t>
  </si>
  <si>
    <t>в процентах</t>
  </si>
  <si>
    <t>Северо-Запад</t>
  </si>
  <si>
    <t>Sum of 2005 и старше</t>
  </si>
  <si>
    <t>Count of 2007</t>
  </si>
  <si>
    <t>Count of 2006</t>
  </si>
  <si>
    <t>Sum of 2008</t>
  </si>
  <si>
    <t>Count of 2009</t>
  </si>
  <si>
    <t>Sum of 2010</t>
  </si>
  <si>
    <t>Sum of 2011</t>
  </si>
  <si>
    <t>Sum of 2012</t>
  </si>
  <si>
    <t>Sum of 2013</t>
  </si>
  <si>
    <t>Sum of 2014</t>
  </si>
  <si>
    <t>Sum of 2015</t>
  </si>
  <si>
    <t>Sum of 2016</t>
  </si>
  <si>
    <t>Sum of 2017</t>
  </si>
  <si>
    <t>Sum of 2018</t>
  </si>
  <si>
    <t>Sum of 2019 и младше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</si>
</sst>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4" fillId="0" borderId="0" xfId="0" applyFont="1"/>
    <xf numFmtId="0" fontId="4" fillId="3" borderId="0" xfId="0" applyFont="1" applyFill="1"/>
    <xf numFmtId="0" fontId="0" fillId="0" borderId="2" xfId="0" applyBorder="1"/>
    <xf numFmtId="0" fontId="4" fillId="0" borderId="3" xfId="0" applyFont="1" applyBorder="1"/>
    <xf numFmtId="0" fontId="4" fillId="3" borderId="5" xfId="0" applyFont="1" applyFill="1" applyBorder="1"/>
    <xf numFmtId="0" fontId="0" fillId="0" borderId="6" xfId="0" applyBorder="1"/>
    <xf numFmtId="0" fontId="0" fillId="0" borderId="5" xfId="0" applyBorder="1"/>
    <xf numFmtId="0" fontId="4" fillId="3" borderId="6" xfId="0" applyFont="1" applyFill="1" applyBorder="1"/>
    <xf numFmtId="0" fontId="0" fillId="0" borderId="6" xfId="0" applyFont="1" applyBorder="1"/>
    <xf numFmtId="0" fontId="1" fillId="0" borderId="4" xfId="0" applyFont="1" applyBorder="1"/>
    <xf numFmtId="0" fontId="0" fillId="0" borderId="7" xfId="0" applyBorder="1"/>
    <xf numFmtId="0" fontId="0" fillId="0" borderId="9" xfId="0" applyBorder="1"/>
    <xf numFmtId="0" fontId="4" fillId="3" borderId="9" xfId="0" applyFont="1" applyFill="1" applyBorder="1"/>
    <xf numFmtId="0" fontId="0" fillId="0" borderId="9" xfId="0" applyFont="1" applyBorder="1"/>
    <xf numFmtId="0" fontId="1" fillId="0" borderId="8" xfId="0" applyFont="1" applyBorder="1"/>
    <xf numFmtId="0" fontId="4" fillId="3" borderId="10" xfId="0" applyFont="1" applyFill="1" applyBorder="1"/>
    <xf numFmtId="0" fontId="4" fillId="0" borderId="7" xfId="0" applyFont="1" applyBorder="1"/>
    <xf numFmtId="9" fontId="0" fillId="0" borderId="0" xfId="1" applyFont="1"/>
    <xf numFmtId="1" fontId="0" fillId="2" borderId="0" xfId="0" applyNumberFormat="1" applyFill="1"/>
    <xf numFmtId="1" fontId="0" fillId="0" borderId="0" xfId="0" applyNumberFormat="1"/>
    <xf numFmtId="3" fontId="0" fillId="0" borderId="0" xfId="0" applyNumberFormat="1"/>
  </cellXfs>
  <cellStyles count="2">
    <cellStyle name="Normal" xfId="0" builtinId="0"/>
    <cellStyle name="Per 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05.757536226854" createdVersion="8" refreshedVersion="8" minRefreshableVersion="3" recordCount="763" xr:uid="{FB866A0C-9E3A-FB4F-A9A3-0878A16E7BD8}">
  <cacheSource type="worksheet">
    <worksheetSource ref="A1:AN764" sheet="Sheet1"/>
  </cacheSource>
  <cacheFields count="40">
    <cacheField name="Отметка времени" numFmtId="0">
      <sharedItems containsDate="1" containsBlank="1" containsMixedTypes="1" minDate="2025-11-14T08:46:56" maxDate="2025-12-12T07:21:20"/>
    </cacheField>
    <cacheField name="Название организации" numFmtId="0">
      <sharedItems/>
    </cacheField>
    <cacheField name="МРО" numFmtId="0">
      <sharedItems count="9">
        <s v="Дальний Восток"/>
        <s v="Юг"/>
        <s v="Золотое Кольцо"/>
        <s v="Москва и МО"/>
        <s v="Приволжье"/>
        <s v="Северо-Запад и Санкт-Петербург"/>
        <s v="Центр"/>
        <s v="Урал и Западная Сибирь"/>
        <s v="Сибирь"/>
      </sharedItems>
    </cacheField>
    <cacheField name="Область" numFmtId="0">
      <sharedItems count="79">
        <s v="Амурская область"/>
        <s v="Еврейская автономная область"/>
        <s v="Камчатский край"/>
        <s v="Магаданская область"/>
        <s v="Приморский край"/>
        <s v="Астраханская область"/>
        <s v="Республика Саха (Якутия)"/>
        <s v="Сахалинская область"/>
        <s v="Хабаровский край"/>
        <s v="Брянская область"/>
        <s v="Владимирская область"/>
        <s v="Вологодская область"/>
        <s v="Ивановская область"/>
        <s v="Кировская область"/>
        <s v="Костромская область"/>
        <s v="Тверская область"/>
        <s v="Ярославская область"/>
        <s v="Москва"/>
        <s v="Московская область"/>
        <s v="Нижегородская область"/>
        <s v="Оренбургская область"/>
        <s v="Пензенская область"/>
        <s v="Республика Марий Эл"/>
        <s v="Республика Мордовия"/>
        <s v="Республика Татарстан"/>
        <s v="Самарская область"/>
        <s v="Саратовская область"/>
        <s v="Удмуртская Республика"/>
        <s v="Ульяновская область"/>
        <s v="Чувашская Республика — Чувашия"/>
        <s v="Архангельская область"/>
        <s v="Калининградская область"/>
        <s v="Воронежская область"/>
        <s v="Ленинградская область"/>
        <s v="Мурманская область"/>
        <s v="Ненецкий автономный округ"/>
        <s v="Новгородская область"/>
        <s v="Псковская область"/>
        <s v="Курганская область"/>
        <s v="Республика Карелия"/>
        <s v="Республика Коми"/>
        <s v="Санкт-Петербург"/>
        <s v="Алтайский край"/>
        <s v="Забайкальский край"/>
        <s v="Иркутская область"/>
        <s v="Кемеровская область — Кузбасс"/>
        <s v="Красноярский край"/>
        <s v="Новосибирская область"/>
        <s v="Республика Бурятия"/>
        <s v="Республика Тыва"/>
        <s v="Республика Хакасия"/>
        <s v="Томская область"/>
        <s v="Ханты-Мансийский автономный округ — Югра"/>
        <s v="Омская область"/>
        <s v="Пермский край"/>
        <s v="Республика Башкортостан"/>
        <s v="Свердловская область"/>
        <s v="Тюменская область"/>
        <s v="Челябинская область"/>
        <s v="Ямало-Ненецкий автономный округ"/>
        <s v="Белгородская область"/>
        <s v="Волгоградская область"/>
        <s v="Калужская область"/>
        <s v="Курская область"/>
        <s v="Липецкая область"/>
        <s v="Орловская область"/>
        <s v="Рязанская область"/>
        <s v="Смоленская область"/>
        <s v="Тамбовская область"/>
        <s v="Тульская область"/>
        <s v="Кабардино-Балкарская Республика"/>
        <s v="Карачаево-Черкесская Республика"/>
        <s v="Краснодарский край"/>
        <s v="Республика Адыгея"/>
        <s v="Республика Дагестан"/>
        <s v="Республика Калмыкия"/>
        <s v="Республика Северная Осетия — Алания"/>
        <s v="Ростовская область"/>
        <s v="Ставропольский край"/>
      </sharedItems>
    </cacheField>
    <cacheField name="Город / населённый пункт" numFmtId="0">
      <sharedItems/>
    </cacheField>
    <cacheField name="Адрес организации" numFmtId="0">
      <sharedItems containsBlank="1"/>
    </cacheField>
    <cacheField name="Телефон организации" numFmtId="0">
      <sharedItems containsMixedTypes="1" containsNumber="1" containsInteger="1" minValue="-1941" maxValue="898140000000"/>
    </cacheField>
    <cacheField name="Электронная почта организации" numFmtId="0">
      <sharedItems containsBlank="1" containsMixedTypes="1" containsNumber="1" containsInteger="1" minValue="1" maxValue="1"/>
    </cacheField>
    <cacheField name="Тип организации" numFmtId="0">
      <sharedItems containsBlank="1"/>
    </cacheField>
    <cacheField name="Имеет ли организация статус РФС?" numFmtId="0">
      <sharedItems containsBlank="1"/>
    </cacheField>
    <cacheField name="Общая численность занимающихся футболом (мальчики и девочки)" numFmtId="0">
      <sharedItems containsSemiMixedTypes="0" containsString="0" containsNumber="1" minValue="2" maxValue="21628"/>
    </cacheField>
    <cacheField name="Численность занимающихся футболом девочек" numFmtId="0">
      <sharedItems containsSemiMixedTypes="0" containsString="0" containsNumber="1" containsInteger="1" minValue="1" maxValue="401" count="141">
        <n v="10"/>
        <n v="18"/>
        <n v="62"/>
        <n v="15"/>
        <n v="23"/>
        <n v="8"/>
        <n v="76"/>
        <n v="17"/>
        <n v="2"/>
        <n v="5"/>
        <n v="29"/>
        <n v="1"/>
        <n v="58"/>
        <n v="32"/>
        <n v="11"/>
        <n v="25"/>
        <n v="14"/>
        <n v="16"/>
        <n v="50"/>
        <n v="6"/>
        <n v="38"/>
        <n v="13"/>
        <n v="61"/>
        <n v="20"/>
        <n v="36"/>
        <n v="41"/>
        <n v="89"/>
        <n v="34"/>
        <n v="33"/>
        <n v="40"/>
        <n v="30"/>
        <n v="37"/>
        <n v="39"/>
        <n v="73"/>
        <n v="21"/>
        <n v="27"/>
        <n v="54"/>
        <n v="47"/>
        <n v="53"/>
        <n v="46"/>
        <n v="49"/>
        <n v="67"/>
        <n v="115"/>
        <n v="57"/>
        <n v="95"/>
        <n v="28"/>
        <n v="42"/>
        <n v="64"/>
        <n v="44"/>
        <n v="31"/>
        <n v="35"/>
        <n v="96"/>
        <n v="63"/>
        <n v="82"/>
        <n v="22"/>
        <n v="401"/>
        <n v="130"/>
        <n v="137"/>
        <n v="321"/>
        <n v="24"/>
        <n v="77"/>
        <n v="265"/>
        <n v="60"/>
        <n v="156"/>
        <n v="126"/>
        <n v="4"/>
        <n v="7"/>
        <n v="92"/>
        <n v="80"/>
        <n v="55"/>
        <n v="48"/>
        <n v="12"/>
        <n v="90"/>
        <n v="107"/>
        <n v="120"/>
        <n v="160"/>
        <n v="153"/>
        <n v="209"/>
        <n v="19"/>
        <n v="65"/>
        <n v="100"/>
        <n v="26"/>
        <n v="78"/>
        <n v="98"/>
        <n v="45"/>
        <n v="70"/>
        <n v="81"/>
        <n v="56"/>
        <n v="111"/>
        <n v="191"/>
        <n v="142"/>
        <n v="141"/>
        <n v="170"/>
        <n v="3"/>
        <n v="122"/>
        <n v="9"/>
        <n v="52"/>
        <n v="131"/>
        <n v="71"/>
        <n v="99"/>
        <n v="110"/>
        <n v="102"/>
        <n v="97"/>
        <n v="59"/>
        <n v="112"/>
        <n v="105"/>
        <n v="143"/>
        <n v="234"/>
        <n v="250"/>
        <n v="124"/>
        <n v="127"/>
        <n v="43"/>
        <n v="150"/>
        <n v="200"/>
        <n v="215"/>
        <n v="86"/>
        <n v="88"/>
        <n v="183"/>
        <n v="136"/>
        <n v="101"/>
        <n v="85"/>
        <n v="68"/>
        <n v="87"/>
        <n v="66"/>
        <n v="185"/>
        <n v="230"/>
        <n v="93"/>
        <n v="135"/>
        <n v="84"/>
        <n v="69"/>
        <n v="139"/>
        <n v="109"/>
        <n v="83"/>
        <n v="118"/>
        <n v="158"/>
        <n v="149"/>
        <n v="396"/>
        <n v="94"/>
        <n v="72"/>
        <n v="119"/>
        <n v="75"/>
      </sharedItems>
    </cacheField>
    <cacheField name="2005 и старше" numFmtId="0">
      <sharedItems containsSemiMixedTypes="0" containsString="0" containsNumber="1" containsInteger="1" minValue="0" maxValue="70" count="35">
        <n v="1"/>
        <n v="0"/>
        <n v="10"/>
        <n v="8"/>
        <n v="16"/>
        <n v="2"/>
        <n v="7"/>
        <n v="12"/>
        <n v="37"/>
        <n v="6"/>
        <n v="11"/>
        <n v="18"/>
        <n v="3"/>
        <n v="13"/>
        <n v="70"/>
        <n v="4"/>
        <n v="15"/>
        <n v="44"/>
        <n v="20"/>
        <n v="60"/>
        <n v="5"/>
        <n v="35"/>
        <n v="14"/>
        <n v="24"/>
        <n v="23"/>
        <n v="9"/>
        <n v="30"/>
        <n v="38"/>
        <n v="40"/>
        <n v="25"/>
        <n v="19"/>
        <n v="27"/>
        <n v="21"/>
        <n v="17"/>
        <n v="22"/>
      </sharedItems>
    </cacheField>
    <cacheField name="2006" numFmtId="0">
      <sharedItems containsMixedTypes="1" containsNumber="1" containsInteger="1" minValue="0" maxValue="23" count="15">
        <n v="0"/>
        <n v="5"/>
        <n v="4"/>
        <n v="2"/>
        <n v="3"/>
        <n v="1"/>
        <n v="23"/>
        <n v="9"/>
        <n v="6"/>
        <n v="8"/>
        <n v="10"/>
        <n v="20"/>
        <s v="О"/>
        <n v="7"/>
        <n v="12"/>
      </sharedItems>
    </cacheField>
    <cacheField name="2007" numFmtId="0">
      <sharedItems containsMixedTypes="1" containsNumber="1" containsInteger="1" minValue="0" maxValue="25" count="18">
        <n v="0"/>
        <n v="3"/>
        <n v="1"/>
        <n v="4"/>
        <n v="2"/>
        <n v="5"/>
        <n v="25"/>
        <n v="6"/>
        <n v="10"/>
        <n v="9"/>
        <n v="12"/>
        <n v="8"/>
        <s v="О"/>
        <s v="O"/>
        <n v="7"/>
        <n v="11"/>
        <n v="16"/>
        <n v="13"/>
      </sharedItems>
    </cacheField>
    <cacheField name="2008" numFmtId="0">
      <sharedItems containsSemiMixedTypes="0" containsString="0" containsNumber="1" containsInteger="1" minValue="0" maxValue="31"/>
    </cacheField>
    <cacheField name="2009" numFmtId="0">
      <sharedItems containsMixedTypes="1" containsNumber="1" containsInteger="1" minValue="0" maxValue="34"/>
    </cacheField>
    <cacheField name="2010" numFmtId="0">
      <sharedItems containsSemiMixedTypes="0" containsString="0" containsNumber="1" containsInteger="1" minValue="0" maxValue="40"/>
    </cacheField>
    <cacheField name="2011" numFmtId="0">
      <sharedItems containsSemiMixedTypes="0" containsString="0" containsNumber="1" containsInteger="1" minValue="0" maxValue="60"/>
    </cacheField>
    <cacheField name="2012" numFmtId="0">
      <sharedItems containsSemiMixedTypes="0" containsString="0" containsNumber="1" containsInteger="1" minValue="0" maxValue="40"/>
    </cacheField>
    <cacheField name="2013" numFmtId="0">
      <sharedItems containsSemiMixedTypes="0" containsString="0" containsNumber="1" containsInteger="1" minValue="0" maxValue="44"/>
    </cacheField>
    <cacheField name="2014" numFmtId="0">
      <sharedItems containsSemiMixedTypes="0" containsString="0" containsNumber="1" containsInteger="1" minValue="0" maxValue="52"/>
    </cacheField>
    <cacheField name="2015" numFmtId="0">
      <sharedItems containsSemiMixedTypes="0" containsString="0" containsNumber="1" containsInteger="1" minValue="0" maxValue="76"/>
    </cacheField>
    <cacheField name="2016" numFmtId="0">
      <sharedItems containsSemiMixedTypes="0" containsString="0" containsNumber="1" containsInteger="1" minValue="0" maxValue="58"/>
    </cacheField>
    <cacheField name="2017" numFmtId="0">
      <sharedItems containsSemiMixedTypes="0" containsString="0" containsNumber="1" containsInteger="1" minValue="0" maxValue="41"/>
    </cacheField>
    <cacheField name="2018" numFmtId="0">
      <sharedItems containsSemiMixedTypes="0" containsString="0" containsNumber="1" containsInteger="1" minValue="0" maxValue="39"/>
    </cacheField>
    <cacheField name="2019 и младше" numFmtId="0">
      <sharedItems containsSemiMixedTypes="0" containsString="0" containsNumber="1" containsInteger="1" minValue="0" maxValue="90"/>
    </cacheField>
    <cacheField name="Согласно вашей оценке, в каких возрастных категориях недостаточно соревновательной практики для команд девочек и девушек в вашем регионе? " numFmtId="0">
      <sharedItems containsBlank="1" containsMixedTypes="1" containsNumber="1" containsInteger="1" minValue="0" maxValue="0"/>
    </cacheField>
    <cacheField name="Занимаются ли девочки в смешанных группах?" numFmtId="0">
      <sharedItems containsBlank="1"/>
    </cacheField>
    <cacheField name="Участвуете ли в соревнованиях среди смешанных команд?" numFmtId="0">
      <sharedItems containsBlank="1"/>
    </cacheField>
    <cacheField name="Общее количество тренеров, работающих с группами девочек" numFmtId="0">
      <sharedItems containsString="0" containsBlank="1" containsNumber="1" containsInteger="1" minValue="0" maxValue="33"/>
    </cacheField>
    <cacheField name="Количество тренеров-женщин, работающих с группами девочек" numFmtId="0">
      <sharedItems containsString="0" containsBlank="1" containsNumber="1" containsInteger="1" minValue="0" maxValue="7"/>
    </cacheField>
    <cacheField name="ФИО и лицензия УЕФА (если есть) каждого тренера, работающего с группами девочек_x000a_Например: Иванова А.А. С-УЕФА" numFmtId="0">
      <sharedItems containsBlank="1" containsMixedTypes="1" containsNumber="1" containsInteger="1" minValue="0" maxValue="1" longText="1"/>
    </cacheField>
    <cacheField name="C-UEFA" numFmtId="0">
      <sharedItems containsString="0" containsBlank="1" containsNumber="1" containsInteger="1" minValue="1" maxValue="8"/>
    </cacheField>
    <cacheField name="B-UEFA" numFmtId="0">
      <sharedItems containsString="0" containsBlank="1" containsNumber="1" containsInteger="1" minValue="1" maxValue="10"/>
    </cacheField>
    <cacheField name="A-UEFA" numFmtId="0">
      <sharedItems containsString="0" containsBlank="1" containsNumber="1" containsInteger="1" minValue="1" maxValue="9"/>
    </cacheField>
    <cacheField name="PRO" numFmtId="0">
      <sharedItems containsString="0" containsBlank="1" containsNumber="1" containsInteger="1" minValue="1" maxValue="5"/>
    </cacheField>
    <cacheField name="Наличие методиста в школе" numFmtId="0">
      <sharedItems containsBlank="1"/>
    </cacheField>
    <cacheField name="Наличие методиста, работающего с группами девочек" numFmtId="0">
      <sharedItems containsBlank="1"/>
    </cacheField>
    <cacheField name="Дополнительные комментарии / вопросы / предложения" numFmtId="0">
      <sharedItems containsBlank="1" containsMixedTypes="1" containsNumber="1" containsInteger="1" minValue="0" maxValue="0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3">
  <r>
    <d v="2025-12-04T11:13:12"/>
    <s v="МАУ ДО &quot;АСШ&quot;"/>
    <x v="0"/>
    <x v="0"/>
    <s v="Архара"/>
    <s v="ул. Больничная д. 9"/>
    <s v="8(41648)33-0-16"/>
    <s v="dyush-arh@yandex.ru"/>
    <s v="ДЮСШ"/>
    <s v="Нет"/>
    <n v="35"/>
    <x v="0"/>
    <x v="0"/>
    <x v="0"/>
    <x v="0"/>
    <n v="0"/>
    <n v="0"/>
    <n v="4"/>
    <n v="1"/>
    <n v="1"/>
    <n v="1"/>
    <n v="2"/>
    <n v="0"/>
    <n v="0"/>
    <n v="0"/>
    <n v="0"/>
    <n v="0"/>
    <m/>
    <s v="Да"/>
    <s v="Нет"/>
    <n v="1"/>
    <n v="0"/>
    <s v="нет"/>
    <m/>
    <m/>
    <m/>
    <m/>
    <s v="Нет"/>
    <s v="Нет"/>
    <m/>
  </r>
  <r>
    <d v="2025-12-04T11:15:49"/>
    <s v="МБУ ДО &quot;Спортивная школа&quot;"/>
    <x v="0"/>
    <x v="1"/>
    <s v="Биробиджан"/>
    <s v="Биршоссе 2 км ул., стадион «Дружба»"/>
    <n v="89585433747"/>
    <s v="birsport@post.eao.ru"/>
    <s v="ДО"/>
    <s v="Нет"/>
    <n v="40"/>
    <x v="1"/>
    <x v="1"/>
    <x v="0"/>
    <x v="0"/>
    <n v="0"/>
    <n v="0"/>
    <n v="5"/>
    <n v="4"/>
    <n v="3"/>
    <n v="0"/>
    <n v="0"/>
    <n v="6"/>
    <n v="0"/>
    <n v="0"/>
    <n v="0"/>
    <n v="0"/>
    <m/>
    <s v="Нет"/>
    <s v="Нет"/>
    <n v="1"/>
    <n v="0"/>
    <s v="-"/>
    <m/>
    <m/>
    <m/>
    <m/>
    <s v="Нет"/>
    <s v="Нет"/>
    <m/>
  </r>
  <r>
    <d v="2025-11-21T01:08:01"/>
    <s v="МБУ ЦФКС ЕМР"/>
    <x v="0"/>
    <x v="2"/>
    <s v="Елизово"/>
    <s v="пер. Тимирязевский д.7"/>
    <s v="6-42-07"/>
    <s v="dootz@yandex.ru"/>
    <s v="ЦФКС"/>
    <s v="Нет"/>
    <n v="45"/>
    <x v="1"/>
    <x v="1"/>
    <x v="0"/>
    <x v="0"/>
    <n v="0"/>
    <n v="0"/>
    <n v="0"/>
    <n v="0"/>
    <n v="2"/>
    <n v="6"/>
    <n v="3"/>
    <n v="1"/>
    <n v="3"/>
    <n v="1"/>
    <n v="2"/>
    <n v="0"/>
    <s v="До 12 лет"/>
    <s v="Да"/>
    <s v="Да"/>
    <n v="1"/>
    <n v="0"/>
    <s v="нету"/>
    <m/>
    <m/>
    <m/>
    <m/>
    <s v="Нет"/>
    <s v="Нет"/>
    <s v="если можно хотел бы сдать на лицензию"/>
  </r>
  <r>
    <d v="2025-11-18T01:43:39"/>
    <s v="МБОУ ЕСШ 3"/>
    <x v="0"/>
    <x v="2"/>
    <s v="Елизово "/>
    <s v="Сопочная,зд.4"/>
    <n v="74153178501"/>
    <s v="School3elizovo@kamgov.ru"/>
    <s v="СШ"/>
    <s v="Нет"/>
    <n v="100"/>
    <x v="2"/>
    <x v="1"/>
    <x v="0"/>
    <x v="0"/>
    <n v="0"/>
    <n v="0"/>
    <n v="4"/>
    <n v="8"/>
    <n v="10"/>
    <n v="11"/>
    <n v="12"/>
    <n v="4"/>
    <n v="6"/>
    <n v="7"/>
    <n v="0"/>
    <n v="0"/>
    <s v="Только одни в год"/>
    <s v="Нет"/>
    <s v="Нет"/>
    <n v="2"/>
    <n v="1"/>
    <s v="Корягина Максим Игоревич , Бежацкая СМ"/>
    <m/>
    <m/>
    <m/>
    <m/>
    <s v="Нет"/>
    <s v="Нет"/>
    <m/>
  </r>
  <r>
    <d v="2025-11-21T10:13:58"/>
    <s v="РМОО &quot;СТУДЕНЧЕСКИЙ СПОРТИВНЫЙ КЛУБ &quot;ПОЛИТЕХНИК&quot;"/>
    <x v="0"/>
    <x v="2"/>
    <s v="Петропавловск- Камчатский "/>
    <s v="Бохняка 13"/>
    <n v="84152236175"/>
    <s v="collegepedagog@yandex.ru"/>
    <s v="спортклуб"/>
    <s v="Нет"/>
    <n v="15"/>
    <x v="3"/>
    <x v="2"/>
    <x v="1"/>
    <x v="0"/>
    <n v="0"/>
    <n v="0"/>
    <n v="0"/>
    <n v="0"/>
    <n v="0"/>
    <n v="0"/>
    <n v="0"/>
    <n v="0"/>
    <n v="0"/>
    <n v="0"/>
    <n v="0"/>
    <n v="0"/>
    <s v="Соревновательной практики достаточно"/>
    <s v="Да"/>
    <s v="Нет"/>
    <n v="1"/>
    <n v="1"/>
    <s v="нет"/>
    <m/>
    <m/>
    <m/>
    <m/>
    <s v="Да"/>
    <s v="Нет"/>
    <m/>
  </r>
  <r>
    <d v="2025-12-04T11:21:19"/>
    <s v="МАУДО &quot;Спортивная школа № 2&quot;"/>
    <x v="0"/>
    <x v="2"/>
    <s v="Петропавловск-Камчатский"/>
    <s v="г.Петропавловск-Камчатский"/>
    <n v="84152297138"/>
    <s v="moudod-dussh-2@pkgo.ru"/>
    <s v="ДО"/>
    <s v="Нет"/>
    <n v="45"/>
    <x v="4"/>
    <x v="1"/>
    <x v="0"/>
    <x v="0"/>
    <n v="0"/>
    <n v="0"/>
    <n v="2"/>
    <n v="4"/>
    <n v="5"/>
    <n v="5"/>
    <n v="4"/>
    <n v="3"/>
    <n v="0"/>
    <n v="0"/>
    <n v="0"/>
    <n v="0"/>
    <m/>
    <s v="Да"/>
    <s v="Нет"/>
    <n v="1"/>
    <n v="0"/>
    <s v="-"/>
    <m/>
    <m/>
    <m/>
    <m/>
    <s v="Нет"/>
    <s v="Нет"/>
    <m/>
  </r>
  <r>
    <d v="2025-11-20T08:44:47"/>
    <s v="ЖФК&quot; КАМЧАДАЛОЧКА&quot;"/>
    <x v="0"/>
    <x v="2"/>
    <s v="Петропавловск-Камчатский"/>
    <s v="50 Лет Октября 15/7"/>
    <s v="8-961-969-98-15"/>
    <s v="voitiklidia@gmail.com"/>
    <s v="Женская футбольная команда "/>
    <s v="Нет"/>
    <n v="8"/>
    <x v="5"/>
    <x v="3"/>
    <x v="0"/>
    <x v="0"/>
    <n v="0"/>
    <n v="0"/>
    <n v="0"/>
    <n v="0"/>
    <n v="0"/>
    <n v="0"/>
    <n v="0"/>
    <n v="0"/>
    <n v="0"/>
    <n v="0"/>
    <n v="0"/>
    <n v="0"/>
    <s v="До 19 лет, В основном играют с мальчиками и мужчинами. Раз в год Чемпионат Кам. Края и ДФО."/>
    <s v="Да"/>
    <s v="Нет"/>
    <n v="3"/>
    <n v="1"/>
    <s v="Войтик Л. С. - защита портфолио 24.11.25 С-УЕФА"/>
    <n v="1"/>
    <m/>
    <m/>
    <m/>
    <s v="Нет"/>
    <s v="Нет"/>
    <m/>
  </r>
  <r>
    <d v="2025-11-20T08:16:52"/>
    <s v="КГБУДО сш по футболу г. Петропавловск-Камчатский "/>
    <x v="0"/>
    <x v="2"/>
    <s v="Петропавловск-Камчатский"/>
    <s v="Ул. Ленинградская 33 а"/>
    <n v="89619699815"/>
    <s v="atakasport@yandex.ru"/>
    <s v="ДЮСШ"/>
    <s v="Нет"/>
    <n v="560"/>
    <x v="6"/>
    <x v="3"/>
    <x v="0"/>
    <x v="1"/>
    <n v="5"/>
    <n v="2"/>
    <n v="2"/>
    <n v="3"/>
    <n v="8"/>
    <n v="4"/>
    <n v="10"/>
    <n v="10"/>
    <n v="8"/>
    <n v="5"/>
    <n v="5"/>
    <n v="3"/>
    <s v="До 15 лет, До 17 лет, До 19 лет, Девочки играют с мальчиками в основном."/>
    <s v="Да"/>
    <s v="Нет"/>
    <n v="3"/>
    <n v="1"/>
    <s v="Войтик Л. С -защита портфолио 24.11.25 на C-УЕФА"/>
    <n v="1"/>
    <m/>
    <m/>
    <m/>
    <s v="Да"/>
    <s v="Да"/>
    <m/>
  </r>
  <r>
    <d v="2025-11-18T03:50:23"/>
    <s v="МОГАУДО(СШ по футболу)"/>
    <x v="0"/>
    <x v="3"/>
    <s v="Магадан"/>
    <s v="г. Магадан ул. Наровчатова д.18"/>
    <s v="84132202026, 89181529105"/>
    <s v="football-school-49@mail.ru , football@49gov.ru "/>
    <s v="СШ"/>
    <s v="Нет"/>
    <n v="370"/>
    <x v="7"/>
    <x v="1"/>
    <x v="0"/>
    <x v="0"/>
    <n v="0"/>
    <n v="0"/>
    <n v="0"/>
    <n v="2"/>
    <n v="6"/>
    <n v="4"/>
    <n v="5"/>
    <n v="0"/>
    <n v="0"/>
    <n v="0"/>
    <n v="0"/>
    <n v="0"/>
    <s v="До 10 лет"/>
    <s v="Нет"/>
    <s v="Да"/>
    <n v="1"/>
    <n v="0"/>
    <s v="Бирюков А.А. С-УЕФА"/>
    <n v="1"/>
    <m/>
    <m/>
    <m/>
    <s v="Да"/>
    <s v="Нет"/>
    <m/>
  </r>
  <r>
    <d v="2025-11-18T02:42:43"/>
    <s v="ДЮСШ с. Анучино"/>
    <x v="0"/>
    <x v="4"/>
    <s v="Анучино "/>
    <s v="692300, Россия, Приморский край, Анучинский муниципальный округ, с. Анучино, ул. Юзефовича, 2-А"/>
    <n v="84236297311"/>
    <s v="dykfp@mail.ru"/>
    <s v="ДЮСШ"/>
    <s v="Нет"/>
    <n v="98"/>
    <x v="8"/>
    <x v="1"/>
    <x v="0"/>
    <x v="0"/>
    <n v="0"/>
    <n v="1"/>
    <n v="0"/>
    <n v="0"/>
    <n v="0"/>
    <n v="0"/>
    <n v="1"/>
    <n v="0"/>
    <n v="0"/>
    <n v="0"/>
    <n v="0"/>
    <n v="0"/>
    <m/>
    <s v="Да"/>
    <s v="Нет"/>
    <n v="0"/>
    <n v="0"/>
    <n v="0"/>
    <m/>
    <m/>
    <m/>
    <m/>
    <s v="Нет"/>
    <s v="Нет"/>
    <m/>
  </r>
  <r>
    <d v="2025-12-04T11:25:23"/>
    <s v="МКОУ ДОД ДЮСШ &quot;Темп&quot;"/>
    <x v="0"/>
    <x v="4"/>
    <s v="Артем"/>
    <s v="692778, Приморский край, Артем г, Ленина ул, 3а"/>
    <s v="8-42337-94532"/>
    <s v="sport-temp@bk.ru"/>
    <s v="ДО"/>
    <s v="Нет"/>
    <n v="5"/>
    <x v="9"/>
    <x v="1"/>
    <x v="0"/>
    <x v="0"/>
    <n v="1"/>
    <n v="0"/>
    <n v="0"/>
    <n v="0"/>
    <n v="2"/>
    <n v="0"/>
    <n v="0"/>
    <n v="2"/>
    <n v="0"/>
    <n v="0"/>
    <n v="0"/>
    <n v="0"/>
    <m/>
    <s v="Да"/>
    <s v="Нет"/>
    <n v="1"/>
    <n v="0"/>
    <n v="0"/>
    <m/>
    <m/>
    <m/>
    <m/>
    <s v="Нет"/>
    <s v="Нет"/>
    <m/>
  </r>
  <r>
    <d v="2025-12-08T04:25:37"/>
    <s v="ЖФК Бригантина"/>
    <x v="0"/>
    <x v="4"/>
    <s v="ВЛАДИВОСТОК"/>
    <s v="Приморский край г. Владивосток ул. Тунгусская 44, кв 186"/>
    <n v="79147901535"/>
    <s v="mun-s@mail.ru"/>
    <s v="Общественная организация ЖФК"/>
    <s v="Нет"/>
    <n v="339"/>
    <x v="10"/>
    <x v="4"/>
    <x v="2"/>
    <x v="0"/>
    <n v="1"/>
    <n v="2"/>
    <n v="1"/>
    <n v="2"/>
    <n v="3"/>
    <n v="0"/>
    <n v="0"/>
    <n v="0"/>
    <n v="0"/>
    <n v="0"/>
    <n v="0"/>
    <n v="0"/>
    <s v="До 10 лет, До 12 лет, До 13 лет, До 15 лет, До 17 лет, До 19 лет"/>
    <s v="Да"/>
    <s v="Нет"/>
    <n v="2"/>
    <n v="0"/>
    <n v="0"/>
    <m/>
    <m/>
    <m/>
    <m/>
    <s v="Да"/>
    <s v="Да"/>
    <s v="КАК ПРОДЛИТЬ КАТЕГОРИЮ ТРЕНЕРА,ВЫДАННУЮ ЦЕНТРОМ ПОДГОТОВКИ СПЕЦИАЛИСТОВ В СФЕРЕ ФУТБОЛА?"/>
  </r>
  <r>
    <d v="2025-11-17T01:46:49"/>
    <s v="МБУ ДО СШ &quot;Старт &quot;"/>
    <x v="0"/>
    <x v="4"/>
    <s v="ВЛАДИВОСТОК"/>
    <s v="ул. Олега Кошевого 26 а"/>
    <n v="84232274385"/>
    <s v="start.shkola@mail.ru"/>
    <s v="СШ"/>
    <s v="Нет"/>
    <n v="450"/>
    <x v="8"/>
    <x v="1"/>
    <x v="0"/>
    <x v="0"/>
    <n v="0"/>
    <n v="0"/>
    <n v="0"/>
    <n v="0"/>
    <n v="0"/>
    <n v="0"/>
    <n v="0"/>
    <n v="0"/>
    <n v="0"/>
    <n v="0"/>
    <n v="2"/>
    <n v="0"/>
    <m/>
    <s v="Нет"/>
    <s v="Нет"/>
    <n v="0"/>
    <n v="0"/>
    <n v="0"/>
    <m/>
    <m/>
    <m/>
    <m/>
    <s v="Да"/>
    <s v="Нет"/>
    <m/>
  </r>
  <r>
    <d v="2025-11-17T02:50:23"/>
    <s v="МАУ ДО СШ &quot;Океан&quot; НГО"/>
    <x v="0"/>
    <x v="4"/>
    <s v="Находка"/>
    <s v="Находкинский проспект 108"/>
    <n v="84236697106"/>
    <s v="dfh.ocean@mail.ru"/>
    <s v="СШ"/>
    <s v="ДФЦ"/>
    <n v="297"/>
    <x v="11"/>
    <x v="1"/>
    <x v="0"/>
    <x v="0"/>
    <n v="0"/>
    <n v="0"/>
    <n v="0"/>
    <n v="0"/>
    <n v="0"/>
    <n v="0"/>
    <n v="1"/>
    <n v="0"/>
    <n v="0"/>
    <n v="0"/>
    <n v="0"/>
    <n v="0"/>
    <m/>
    <s v="Да"/>
    <s v="Нет"/>
    <n v="0"/>
    <n v="0"/>
    <n v="0"/>
    <m/>
    <m/>
    <m/>
    <m/>
    <s v="Да"/>
    <s v="Нет"/>
    <m/>
  </r>
  <r>
    <d v="2025-12-05T22:06:04"/>
    <s v="АНО Детский футбольный клуб «Алеут»"/>
    <x v="0"/>
    <x v="4"/>
    <s v="Подъяпольское"/>
    <s v="Приморский край, Шкотовский округ, пос. Подъяпольское, ул. 40 лет Октября, д. 2"/>
    <n v="79294284990"/>
    <s v="12henry14@mail.ru"/>
    <s v="АНО Детский Футбольный Клуб"/>
    <s v="Нет"/>
    <n v="230"/>
    <x v="12"/>
    <x v="5"/>
    <x v="0"/>
    <x v="0"/>
    <n v="0"/>
    <n v="0"/>
    <n v="8"/>
    <n v="7"/>
    <n v="6"/>
    <n v="7"/>
    <n v="5"/>
    <n v="6"/>
    <n v="6"/>
    <n v="3"/>
    <n v="5"/>
    <n v="3"/>
    <s v="До 13 лет, До 15 лет, До 17 лет, До 19 лет"/>
    <s v="Нет"/>
    <s v="Да"/>
    <n v="3"/>
    <n v="1"/>
    <s v="нет"/>
    <m/>
    <m/>
    <m/>
    <m/>
    <s v="Нет"/>
    <s v="Нет"/>
    <s v="Добрый день! Хотелось бы, чтобы в этом году провели кожаный мяч (Лига юных футболистов) и 2010-2011 г.р. Получается 2010 уже в этом году не сможет принять участие, очень жаль. По мальчикам есть эти года в кожаном мяче. Просьба рассмотреть возможность, наши девочки заняли  третье место в этом сезоне на финале в Ессентуках. А в этом получается без статусного турнира, уже ни так интересно. Спасибо "/>
  </r>
  <r>
    <d v="2025-11-17T04:35:37"/>
    <s v="МБУ ДО ДЮСШ Шкотовского муниципального округа"/>
    <x v="0"/>
    <x v="4"/>
    <s v="Смоляниново"/>
    <s v="Приморский край, Шкотовский м.о., пгт Смоляниново, ул. Маяковского д. 33А"/>
    <n v="84233535414"/>
    <s v="dussh_smolyninovo2022@mail.ru"/>
    <s v="ДЮСШ"/>
    <s v="Нет"/>
    <n v="45"/>
    <x v="3"/>
    <x v="1"/>
    <x v="0"/>
    <x v="0"/>
    <n v="0"/>
    <n v="2"/>
    <n v="5"/>
    <n v="2"/>
    <n v="2"/>
    <n v="4"/>
    <n v="0"/>
    <n v="0"/>
    <n v="0"/>
    <n v="0"/>
    <n v="0"/>
    <n v="0"/>
    <s v="Соревновательной практики достаточно"/>
    <s v="Нет"/>
    <s v="Нет"/>
    <n v="1"/>
    <n v="0"/>
    <s v="-"/>
    <m/>
    <m/>
    <m/>
    <m/>
    <s v="Да"/>
    <s v="Нет"/>
    <m/>
  </r>
  <r>
    <d v="2025-11-18T02:30:27"/>
    <s v="МБУ ДО &quot;Спортивная школа &quot;Атлант&quot; г"/>
    <x v="0"/>
    <x v="4"/>
    <s v="Спасск-Дальний"/>
    <s v="692239, Приморский край, г. Спасск-Дальний, ул. Пионерская, 1"/>
    <s v="8 (42352) 32639"/>
    <s v="sps_dussh@mail.ru"/>
    <s v="СШ"/>
    <s v="Нет"/>
    <n v="157"/>
    <x v="0"/>
    <x v="1"/>
    <x v="0"/>
    <x v="0"/>
    <n v="0"/>
    <n v="0"/>
    <n v="0"/>
    <n v="0"/>
    <n v="0"/>
    <n v="0"/>
    <n v="0"/>
    <n v="0"/>
    <n v="6"/>
    <n v="4"/>
    <n v="0"/>
    <n v="0"/>
    <s v="До 10 лет"/>
    <s v="Да"/>
    <s v="Да"/>
    <n v="1"/>
    <n v="1"/>
    <s v="нет"/>
    <m/>
    <m/>
    <m/>
    <m/>
    <s v="Нет"/>
    <s v="Нет"/>
    <m/>
  </r>
  <r>
    <d v="2025-12-08T11:46:11"/>
    <s v="Факел-Шск-Лотос"/>
    <x v="0"/>
    <x v="4"/>
    <s v="Спасск-Дальний"/>
    <s v="ул. Пионерская, д.1"/>
    <s v="8 (42352) 3-12-92"/>
    <s v="sps_dussh@mail.ru"/>
    <s v="СШ"/>
    <s v="Нет"/>
    <n v="60"/>
    <x v="13"/>
    <x v="0"/>
    <x v="3"/>
    <x v="2"/>
    <n v="6"/>
    <n v="4"/>
    <n v="3"/>
    <n v="3"/>
    <n v="2"/>
    <n v="2"/>
    <n v="1"/>
    <n v="1"/>
    <n v="1"/>
    <n v="3"/>
    <n v="1"/>
    <n v="1"/>
    <s v="До 10 лет, До 12 лет"/>
    <s v="Да"/>
    <s v="Да"/>
    <n v="1"/>
    <n v="1"/>
    <s v="нет"/>
    <m/>
    <m/>
    <m/>
    <m/>
    <s v="Да"/>
    <s v="Да"/>
    <s v="Здравствуйте, очень полезные и интересные вопросы касающийся работы, и вообщем работы с детьми "/>
  </r>
  <r>
    <d v="2025-11-18T11:59:19"/>
    <s v="ФК &quot;Локомотив&quot;"/>
    <x v="0"/>
    <x v="4"/>
    <s v="Уссурийск"/>
    <s v="Приморский край г. Уссурийск ул. Комсомольская 6-101"/>
    <s v="8-914-735-46-24"/>
    <s v="sk_lokomotiv@mail.ru"/>
    <s v="СШ"/>
    <s v="ДФЦ"/>
    <n v="245"/>
    <x v="14"/>
    <x v="1"/>
    <x v="0"/>
    <x v="0"/>
    <n v="0"/>
    <n v="0"/>
    <n v="0"/>
    <n v="0"/>
    <n v="0"/>
    <n v="2"/>
    <n v="4"/>
    <n v="0"/>
    <n v="0"/>
    <n v="0"/>
    <n v="1"/>
    <n v="4"/>
    <s v="количество соревнований зависит от количества наполняемости групп подготовки"/>
    <s v="Да"/>
    <s v="Да"/>
    <n v="1"/>
    <n v="1"/>
    <s v="-"/>
    <m/>
    <m/>
    <m/>
    <m/>
    <s v="Да"/>
    <s v="Нет"/>
    <m/>
  </r>
  <r>
    <d v="2025-12-03T15:17:59"/>
    <s v="МКОУ &quot;СОШ им.А.Джанибекова с. Растопуловка&quot;"/>
    <x v="1"/>
    <x v="5"/>
    <s v="РАСТОПУЛОВКА"/>
    <s v="Приволжский район, с.Растопуловка, ул.50-летия Победы, 6"/>
    <n v="88512611011"/>
    <s v="rastoshool@mail.ru"/>
    <s v="СШ"/>
    <s v="Нет"/>
    <n v="50"/>
    <x v="15"/>
    <x v="1"/>
    <x v="0"/>
    <x v="0"/>
    <n v="0"/>
    <n v="0"/>
    <n v="1"/>
    <n v="0"/>
    <n v="3"/>
    <n v="2"/>
    <n v="8"/>
    <n v="1"/>
    <n v="1"/>
    <n v="3"/>
    <n v="1"/>
    <n v="5"/>
    <s v="До 10 лет"/>
    <s v="Нет"/>
    <s v="Да"/>
    <n v="1"/>
    <n v="1"/>
    <s v="Арюпова Динара Асхаровна "/>
    <m/>
    <m/>
    <m/>
    <m/>
    <s v="Нет"/>
    <s v="Нет"/>
    <m/>
  </r>
  <r>
    <d v="2025-12-04T11:37:49"/>
    <s v="ГБУ ДО РС (Я) &quot;СШ по футболу&quot;"/>
    <x v="0"/>
    <x v="6"/>
    <s v="Якутск"/>
    <s v="Лермонтова 64 "/>
    <s v="89644186656, 89963159188"/>
    <s v="footballschool14@yandex.ru"/>
    <s v="ДО"/>
    <s v="Нет"/>
    <n v="40"/>
    <x v="16"/>
    <x v="1"/>
    <x v="0"/>
    <x v="0"/>
    <n v="0"/>
    <n v="0"/>
    <n v="0"/>
    <n v="0"/>
    <n v="0"/>
    <n v="4"/>
    <n v="10"/>
    <n v="0"/>
    <n v="0"/>
    <n v="0"/>
    <n v="0"/>
    <n v="0"/>
    <s v="До 10 лет, До 12 лет, До 13 лет"/>
    <s v="Нет"/>
    <s v="Нет"/>
    <n v="1"/>
    <n v="0"/>
    <s v="нет"/>
    <m/>
    <m/>
    <m/>
    <m/>
    <s v="Нет"/>
    <s v="Нет"/>
    <m/>
  </r>
  <r>
    <d v="2025-11-17T02:36:12"/>
    <s v="МБУ ДО «Спортивная школа» Невельского МО имени Героя Советского Союза С.А. Савушкина"/>
    <x v="0"/>
    <x v="7"/>
    <s v="Невельск"/>
    <s v="РФ, 694742, Сахалинская область, г. Невельск, ул. Яна Фабрициуса, д. 4."/>
    <s v="8(42436) 65-245"/>
    <s v="sportschool@bk.ru"/>
    <s v="СШ"/>
    <s v="Нет"/>
    <n v="101"/>
    <x v="17"/>
    <x v="1"/>
    <x v="0"/>
    <x v="2"/>
    <n v="1"/>
    <n v="0"/>
    <n v="0"/>
    <n v="0"/>
    <n v="2"/>
    <n v="10"/>
    <n v="0"/>
    <n v="0"/>
    <n v="2"/>
    <n v="0"/>
    <n v="0"/>
    <n v="0"/>
    <s v="Соревновательной практики достаточно"/>
    <s v="Да"/>
    <s v="Да"/>
    <n v="1"/>
    <n v="0"/>
    <s v="Павлюк В.А."/>
    <m/>
    <m/>
    <m/>
    <m/>
    <s v="Да"/>
    <s v="Нет"/>
    <m/>
  </r>
  <r>
    <d v="2025-11-18T02:14:37"/>
    <s v="МБУ «ДО» СШ Ноглики "/>
    <x v="0"/>
    <x v="7"/>
    <s v="Ноглики"/>
    <s v="Ногликский район пгт Ноглики строение 2"/>
    <n v="84244491198"/>
    <s v="dssh-nogliki@mail.ru"/>
    <s v="СШ"/>
    <s v="Нет"/>
    <n v="150"/>
    <x v="18"/>
    <x v="1"/>
    <x v="0"/>
    <x v="0"/>
    <n v="0"/>
    <n v="0"/>
    <n v="10"/>
    <n v="10"/>
    <n v="0"/>
    <n v="10"/>
    <n v="0"/>
    <n v="10"/>
    <n v="0"/>
    <n v="10"/>
    <n v="0"/>
    <n v="0"/>
    <s v="До 10 лет, До 13 лет"/>
    <s v="Да"/>
    <s v="Да"/>
    <n v="1"/>
    <n v="0"/>
    <s v="нет"/>
    <m/>
    <m/>
    <m/>
    <m/>
    <s v="Да"/>
    <s v="Нет"/>
    <m/>
  </r>
  <r>
    <d v="2025-11-18T01:16:22"/>
    <s v="ОГАУ ДО &quot;СШ &quot;Сахалин&quot;"/>
    <x v="0"/>
    <x v="7"/>
    <s v="Южно-Сахалинск"/>
    <s v="Сахалинская область, г. Южно-Сахалинск, ул. Горького 7/1-А"/>
    <n v="89241813079"/>
    <s v="delo@ogaufcsakhalin.ru"/>
    <s v="СШ"/>
    <s v="ДФЦ"/>
    <n v="472"/>
    <x v="12"/>
    <x v="1"/>
    <x v="0"/>
    <x v="0"/>
    <n v="0"/>
    <n v="5"/>
    <n v="10"/>
    <n v="5"/>
    <n v="6"/>
    <n v="8"/>
    <n v="9"/>
    <n v="6"/>
    <n v="3"/>
    <n v="4"/>
    <n v="2"/>
    <n v="0"/>
    <s v="До 10 лет, До 12 лет, До 13 лет, До 15 лет, До 17 лет, До 19 лет"/>
    <s v="Нет"/>
    <s v="Да"/>
    <n v="2"/>
    <n v="0"/>
    <s v="Хорунжий В.Е. С-УЕФА; Шарычев Д.В. С-УЕФА"/>
    <n v="2"/>
    <m/>
    <m/>
    <m/>
    <s v="Да"/>
    <s v="Да"/>
    <m/>
  </r>
  <r>
    <d v="2025-12-04T10:53:46"/>
    <s v="МБУ ДО СШ Юниор"/>
    <x v="0"/>
    <x v="8"/>
    <s v="Вяземский"/>
    <s v="Коммунистическая 10"/>
    <n v="84215331265"/>
    <s v="vyzducsh@yandex.ru"/>
    <s v="ДО"/>
    <s v="Нет"/>
    <n v="45"/>
    <x v="4"/>
    <x v="1"/>
    <x v="0"/>
    <x v="0"/>
    <n v="0"/>
    <n v="5"/>
    <n v="5"/>
    <n v="7"/>
    <n v="4"/>
    <n v="2"/>
    <n v="0"/>
    <n v="0"/>
    <n v="0"/>
    <n v="0"/>
    <n v="0"/>
    <n v="0"/>
    <m/>
    <s v="Нет"/>
    <s v="Нет"/>
    <n v="1"/>
    <n v="0"/>
    <s v="-"/>
    <m/>
    <m/>
    <m/>
    <m/>
    <s v="Нет"/>
    <s v="Нет"/>
    <m/>
  </r>
  <r>
    <d v="2025-12-08T09:10:40"/>
    <s v="МБУ ДО СШОР №1"/>
    <x v="0"/>
    <x v="8"/>
    <s v="Комсомольск-на-Амуре"/>
    <s v="Комсомольск-на-Амуре"/>
    <n v="89142121877"/>
    <s v="s2met@mail.ru"/>
    <s v="СШОР"/>
    <s v="Нет"/>
    <n v="90"/>
    <x v="19"/>
    <x v="1"/>
    <x v="0"/>
    <x v="0"/>
    <n v="0"/>
    <n v="0"/>
    <n v="0"/>
    <n v="0"/>
    <n v="0"/>
    <n v="0"/>
    <n v="0"/>
    <n v="0"/>
    <n v="1"/>
    <n v="2"/>
    <n v="3"/>
    <n v="0"/>
    <s v="До 10 лет, До 12 лет"/>
    <s v="Да"/>
    <s v="Да"/>
    <n v="1"/>
    <n v="0"/>
    <s v="-"/>
    <m/>
    <m/>
    <m/>
    <m/>
    <s v="Да"/>
    <s v="Нет"/>
    <m/>
  </r>
  <r>
    <d v="2025-12-09T09:54:34"/>
    <s v="ЖФК Антураж"/>
    <x v="0"/>
    <x v="8"/>
    <s v="Лазо"/>
    <s v="пос. им Лазо"/>
    <n v="89141564155"/>
    <s v="shumatova1965@mail.ru"/>
    <s v="частный клуб"/>
    <s v="Нет"/>
    <n v="38"/>
    <x v="20"/>
    <x v="6"/>
    <x v="4"/>
    <x v="3"/>
    <n v="4"/>
    <n v="2"/>
    <n v="5"/>
    <n v="3"/>
    <n v="4"/>
    <n v="6"/>
    <n v="0"/>
    <n v="0"/>
    <n v="0"/>
    <n v="0"/>
    <n v="0"/>
    <n v="0"/>
    <s v="До 15 лет, До 17 лет, До 19 лет"/>
    <s v="Нет"/>
    <s v="Нет"/>
    <n v="1"/>
    <n v="1"/>
    <s v="-"/>
    <m/>
    <m/>
    <m/>
    <m/>
    <s v="Нет"/>
    <s v="Нет"/>
    <m/>
  </r>
  <r>
    <d v="2025-12-04T10:49:59"/>
    <s v="МБУ ДО спортивная школа р.п. Переяславка"/>
    <x v="0"/>
    <x v="8"/>
    <s v="Переяславка"/>
    <s v="Пер. Клинский, 13"/>
    <s v="-"/>
    <s v="duslhazo@mail.ru"/>
    <s v="ДО"/>
    <s v="Нет"/>
    <n v="5"/>
    <x v="9"/>
    <x v="1"/>
    <x v="0"/>
    <x v="0"/>
    <n v="0"/>
    <n v="0"/>
    <n v="0"/>
    <n v="2"/>
    <n v="2"/>
    <n v="1"/>
    <n v="0"/>
    <n v="0"/>
    <n v="0"/>
    <n v="0"/>
    <n v="0"/>
    <n v="0"/>
    <s v="До 10 лет, До 12 лет, До 13 лет"/>
    <s v="Да"/>
    <s v="Нет"/>
    <n v="1"/>
    <n v="0"/>
    <n v="0"/>
    <m/>
    <m/>
    <m/>
    <m/>
    <s v="Нет"/>
    <s v="Нет"/>
    <m/>
  </r>
  <r>
    <d v="2025-12-09T10:22:13"/>
    <s v="ФК Поллукс"/>
    <x v="0"/>
    <x v="8"/>
    <s v="Советская гавань"/>
    <m/>
    <n v="89622889588"/>
    <s v="anna.murzina.dv@yandex.ru"/>
    <s v="частный клуб"/>
    <s v="Нет"/>
    <n v="13"/>
    <x v="21"/>
    <x v="1"/>
    <x v="0"/>
    <x v="0"/>
    <n v="0"/>
    <n v="0"/>
    <n v="0"/>
    <n v="0"/>
    <n v="0"/>
    <n v="5"/>
    <n v="5"/>
    <n v="3"/>
    <n v="0"/>
    <n v="0"/>
    <n v="0"/>
    <n v="0"/>
    <m/>
    <s v="Да"/>
    <s v="Нет"/>
    <n v="1"/>
    <n v="1"/>
    <s v="-"/>
    <m/>
    <m/>
    <m/>
    <m/>
    <s v="Нет"/>
    <s v="Нет"/>
    <m/>
  </r>
  <r>
    <d v="2025-11-17T03:40:15"/>
    <s v="Ассоциация &quot;ФК &quot;СКА-Хабаровск&quot;"/>
    <x v="0"/>
    <x v="8"/>
    <s v="Хабаровск"/>
    <s v="680028 Хабаровский край, г. Хабаровск, стадион им. В.И.Ленина, южная трибуна, оф. 18"/>
    <s v="+7-4212-917899 (917896)"/>
    <s v="fcska-khv@yandex.ru"/>
    <s v="Центр подготовки юных футболистов"/>
    <s v="Футбольная академия"/>
    <n v="367"/>
    <x v="22"/>
    <x v="1"/>
    <x v="0"/>
    <x v="0"/>
    <n v="0"/>
    <n v="0"/>
    <n v="4"/>
    <n v="9"/>
    <n v="7"/>
    <n v="11"/>
    <n v="12"/>
    <n v="13"/>
    <n v="2"/>
    <n v="3"/>
    <n v="0"/>
    <n v="0"/>
    <s v="До 10 лет, До 12 лет, До 13 лет, До 15 лет"/>
    <s v="Нет"/>
    <s v="Нет"/>
    <n v="3"/>
    <n v="3"/>
    <s v="Радина Р.А. прошла обучение на В-УЕФА, Литвиненко А.А. прошла обучение на В-УЕФА, Вязьмина С.М.  проходит обучение на С-УЕФА"/>
    <n v="1"/>
    <n v="2"/>
    <m/>
    <m/>
    <s v="Да"/>
    <s v="Нет"/>
    <s v="Без коментариев."/>
  </r>
  <r>
    <d v="2025-12-09T04:25:22"/>
    <s v=" Спортивный клуб &quot;СКИФ-ДВ&quot;"/>
    <x v="0"/>
    <x v="8"/>
    <s v="Хабаровск"/>
    <s v="г. Хабаровск, Амурский б-р 1"/>
    <s v="+7(914)-169-01-63"/>
    <s v="popov-pavel96@mail.ru"/>
    <s v="ОО"/>
    <s v="Нет"/>
    <n v="48"/>
    <x v="17"/>
    <x v="6"/>
    <x v="3"/>
    <x v="2"/>
    <n v="0"/>
    <n v="0"/>
    <n v="2"/>
    <n v="4"/>
    <n v="0"/>
    <n v="0"/>
    <n v="0"/>
    <n v="0"/>
    <n v="0"/>
    <n v="0"/>
    <n v="0"/>
    <n v="0"/>
    <s v="До 10 лет, До 12 лет, До 13 лет, До 15 лет, До 17 лет, До 19 лет"/>
    <s v="Нет"/>
    <s v="Нет"/>
    <n v="2"/>
    <n v="1"/>
    <s v="Дирютин К.И. С-УЕФА, Радина Р.А. С-УЕФА"/>
    <n v="2"/>
    <m/>
    <m/>
    <m/>
    <s v="Нет"/>
    <s v="Нет"/>
    <s v="Спортивный клуб &quot;СКИФ-ДВ&quot; работает с возрастным контингентом девушек и мужчин от 18-30 лет (преимущественно студенты-студентки &quot;Дальневосточной государственной академии физической культуры&quot;. "/>
  </r>
  <r>
    <d v="2025-12-04T10:22:17"/>
    <s v="ЖФК  &quot;Арсенал&quot;"/>
    <x v="0"/>
    <x v="8"/>
    <s v="Хабаровск"/>
    <s v="Ул. Гамарника, 4-79"/>
    <s v="8-962-503-86-47"/>
    <s v="samsergey10@rambler.ru"/>
    <s v="частный клуб"/>
    <s v="Нет"/>
    <n v="17"/>
    <x v="7"/>
    <x v="7"/>
    <x v="0"/>
    <x v="0"/>
    <n v="0"/>
    <n v="0"/>
    <n v="0"/>
    <n v="0"/>
    <n v="4"/>
    <n v="1"/>
    <n v="0"/>
    <n v="0"/>
    <n v="0"/>
    <n v="0"/>
    <n v="0"/>
    <n v="0"/>
    <m/>
    <s v="Нет"/>
    <s v="Нет"/>
    <n v="1"/>
    <n v="0"/>
    <s v="-"/>
    <m/>
    <m/>
    <m/>
    <m/>
    <s v="Нет"/>
    <s v="Нет"/>
    <m/>
  </r>
  <r>
    <d v="2025-12-04T11:42:12"/>
    <s v="МАУ ДО СШ &quot;Заря&quot;"/>
    <x v="0"/>
    <x v="8"/>
    <s v="Хабаровск"/>
    <s v="Хабаровский край, город Хабаровск, ул. Воровского,17"/>
    <s v="89142064047 Раиса"/>
    <s v="ya.dusch8@yandex.ru"/>
    <s v="СШ"/>
    <s v="Нет"/>
    <n v="55"/>
    <x v="23"/>
    <x v="1"/>
    <x v="0"/>
    <x v="0"/>
    <n v="0"/>
    <n v="0"/>
    <n v="0"/>
    <n v="0"/>
    <n v="5"/>
    <n v="10"/>
    <n v="5"/>
    <n v="0"/>
    <n v="0"/>
    <n v="0"/>
    <n v="0"/>
    <n v="0"/>
    <s v="До 13 лет, До 15 лет"/>
    <s v="Нет"/>
    <s v="Нет"/>
    <n v="1"/>
    <n v="0"/>
    <n v="0"/>
    <m/>
    <m/>
    <m/>
    <m/>
    <s v="Нет"/>
    <s v="Нет"/>
    <m/>
  </r>
  <r>
    <d v="2025-12-04T10:30:43"/>
    <s v="Икар"/>
    <x v="0"/>
    <x v="8"/>
    <s v="Хор"/>
    <s v="Хабаровский край, район Лазо, р.п. Хор, ул. Безымянная, д. 6"/>
    <n v="89141687778"/>
    <s v="Dushikar@yandex.ru"/>
    <s v="клуб"/>
    <s v="Нет"/>
    <n v="30"/>
    <x v="3"/>
    <x v="1"/>
    <x v="0"/>
    <x v="0"/>
    <n v="0"/>
    <n v="0"/>
    <n v="4"/>
    <n v="4"/>
    <n v="3"/>
    <n v="2"/>
    <n v="2"/>
    <n v="0"/>
    <n v="0"/>
    <n v="0"/>
    <n v="0"/>
    <n v="0"/>
    <m/>
    <s v="Нет"/>
    <s v="Нет"/>
    <n v="1"/>
    <n v="0"/>
    <n v="0"/>
    <m/>
    <m/>
    <m/>
    <m/>
    <s v="Нет"/>
    <s v="Нет"/>
    <m/>
  </r>
  <r>
    <d v="2025-11-27T11:05:38"/>
    <s v="МБУ Триумф"/>
    <x v="2"/>
    <x v="9"/>
    <s v="Родники"/>
    <s v="Родники, Космонавтов, 2"/>
    <n v="84933620560"/>
    <s v="rodtriumf37@mail.ru"/>
    <s v="Физкультурно-оздоровительный комплекс"/>
    <s v="Нет"/>
    <n v="56"/>
    <x v="24"/>
    <x v="1"/>
    <x v="0"/>
    <x v="0"/>
    <n v="1"/>
    <n v="5"/>
    <n v="3"/>
    <n v="2"/>
    <n v="5"/>
    <n v="5"/>
    <n v="5"/>
    <n v="4"/>
    <n v="3"/>
    <n v="3"/>
    <n v="0"/>
    <n v="0"/>
    <s v="До 10 лет, До 12 лет, До 13 лет"/>
    <s v="Нет"/>
    <s v="Нет"/>
    <n v="1"/>
    <n v="0"/>
    <s v="Услугин Алексей Игоревич, планирует обучение С-UEFA"/>
    <n v="1"/>
    <m/>
    <m/>
    <m/>
    <s v="Нет"/>
    <s v="Нет"/>
    <m/>
  </r>
  <r>
    <d v="2025-11-28T09:44:22"/>
    <s v="ФК Анопино"/>
    <x v="2"/>
    <x v="10"/>
    <s v="Анопино"/>
    <s v="Владимирская обл. Гусь-Хрустальный р-он п. Анопино"/>
    <n v="89005831348"/>
    <s v="нету"/>
    <s v="СШ"/>
    <s v="Нет"/>
    <n v="25"/>
    <x v="15"/>
    <x v="1"/>
    <x v="0"/>
    <x v="0"/>
    <n v="0"/>
    <n v="0"/>
    <n v="0"/>
    <n v="10"/>
    <n v="9"/>
    <n v="1"/>
    <n v="2"/>
    <n v="2"/>
    <n v="1"/>
    <n v="0"/>
    <n v="0"/>
    <n v="0"/>
    <s v="Соревновательной практики достаточно"/>
    <s v="Нет"/>
    <s v="Нет"/>
    <n v="1"/>
    <n v="0"/>
    <s v="Ястребов Александр Фёдорович"/>
    <m/>
    <m/>
    <m/>
    <m/>
    <s v="Нет"/>
    <s v="Нет"/>
    <s v="Негде тренироваться зимой"/>
  </r>
  <r>
    <d v="2025-11-14T08:46:56"/>
    <s v="АНО ДЮСШ по футболу &quot;СИРИУС&quot;"/>
    <x v="2"/>
    <x v="10"/>
    <s v="Владимир"/>
    <s v="г. Владимир, ул. 9 января, д. 3"/>
    <s v="+7 904 656 04 51"/>
    <s v="wfc.sirius@mail.ru"/>
    <s v="ДЮСШ"/>
    <s v="Нет"/>
    <n v="41"/>
    <x v="25"/>
    <x v="8"/>
    <x v="0"/>
    <x v="4"/>
    <n v="0"/>
    <n v="0"/>
    <n v="1"/>
    <n v="0"/>
    <n v="1"/>
    <n v="0"/>
    <n v="0"/>
    <n v="0"/>
    <n v="0"/>
    <n v="0"/>
    <n v="0"/>
    <n v="0"/>
    <m/>
    <s v="Нет"/>
    <s v="Нет"/>
    <n v="2"/>
    <n v="1"/>
    <s v="Хохлов Е.О. - B UEFA_x000a_Лещенко А.М. - С UEFA"/>
    <n v="1"/>
    <n v="1"/>
    <m/>
    <m/>
    <s v="Нет"/>
    <s v="Нет"/>
    <m/>
  </r>
  <r>
    <d v="2025-11-14T09:04:57"/>
    <s v="ГБУ ДО ВО &quot;СШ по футболу&quot;"/>
    <x v="2"/>
    <x v="10"/>
    <s v="Владимир"/>
    <s v="г. Владимир, ул. Дворянская, д. 16 А"/>
    <s v="+7 (4922) 47-06-22"/>
    <s v="school_football33@mail.ru"/>
    <s v="СШ"/>
    <s v="Нет"/>
    <n v="522"/>
    <x v="26"/>
    <x v="9"/>
    <x v="3"/>
    <x v="3"/>
    <n v="3"/>
    <n v="4"/>
    <n v="5"/>
    <n v="14"/>
    <n v="10"/>
    <n v="9"/>
    <n v="7"/>
    <n v="6"/>
    <n v="6"/>
    <n v="8"/>
    <n v="3"/>
    <n v="2"/>
    <s v="До 13 лет, До 15 лет, До 17 лет"/>
    <s v="Нет"/>
    <s v="Да"/>
    <n v="2"/>
    <n v="2"/>
    <s v="Лещенко А.М. - C UEFA;_x000a_Музалевская Р.В. - без лицензии."/>
    <n v="1"/>
    <m/>
    <m/>
    <m/>
    <s v="Да"/>
    <s v="Нет"/>
    <m/>
  </r>
  <r>
    <d v="2025-11-17T13:12:04"/>
    <s v="Ано ф. К &quot;Огонёк&quot;"/>
    <x v="2"/>
    <x v="10"/>
    <s v="Гороховец"/>
    <s v="Г. Гороховец ул Гоголя д1"/>
    <n v="89307442518"/>
    <s v="Ogonekmail.ru@yandex.ru"/>
    <s v="Футбольный Клуб"/>
    <s v="Нет"/>
    <n v="34"/>
    <x v="27"/>
    <x v="1"/>
    <x v="0"/>
    <x v="0"/>
    <n v="0"/>
    <n v="0"/>
    <n v="1"/>
    <n v="6"/>
    <n v="1"/>
    <n v="3"/>
    <n v="6"/>
    <n v="8"/>
    <n v="6"/>
    <n v="3"/>
    <n v="0"/>
    <n v="0"/>
    <s v="До 12 лет, До 13 лет, До 15 лет"/>
    <s v="Нет"/>
    <s v="Да"/>
    <n v="1"/>
    <n v="0"/>
    <s v="нет"/>
    <m/>
    <m/>
    <m/>
    <m/>
    <s v="Да"/>
    <s v="Нет"/>
    <m/>
  </r>
  <r>
    <d v="2025-11-18T07:36:26"/>
    <s v="МБУДО СШ по футболу «Грань»"/>
    <x v="2"/>
    <x v="10"/>
    <s v="Гусь-Хрустальный"/>
    <s v="Улица Добролюбова 23"/>
    <s v="+7 (492) 413-31-90"/>
    <s v="fcgran@mail.ru"/>
    <s v="СШ"/>
    <s v="ДФЦ"/>
    <n v="275"/>
    <x v="28"/>
    <x v="10"/>
    <x v="0"/>
    <x v="2"/>
    <n v="1"/>
    <n v="3"/>
    <n v="2"/>
    <n v="4"/>
    <n v="4"/>
    <n v="2"/>
    <n v="1"/>
    <n v="2"/>
    <n v="1"/>
    <n v="1"/>
    <n v="0"/>
    <n v="0"/>
    <s v="Соревновательной практики достаточно"/>
    <s v="Нет"/>
    <s v="Нет"/>
    <n v="1"/>
    <n v="0"/>
    <s v="Зякин Вячеслав Эдуардович"/>
    <m/>
    <m/>
    <m/>
    <m/>
    <s v="Да"/>
    <s v="Нет"/>
    <m/>
  </r>
  <r>
    <d v="2025-11-28T10:01:13"/>
    <s v="Муром &quot;Юниор&quot;"/>
    <x v="2"/>
    <x v="10"/>
    <s v="Муром"/>
    <s v="улица Московская, д. 87"/>
    <n v="89046585539"/>
    <s v="Tat-pushkova@yandex.ru"/>
    <s v="частная"/>
    <s v="Нет"/>
    <n v="100"/>
    <x v="29"/>
    <x v="6"/>
    <x v="3"/>
    <x v="2"/>
    <n v="2"/>
    <n v="0"/>
    <n v="0"/>
    <n v="3"/>
    <n v="13"/>
    <n v="4"/>
    <n v="0"/>
    <n v="2"/>
    <n v="3"/>
    <n v="3"/>
    <n v="0"/>
    <n v="0"/>
    <s v="До 13 лет"/>
    <s v="Нет"/>
    <s v="Нет"/>
    <n v="2"/>
    <n v="2"/>
    <s v="Пушкова Татьяна Сергеевна, Панкратова Ольга Олеговна."/>
    <m/>
    <m/>
    <m/>
    <m/>
    <s v="Нет"/>
    <s v="Нет"/>
    <m/>
  </r>
  <r>
    <d v="2025-11-18T20:01:45"/>
    <s v="АНО ДО СШ &quot;СК &quot;Муром&quot; "/>
    <x v="2"/>
    <x v="10"/>
    <s v="Муром "/>
    <s v="602267, Владимирская область, город Муром, ул. Ленина, д. 95 "/>
    <s v="8(49234)2-02-37"/>
    <s v="fc.murom@yandex.ru"/>
    <s v="ДФЦ"/>
    <s v="ДФЦ"/>
    <n v="300"/>
    <x v="30"/>
    <x v="1"/>
    <x v="0"/>
    <x v="0"/>
    <n v="0"/>
    <n v="0"/>
    <n v="0"/>
    <n v="0"/>
    <n v="0"/>
    <n v="0"/>
    <n v="2"/>
    <n v="18"/>
    <n v="8"/>
    <n v="2"/>
    <n v="0"/>
    <n v="0"/>
    <s v="До 12 лет"/>
    <s v="Нет"/>
    <s v="Да"/>
    <n v="1"/>
    <n v="0"/>
    <s v="Моисеев И.В. "/>
    <m/>
    <m/>
    <m/>
    <m/>
    <s v="Да"/>
    <s v="Нет"/>
    <m/>
  </r>
  <r>
    <d v="2025-11-28T09:54:59"/>
    <s v="МБОУ ДО &quot;ДЮСШ&quot; ЗАТО г.Радужный Владимирской области"/>
    <x v="2"/>
    <x v="10"/>
    <s v="Радужный"/>
    <s v="Владимирская область, г. Радужный, квартал 9, д.3ал 9, дом 3"/>
    <n v="84925432382"/>
    <s v="duchradyga@mail.ru"/>
    <s v="ДЮСШ"/>
    <s v="Нет"/>
    <n v="142"/>
    <x v="31"/>
    <x v="1"/>
    <x v="0"/>
    <x v="0"/>
    <n v="0"/>
    <n v="2"/>
    <n v="8"/>
    <n v="5"/>
    <n v="4"/>
    <n v="4"/>
    <n v="3"/>
    <n v="5"/>
    <n v="6"/>
    <n v="0"/>
    <n v="0"/>
    <n v="0"/>
    <s v="До 10 лет, До 13 лет, До 15 лет"/>
    <s v="Да"/>
    <s v="Нет"/>
    <n v="2"/>
    <n v="0"/>
    <s v="Ухов Дмитрий Алексеевич, Ухов Данила Дмитриевич"/>
    <m/>
    <m/>
    <m/>
    <m/>
    <s v="Да"/>
    <s v="Нет"/>
    <m/>
  </r>
  <r>
    <m/>
    <s v="Смена Владимир"/>
    <x v="2"/>
    <x v="10"/>
    <s v="Владимир"/>
    <s v="Добросельская 205 А"/>
    <n v="-1551"/>
    <s v=" нет"/>
    <m/>
    <m/>
    <n v="46.800000000000004"/>
    <x v="1"/>
    <x v="5"/>
    <x v="3"/>
    <x v="2"/>
    <n v="1"/>
    <n v="3"/>
    <n v="3"/>
    <n v="3"/>
    <n v="2"/>
    <n v="0"/>
    <n v="0"/>
    <n v="0"/>
    <n v="1"/>
    <n v="0"/>
    <n v="0"/>
    <n v="0"/>
    <m/>
    <m/>
    <m/>
    <m/>
    <m/>
    <m/>
    <m/>
    <m/>
    <m/>
    <m/>
    <m/>
    <m/>
    <m/>
  </r>
  <r>
    <m/>
    <s v="Мотор"/>
    <x v="2"/>
    <x v="10"/>
    <s v="Владимир"/>
    <s v="Школьная улица, 1А, микрорайон Коммунар, Владимир"/>
    <s v="+7 (4922) 77-75-00"/>
    <s v="sch46@vladedu.ru"/>
    <m/>
    <m/>
    <n v="78"/>
    <x v="30"/>
    <x v="1"/>
    <x v="0"/>
    <x v="0"/>
    <n v="0"/>
    <n v="8"/>
    <n v="7"/>
    <n v="3"/>
    <n v="5"/>
    <n v="3"/>
    <n v="4"/>
    <n v="0"/>
    <n v="0"/>
    <n v="0"/>
    <n v="0"/>
    <n v="0"/>
    <m/>
    <m/>
    <m/>
    <m/>
    <m/>
    <m/>
    <m/>
    <m/>
    <m/>
    <m/>
    <m/>
    <m/>
    <m/>
  </r>
  <r>
    <m/>
    <s v="МБУ ФКС &quot;РДЮФОК&quot;"/>
    <x v="2"/>
    <x v="10"/>
    <s v="Гороховец"/>
    <s v="ул. Братьев Бесединых, 26"/>
    <s v="8(49238)2-13-46"/>
    <s v="mufksrdyufok@mail.ru"/>
    <m/>
    <m/>
    <n v="101.4"/>
    <x v="32"/>
    <x v="1"/>
    <x v="0"/>
    <x v="0"/>
    <n v="0"/>
    <n v="0"/>
    <n v="1"/>
    <n v="12"/>
    <n v="3"/>
    <n v="2"/>
    <n v="10"/>
    <n v="6"/>
    <n v="4"/>
    <n v="1"/>
    <n v="0"/>
    <n v="0"/>
    <m/>
    <m/>
    <m/>
    <m/>
    <m/>
    <m/>
    <m/>
    <m/>
    <m/>
    <m/>
    <m/>
    <m/>
    <m/>
  </r>
  <r>
    <d v="2025-11-28T17:43:43"/>
    <s v="ПРОЛЕТАРСКАЯ ШКОЛА"/>
    <x v="2"/>
    <x v="11"/>
    <s v="Бабаево "/>
    <s v=" Садовая ул., 7, Бабаево"/>
    <s v="+7 (81743) 2-24-57"/>
    <s v="school_77"/>
    <s v="школа"/>
    <s v="Нет"/>
    <n v="24"/>
    <x v="8"/>
    <x v="1"/>
    <x v="0"/>
    <x v="0"/>
    <n v="0"/>
    <n v="0"/>
    <n v="0"/>
    <n v="0"/>
    <n v="0"/>
    <n v="0"/>
    <n v="0"/>
    <n v="0"/>
    <n v="2"/>
    <n v="0"/>
    <n v="0"/>
    <n v="0"/>
    <s v="До 10 лет, До 12 лет, До 13 лет"/>
    <s v="Да"/>
    <s v="Да"/>
    <n v="1"/>
    <n v="0"/>
    <s v="нет"/>
    <m/>
    <m/>
    <m/>
    <m/>
    <s v="Да"/>
    <s v="Нет"/>
    <m/>
  </r>
  <r>
    <d v="2025-11-21T22:51:17"/>
    <s v="МАУ ДО СШОР ПО ФУТБОЛ ДИНАМО - ВОЛОГДА "/>
    <x v="2"/>
    <x v="11"/>
    <s v="Вологда "/>
    <s v="Вологда, Варенцовой 1 "/>
    <n v="88172299080"/>
    <s v="fs35@yandex.ru"/>
    <s v="СШОР"/>
    <s v="ДФЦ"/>
    <n v="744"/>
    <x v="33"/>
    <x v="1"/>
    <x v="0"/>
    <x v="0"/>
    <n v="0"/>
    <n v="2"/>
    <n v="6"/>
    <n v="13"/>
    <n v="10"/>
    <n v="14"/>
    <n v="8"/>
    <n v="5"/>
    <n v="8"/>
    <n v="5"/>
    <n v="2"/>
    <n v="0"/>
    <s v="До 10 лет, До 12 лет, До 13 лет"/>
    <s v="Да"/>
    <s v="Нет"/>
    <n v="2"/>
    <n v="0"/>
    <s v="нет"/>
    <m/>
    <m/>
    <m/>
    <m/>
    <s v="Да"/>
    <s v="Нет"/>
    <m/>
  </r>
  <r>
    <d v="2025-11-28T17:52:16"/>
    <s v="Юниор"/>
    <x v="2"/>
    <x v="11"/>
    <s v="Вологда "/>
    <s v="Зосимовская 5В"/>
    <s v="+7 (981) 500-09-70"/>
    <s v="-"/>
    <s v="Спортивный клуб "/>
    <s v="Нет"/>
    <n v="50"/>
    <x v="1"/>
    <x v="11"/>
    <x v="0"/>
    <x v="0"/>
    <n v="0"/>
    <n v="0"/>
    <n v="0"/>
    <n v="0"/>
    <n v="0"/>
    <n v="0"/>
    <n v="0"/>
    <n v="0"/>
    <n v="0"/>
    <n v="0"/>
    <n v="0"/>
    <n v="0"/>
    <s v="возрастные соревнования от 25 лет "/>
    <s v="Нет"/>
    <s v="Нет"/>
    <n v="1"/>
    <n v="0"/>
    <s v="нет"/>
    <m/>
    <m/>
    <m/>
    <m/>
    <s v="Да"/>
    <s v="Да"/>
    <m/>
  </r>
  <r>
    <d v="2025-11-17T13:24:11"/>
    <s v="АУ ДО ВО &quot;СШОР &quot;Витязь&quot;"/>
    <x v="2"/>
    <x v="11"/>
    <s v="Вологда "/>
    <s v="ул. Гагарина, д. 44а "/>
    <s v="8 (8172) 33-80-90"/>
    <s v="sportpro@shor-vityaz35.ru"/>
    <s v="СШОР"/>
    <s v="Нет"/>
    <n v="367"/>
    <x v="30"/>
    <x v="1"/>
    <x v="0"/>
    <x v="0"/>
    <n v="0"/>
    <n v="0"/>
    <n v="0"/>
    <n v="0"/>
    <n v="0"/>
    <n v="0"/>
    <n v="3"/>
    <n v="6"/>
    <n v="8"/>
    <n v="5"/>
    <n v="8"/>
    <n v="0"/>
    <s v="До 10 лет"/>
    <s v="Нет"/>
    <s v="Нет"/>
    <n v="1"/>
    <n v="1"/>
    <n v="0"/>
    <m/>
    <m/>
    <m/>
    <m/>
    <s v="Да"/>
    <s v="Да"/>
    <m/>
  </r>
  <r>
    <d v="2025-11-28T17:46:51"/>
    <s v="Вохтожская школа"/>
    <x v="2"/>
    <x v="11"/>
    <s v="Вохтога "/>
    <s v="пер. Свободы, 3, рабочий посёлок Вохтога"/>
    <s v="7 (81755) 3-10-99"/>
    <s v="-"/>
    <s v=" школа"/>
    <s v="Нет"/>
    <n v="22"/>
    <x v="11"/>
    <x v="1"/>
    <x v="0"/>
    <x v="0"/>
    <n v="0"/>
    <n v="0"/>
    <n v="0"/>
    <n v="0"/>
    <n v="0"/>
    <n v="0"/>
    <n v="1"/>
    <n v="0"/>
    <n v="0"/>
    <n v="0"/>
    <n v="0"/>
    <n v="0"/>
    <s v="До 10 лет, До 12 лет, До 13 лет"/>
    <s v="Да"/>
    <s v="Да"/>
    <n v="1"/>
    <n v="1"/>
    <s v="нет"/>
    <m/>
    <m/>
    <m/>
    <m/>
    <s v="Да"/>
    <s v="Да"/>
    <m/>
  </r>
  <r>
    <d v="2025-11-17T13:51:49"/>
    <s v="Бюджетное учреждение &quot;Центр развития физической культуры и спорта&quot; Грязовецкого муниципального округа Вологодской области "/>
    <x v="2"/>
    <x v="11"/>
    <s v="Грязовец"/>
    <s v="г.Грязовец,ул.Революционная,д.104"/>
    <s v="2-42-82"/>
    <s v="sportkom.gr@mail.ru"/>
    <s v="Структурное подразделение Спортивная школа БУ &quot;Центр ФКС&quot; "/>
    <s v="Нет"/>
    <n v="140"/>
    <x v="34"/>
    <x v="1"/>
    <x v="5"/>
    <x v="5"/>
    <n v="3"/>
    <n v="1"/>
    <n v="2"/>
    <n v="4"/>
    <n v="1"/>
    <n v="2"/>
    <n v="1"/>
    <n v="1"/>
    <n v="0"/>
    <n v="0"/>
    <n v="0"/>
    <n v="0"/>
    <s v="-"/>
    <s v="Да"/>
    <s v="Нет"/>
    <n v="1"/>
    <n v="0"/>
    <n v="0"/>
    <m/>
    <m/>
    <m/>
    <m/>
    <s v="Да"/>
    <s v="Нет"/>
    <s v="-"/>
  </r>
  <r>
    <d v="2025-11-28T17:39:19"/>
    <s v="Кадуйская школа"/>
    <x v="2"/>
    <x v="11"/>
    <s v="Кадуй "/>
    <s v=" ул. Энтузиастов, 8А, рабочий посёлок Кадуй"/>
    <s v="+7 (81742) 5-13-35"/>
    <s v="school_13001"/>
    <s v="СШ"/>
    <s v="Нет"/>
    <n v="35"/>
    <x v="8"/>
    <x v="0"/>
    <x v="0"/>
    <x v="0"/>
    <n v="0"/>
    <n v="0"/>
    <n v="0"/>
    <n v="0"/>
    <n v="0"/>
    <n v="0"/>
    <n v="0"/>
    <n v="0"/>
    <n v="0"/>
    <n v="0"/>
    <n v="1"/>
    <n v="0"/>
    <s v="До 10 лет, До 12 лет, До 13 лет"/>
    <s v="Да"/>
    <s v="Да"/>
    <n v="1"/>
    <n v="0"/>
    <s v="нет"/>
    <m/>
    <m/>
    <m/>
    <m/>
    <s v="Да"/>
    <s v="Нет"/>
    <m/>
  </r>
  <r>
    <d v="2025-11-24T09:23:55"/>
    <s v="МАОУ ДО &quot;СШ по футболу&quot;"/>
    <x v="2"/>
    <x v="11"/>
    <s v="Череповец"/>
    <s v="ул. Ленина, д.125"/>
    <s v="8 (8202) 57-63-72 "/>
    <s v="football@cherepovetscity.ru"/>
    <s v="СШ"/>
    <s v="Нет"/>
    <n v="307"/>
    <x v="35"/>
    <x v="1"/>
    <x v="0"/>
    <x v="0"/>
    <n v="0"/>
    <n v="0"/>
    <n v="0"/>
    <n v="3"/>
    <n v="2"/>
    <n v="5"/>
    <n v="7"/>
    <n v="7"/>
    <n v="2"/>
    <n v="1"/>
    <n v="0"/>
    <n v="0"/>
    <s v="До 13 лет"/>
    <s v="Да"/>
    <s v="Да"/>
    <n v="1"/>
    <n v="0"/>
    <s v="Кирбенников А.Л. C-УЕФА"/>
    <n v="1"/>
    <m/>
    <m/>
    <m/>
    <s v="Нет"/>
    <s v="Нет"/>
    <m/>
  </r>
  <r>
    <d v="2025-11-27T06:43:18"/>
    <s v="АНСО &quot;ФУТБОЛЬНАЯ АКАДЕМИЯ ВАЛЕРИЯ КЕЧИНОВА&quot;"/>
    <x v="2"/>
    <x v="11"/>
    <s v="Череповец"/>
    <s v="ул. Химиков, д. 22а"/>
    <n v="79212541641"/>
    <s v="rozsv@mail.ru"/>
    <s v="АНСО"/>
    <s v="Нет"/>
    <n v="250"/>
    <x v="36"/>
    <x v="2"/>
    <x v="3"/>
    <x v="2"/>
    <n v="2"/>
    <n v="3"/>
    <n v="3"/>
    <n v="4"/>
    <n v="4"/>
    <n v="4"/>
    <n v="4"/>
    <n v="5"/>
    <n v="5"/>
    <n v="2"/>
    <n v="2"/>
    <n v="3"/>
    <s v="До 10 лет, До 12 лет, До 13 лет, До 15 лет"/>
    <s v="Да"/>
    <s v="Да"/>
    <n v="3"/>
    <n v="1"/>
    <s v="Антонов А.А. С-УЕФА, Куваев Д.А., Дубровина Ю.А."/>
    <n v="1"/>
    <m/>
    <m/>
    <m/>
    <s v="Нет"/>
    <s v="Да"/>
    <m/>
  </r>
  <r>
    <d v="2025-11-17T14:26:24"/>
    <s v="МБОУ &quot;Юровский центр образования&quot;"/>
    <x v="2"/>
    <x v="11"/>
    <s v="Юрово"/>
    <s v="Вологодская обл.,Грязовецкий р-н, д.Юрово, Кл.Школьная, 12"/>
    <n v="89175541241"/>
    <s v="secretar-12015@obr.edu35.ru"/>
    <s v="СШ"/>
    <s v="Нет"/>
    <n v="63"/>
    <x v="37"/>
    <x v="12"/>
    <x v="5"/>
    <x v="1"/>
    <n v="1"/>
    <n v="2"/>
    <n v="4"/>
    <n v="5"/>
    <n v="5"/>
    <n v="3"/>
    <n v="2"/>
    <n v="3"/>
    <n v="10"/>
    <n v="3"/>
    <n v="2"/>
    <n v="0"/>
    <s v="До 13 лет, До 17 лет"/>
    <s v="Да"/>
    <s v="Нет"/>
    <n v="2"/>
    <n v="1"/>
    <s v="-"/>
    <m/>
    <m/>
    <m/>
    <m/>
    <s v="Нет"/>
    <s v="Нет"/>
    <s v="-"/>
  </r>
  <r>
    <m/>
    <s v="ЖФК &quot;Атланта&quot; Череповец"/>
    <x v="2"/>
    <x v="11"/>
    <s v="Череповец"/>
    <s v="ЗЗаягорбский, ул. Космонавта Беляева, д. 66а"/>
    <n v="79315142454"/>
    <s v="voff35@mail.ru"/>
    <m/>
    <m/>
    <n v="53"/>
    <x v="38"/>
    <x v="4"/>
    <x v="4"/>
    <x v="4"/>
    <n v="3"/>
    <n v="1"/>
    <n v="1"/>
    <n v="0"/>
    <n v="5"/>
    <n v="6"/>
    <n v="6"/>
    <n v="5"/>
    <n v="4"/>
    <n v="1"/>
    <n v="0"/>
    <n v="0"/>
    <m/>
    <m/>
    <m/>
    <m/>
    <m/>
    <m/>
    <m/>
    <m/>
    <m/>
    <m/>
    <m/>
    <m/>
    <m/>
  </r>
  <r>
    <m/>
    <s v="ЖФК &quot;Арсенал&quot;"/>
    <x v="2"/>
    <x v="11"/>
    <s v="Кадуй"/>
    <s v="Вологодская обл., рп Кадуй, ул. Строителей, д. 6"/>
    <n v="89055859479"/>
    <s v="valeriekim08@yandex.ru"/>
    <m/>
    <m/>
    <n v="15"/>
    <x v="3"/>
    <x v="13"/>
    <x v="0"/>
    <x v="0"/>
    <n v="0"/>
    <n v="0"/>
    <n v="0"/>
    <n v="2"/>
    <n v="0"/>
    <n v="0"/>
    <n v="0"/>
    <n v="0"/>
    <n v="0"/>
    <n v="0"/>
    <n v="0"/>
    <n v="0"/>
    <m/>
    <m/>
    <m/>
    <m/>
    <m/>
    <m/>
    <m/>
    <m/>
    <m/>
    <m/>
    <m/>
    <m/>
    <m/>
  </r>
  <r>
    <m/>
    <s v="МУ &quot;Родниковский МСЦ&quot;"/>
    <x v="2"/>
    <x v="12"/>
    <s v="Родники"/>
    <s v="Родники, пер. Школьный, 7"/>
    <n v="79050582919"/>
    <s v="msc37@mail.ru"/>
    <m/>
    <m/>
    <n v="78"/>
    <x v="30"/>
    <x v="1"/>
    <x v="0"/>
    <x v="0"/>
    <n v="0"/>
    <n v="3"/>
    <n v="4"/>
    <n v="2"/>
    <n v="4"/>
    <n v="7"/>
    <n v="5"/>
    <n v="3"/>
    <n v="0"/>
    <n v="1"/>
    <n v="1"/>
    <n v="0"/>
    <m/>
    <m/>
    <m/>
    <m/>
    <m/>
    <m/>
    <m/>
    <m/>
    <m/>
    <m/>
    <m/>
    <m/>
    <m/>
  </r>
  <r>
    <m/>
    <s v="Восход"/>
    <x v="2"/>
    <x v="12"/>
    <s v="Фурманов"/>
    <s v="Тимирязева 32 Центр Детского Творчества "/>
    <s v="8(49341) 2-57-12"/>
    <s v="cdt-f@mail.ru"/>
    <m/>
    <m/>
    <n v="39"/>
    <x v="3"/>
    <x v="0"/>
    <x v="0"/>
    <x v="0"/>
    <n v="0"/>
    <n v="2"/>
    <n v="5"/>
    <n v="0"/>
    <n v="3"/>
    <n v="3"/>
    <n v="1"/>
    <n v="0"/>
    <n v="0"/>
    <n v="0"/>
    <n v="0"/>
    <n v="0"/>
    <m/>
    <m/>
    <m/>
    <m/>
    <m/>
    <m/>
    <m/>
    <m/>
    <m/>
    <m/>
    <m/>
    <m/>
    <m/>
  </r>
  <r>
    <d v="2025-11-17T14:38:34"/>
    <s v="МБУ &quot;Текстильщик&quot;"/>
    <x v="2"/>
    <x v="12"/>
    <s v="Вичуга"/>
    <s v="Ивановская область, г. Вичуга, ул. Ленинградская, д. 86"/>
    <s v="8-49354-2-44-76"/>
    <s v="mbu.textilshik@yandex.ru"/>
    <s v="Муниципальное"/>
    <s v="Нет"/>
    <n v="73"/>
    <x v="21"/>
    <x v="1"/>
    <x v="0"/>
    <x v="0"/>
    <n v="0"/>
    <n v="0"/>
    <n v="0"/>
    <n v="0"/>
    <n v="0"/>
    <n v="13"/>
    <n v="0"/>
    <n v="0"/>
    <n v="0"/>
    <n v="0"/>
    <n v="0"/>
    <n v="0"/>
    <s v="До 13 лет"/>
    <s v="Да"/>
    <s v="Нет"/>
    <n v="1"/>
    <n v="1"/>
    <n v="0"/>
    <m/>
    <m/>
    <m/>
    <m/>
    <s v="Нет"/>
    <s v="Нет"/>
    <m/>
  </r>
  <r>
    <d v="2025-11-18T13:41:18"/>
    <s v="МБУДО &quot;Гаврилово-Посадский ДЮЦ&quot;"/>
    <x v="2"/>
    <x v="12"/>
    <s v="Гаврилов Посад"/>
    <s v="Ивановская область, город Гаврилов Посад, ул. Советская, дом 20"/>
    <n v="84935522035"/>
    <s v="dfooc@yandex.ru"/>
    <s v="Детско-юношеский центр"/>
    <s v="Нет"/>
    <n v="63"/>
    <x v="7"/>
    <x v="1"/>
    <x v="0"/>
    <x v="0"/>
    <n v="0"/>
    <n v="0"/>
    <n v="0"/>
    <n v="3"/>
    <n v="4"/>
    <n v="4"/>
    <n v="4"/>
    <n v="0"/>
    <n v="0"/>
    <n v="2"/>
    <n v="0"/>
    <n v="0"/>
    <s v="До 13 лет"/>
    <s v="Нет"/>
    <s v="Нет"/>
    <n v="1"/>
    <n v="0"/>
    <s v="Шагин Ф.Н. 1 категория педагога дополнительного образования"/>
    <m/>
    <m/>
    <m/>
    <m/>
    <s v="Нет"/>
    <s v="Нет"/>
    <m/>
  </r>
  <r>
    <d v="2025-11-28T10:09:33"/>
    <s v="ЖФК Иваново"/>
    <x v="2"/>
    <x v="12"/>
    <s v="Иваново"/>
    <s v="Иваново, Спортивная, 19/1"/>
    <n v="79806911509"/>
    <s v="wfc-iv@mail.ru"/>
    <s v="Автономная некоммерческая организация"/>
    <s v="Нет"/>
    <n v="30"/>
    <x v="30"/>
    <x v="12"/>
    <x v="0"/>
    <x v="0"/>
    <n v="0"/>
    <n v="7"/>
    <n v="5"/>
    <n v="2"/>
    <n v="3"/>
    <n v="5"/>
    <n v="5"/>
    <n v="0"/>
    <n v="0"/>
    <n v="0"/>
    <n v="0"/>
    <n v="0"/>
    <s v="До 15 лет"/>
    <s v="Нет"/>
    <s v="Нет"/>
    <n v="1"/>
    <n v="0"/>
    <s v="нет лицензии"/>
    <m/>
    <m/>
    <m/>
    <m/>
    <s v="Нет"/>
    <s v="Нет"/>
    <m/>
  </r>
  <r>
    <d v="2025-11-26T15:12:07"/>
    <s v="МБУ ДО СШ &quot;Текстильщик&quot;"/>
    <x v="2"/>
    <x v="12"/>
    <s v="Иваново"/>
    <s v="ул. Ермака, 49"/>
    <s v="+7(4932)33-57-32"/>
    <s v="stadtextil@mail.ru"/>
    <s v="СШ"/>
    <s v="Нет"/>
    <n v="247"/>
    <x v="39"/>
    <x v="1"/>
    <x v="0"/>
    <x v="0"/>
    <n v="0"/>
    <n v="0"/>
    <n v="1"/>
    <n v="1"/>
    <n v="10"/>
    <n v="11"/>
    <n v="7"/>
    <n v="7"/>
    <n v="2"/>
    <n v="1"/>
    <n v="0"/>
    <n v="6"/>
    <s v="До 10 лет, До 12 лет, До 13 лет, До 15 лет, До 17 лет, До 19 лет, "/>
    <s v="Нет"/>
    <s v="Нет"/>
    <n v="1"/>
    <n v="0"/>
    <s v="Сундуков Алексей Владимирович"/>
    <m/>
    <m/>
    <m/>
    <m/>
    <s v="Да"/>
    <s v="Да"/>
    <s v="Хотелось бы видеть больше турниров в нашем регионе среди девочек и  чтобы проводились чаще. _x000a_Есть ли возможность прохождения курсов повышения квалификации тренеров на базе ведущих футбольных академий страны?"/>
  </r>
  <r>
    <m/>
    <s v="МБУ ДО СШ Советского района"/>
    <x v="2"/>
    <x v="13"/>
    <s v="Советск"/>
    <s v="Кировская область, г.Советск, ул.Энгельса, д.79"/>
    <n v="88337522504"/>
    <s v="dyssh.sovetsk@yandex.ru"/>
    <m/>
    <m/>
    <n v="78"/>
    <x v="30"/>
    <x v="1"/>
    <x v="0"/>
    <x v="0"/>
    <n v="0"/>
    <n v="0"/>
    <n v="0"/>
    <n v="4"/>
    <n v="6"/>
    <n v="9"/>
    <n v="8"/>
    <n v="2"/>
    <n v="1"/>
    <n v="0"/>
    <n v="0"/>
    <n v="0"/>
    <m/>
    <m/>
    <m/>
    <m/>
    <m/>
    <m/>
    <m/>
    <m/>
    <m/>
    <m/>
    <m/>
    <m/>
    <m/>
  </r>
  <r>
    <d v="2025-11-17T15:55:33"/>
    <s v="МКУ ДО Спортивная школа гЗуевка"/>
    <x v="2"/>
    <x v="13"/>
    <s v="Зуевка город"/>
    <s v="Кировская обл г Зуевка ул Восточная 16 а"/>
    <n v="8833225208"/>
    <s v="z.s.school@mail.ru"/>
    <s v="СШ"/>
    <s v="Нет"/>
    <n v="135"/>
    <x v="40"/>
    <x v="1"/>
    <x v="0"/>
    <x v="0"/>
    <n v="0"/>
    <n v="1"/>
    <n v="4"/>
    <n v="2"/>
    <n v="1"/>
    <n v="4"/>
    <n v="4"/>
    <n v="4"/>
    <n v="2"/>
    <n v="1"/>
    <n v="1"/>
    <n v="25"/>
    <s v="До 10 лет, До 12 лет, До 17 лет"/>
    <s v="Да"/>
    <s v="Да"/>
    <n v="3"/>
    <n v="1"/>
    <s v="нет"/>
    <m/>
    <m/>
    <m/>
    <m/>
    <s v="Да"/>
    <s v="Нет"/>
    <s v="Отсутствие достаточного количества соревнований в регионе"/>
  </r>
  <r>
    <d v="2025-11-18T09:02:51"/>
    <s v="КОГАУ ДО &quot;СШ&quot; Динамо &quot;"/>
    <x v="2"/>
    <x v="13"/>
    <s v="Киров"/>
    <s v="Г. Киров, ул. Красноармейская, д. 15"/>
    <n v="8332711888"/>
    <s v="uosport5@mail.ru"/>
    <s v="СШ"/>
    <s v="ДФЦ"/>
    <n v="1121"/>
    <x v="41"/>
    <x v="1"/>
    <x v="0"/>
    <x v="0"/>
    <n v="0"/>
    <n v="1"/>
    <n v="4"/>
    <n v="2"/>
    <n v="9"/>
    <n v="11"/>
    <n v="9"/>
    <n v="7"/>
    <n v="14"/>
    <n v="7"/>
    <n v="3"/>
    <n v="0"/>
    <m/>
    <s v="Да"/>
    <s v="Да"/>
    <n v="2"/>
    <n v="0"/>
    <s v="нет"/>
    <m/>
    <m/>
    <m/>
    <m/>
    <s v="Да"/>
    <s v="Да"/>
    <m/>
  </r>
  <r>
    <d v="2025-11-17T13:28:57"/>
    <s v="Футбольная академия «Вектор» (ИП Савиных В.А.)"/>
    <x v="2"/>
    <x v="13"/>
    <s v="Киров"/>
    <s v="Город Киров, ул. Блюхера, 2/3"/>
    <s v="8-919-503-71-21"/>
    <s v="championkirov@gmail.ru"/>
    <s v="Частная школа "/>
    <s v="Нет"/>
    <n v="1000"/>
    <x v="42"/>
    <x v="14"/>
    <x v="0"/>
    <x v="0"/>
    <n v="0"/>
    <n v="1"/>
    <n v="3"/>
    <n v="2"/>
    <n v="3"/>
    <n v="3"/>
    <n v="3"/>
    <n v="4"/>
    <n v="2"/>
    <n v="2"/>
    <n v="2"/>
    <n v="20"/>
    <s v="До 10 лет, До 12 лет, До 13 лет, До 15 лет, До 17 лет, До 19 лет"/>
    <s v="Да"/>
    <s v="Да"/>
    <n v="4"/>
    <n v="1"/>
    <s v="Балезин А.Н. С-УЕФА, Иванова А.В., Халявин Д.Н., Розанов А.С."/>
    <n v="1"/>
    <m/>
    <m/>
    <m/>
    <s v="Нет"/>
    <s v="Нет"/>
    <m/>
  </r>
  <r>
    <d v="2025-11-17T12:57:11"/>
    <s v="ЖФК &quot;Энерджи&quot;"/>
    <x v="2"/>
    <x v="13"/>
    <s v="Киров"/>
    <s v="Некрасова 71Б"/>
    <n v="89229557303"/>
    <s v="meteleva_a@mail.ru"/>
    <s v="частная "/>
    <s v="Нет"/>
    <n v="14"/>
    <x v="16"/>
    <x v="13"/>
    <x v="0"/>
    <x v="0"/>
    <n v="1"/>
    <n v="0"/>
    <n v="0"/>
    <n v="0"/>
    <n v="0"/>
    <n v="0"/>
    <n v="0"/>
    <n v="0"/>
    <n v="0"/>
    <n v="0"/>
    <n v="0"/>
    <n v="0"/>
    <s v="взрослых старше 19 лет"/>
    <s v="Нет"/>
    <s v="Нет"/>
    <n v="1"/>
    <n v="0"/>
    <s v="нет"/>
    <m/>
    <m/>
    <m/>
    <m/>
    <s v="Нет"/>
    <s v="Нет"/>
    <m/>
  </r>
  <r>
    <d v="2025-11-26T12:55:32"/>
    <s v="КОГАУ ДО &quot;ВятСШОР&quot;"/>
    <x v="2"/>
    <x v="13"/>
    <s v="Киров"/>
    <s v="ул. Ленинградская, 1Б"/>
    <s v="41-97-68"/>
    <s v="sotdel@sport43.kirov.ru"/>
    <s v="СШОР"/>
    <s v="ДФЦ"/>
    <n v="595"/>
    <x v="43"/>
    <x v="13"/>
    <x v="0"/>
    <x v="0"/>
    <n v="1"/>
    <n v="0"/>
    <n v="2"/>
    <n v="4"/>
    <n v="4"/>
    <n v="3"/>
    <n v="2"/>
    <n v="2"/>
    <n v="4"/>
    <n v="4"/>
    <n v="18"/>
    <n v="0"/>
    <s v="До 10 лет, До 12 лет, До 13 лет, До 15 лет, До 17 лет, До 19 лет"/>
    <s v="Нет"/>
    <s v="Да"/>
    <n v="2"/>
    <n v="1"/>
    <s v="-"/>
    <m/>
    <m/>
    <m/>
    <m/>
    <s v="Да"/>
    <s v="Да"/>
    <m/>
  </r>
  <r>
    <d v="2025-12-05T13:10:13"/>
    <s v="ГБУ ДО КО «СШОР им. А.В. Голубева»"/>
    <x v="2"/>
    <x v="14"/>
    <s v="Кострома"/>
    <s v="Г. Кострома, мкр. Давыдовский - 3, д.44"/>
    <s v="65-72-54"/>
    <s v="yrogai@yandex.ru"/>
    <s v="СШОР"/>
    <s v="Нет"/>
    <n v="200"/>
    <x v="44"/>
    <x v="1"/>
    <x v="0"/>
    <x v="5"/>
    <n v="5"/>
    <n v="8"/>
    <n v="15"/>
    <n v="15"/>
    <n v="14"/>
    <n v="10"/>
    <n v="10"/>
    <n v="5"/>
    <n v="4"/>
    <n v="4"/>
    <n v="0"/>
    <n v="0"/>
    <s v="До 10 лет, До 12 лет, До 13 лет, До 15 лет, До 17 лет, До 19 лет"/>
    <s v="Нет"/>
    <s v="Нет"/>
    <n v="1"/>
    <n v="0"/>
    <s v="Марков С. В. 1 категория, Осокин М. Н. Высшая категория, Осокин Д. М. Вторая категоря"/>
    <n v="3"/>
    <m/>
    <m/>
    <m/>
    <s v="Да"/>
    <s v="Да"/>
    <m/>
  </r>
  <r>
    <d v="2025-11-18T11:27:24"/>
    <s v="Государственное бюджетное учреждение дополнительного образования Костромской области &quot;Спортивная школа имени выдающегося земляка Георгия Александровича Ярцева&quot;"/>
    <x v="2"/>
    <x v="14"/>
    <s v="Кострома"/>
    <s v="г. Кострома, мкр. Давыдовский-3, д.17"/>
    <n v="74942414131"/>
    <s v="dush-3.14@mail.ru"/>
    <s v="СШ"/>
    <s v="ДФЦ"/>
    <n v="370"/>
    <x v="45"/>
    <x v="1"/>
    <x v="0"/>
    <x v="0"/>
    <n v="0"/>
    <n v="0"/>
    <n v="1"/>
    <n v="4"/>
    <n v="5"/>
    <n v="8"/>
    <n v="4"/>
    <n v="2"/>
    <n v="3"/>
    <n v="1"/>
    <n v="0"/>
    <n v="0"/>
    <s v="До 10 лет, До 12 лет, До 13 лет, До 15 лет"/>
    <s v="Да"/>
    <s v="Да"/>
    <n v="1"/>
    <n v="1"/>
    <s v="Худяков А.Д. С-УЕФА, Торшилова Н.С. С-УЕФА тренер ОФС"/>
    <n v="2"/>
    <m/>
    <m/>
    <m/>
    <s v="Да"/>
    <s v="Нет"/>
    <m/>
  </r>
  <r>
    <d v="2025-12-02T08:19:49"/>
    <s v="Пантера"/>
    <x v="2"/>
    <x v="14"/>
    <s v="Кострома"/>
    <s v="Кострома"/>
    <n v="89206490755"/>
    <s v="-"/>
    <s v="частная"/>
    <s v="Нет"/>
    <n v="42"/>
    <x v="46"/>
    <x v="1"/>
    <x v="0"/>
    <x v="4"/>
    <n v="3"/>
    <n v="2"/>
    <n v="5"/>
    <n v="5"/>
    <n v="5"/>
    <n v="2"/>
    <n v="8"/>
    <n v="5"/>
    <n v="5"/>
    <n v="0"/>
    <n v="0"/>
    <n v="0"/>
    <s v="До 13 лет, До 15 лет"/>
    <s v="Нет"/>
    <s v="Нет"/>
    <n v="2"/>
    <n v="0"/>
    <s v="Скворцов Алексей"/>
    <m/>
    <m/>
    <m/>
    <m/>
    <s v="Нет"/>
    <s v="Нет"/>
    <m/>
  </r>
  <r>
    <d v="2025-12-08T20:00:32"/>
    <s v="Бригантина "/>
    <x v="2"/>
    <x v="14"/>
    <s v="Нерехта"/>
    <s v="Металлистов 2"/>
    <n v="89676802109"/>
    <s v="-"/>
    <s v="СШ"/>
    <s v="Нет"/>
    <n v="64"/>
    <x v="47"/>
    <x v="15"/>
    <x v="5"/>
    <x v="4"/>
    <n v="3"/>
    <n v="4"/>
    <n v="10"/>
    <n v="5"/>
    <n v="3"/>
    <n v="2"/>
    <n v="10"/>
    <n v="10"/>
    <n v="10"/>
    <n v="0"/>
    <n v="0"/>
    <n v="0"/>
    <s v="До 13 лет, До 15 лет"/>
    <s v="Нет"/>
    <s v="Нет"/>
    <n v="2"/>
    <n v="0"/>
    <s v="М.Н. Осокин, Д.М Осокин"/>
    <m/>
    <m/>
    <m/>
    <m/>
    <s v="Нет"/>
    <s v="Нет"/>
    <m/>
  </r>
  <r>
    <d v="2025-11-28T10:32:45"/>
    <s v="ГБУ ДО &quot;СШОР по футболу&quot;"/>
    <x v="2"/>
    <x v="15"/>
    <s v="Тверь"/>
    <s v="г. Тверь, ул. Вокзальная, 7 "/>
    <s v="4822 32-52-57"/>
    <s v="sport_school_69@tfs69.ru"/>
    <s v="СШОР"/>
    <s v="Нет"/>
    <n v="891"/>
    <x v="41"/>
    <x v="16"/>
    <x v="5"/>
    <x v="0"/>
    <n v="0"/>
    <n v="4"/>
    <n v="6"/>
    <n v="8"/>
    <n v="4"/>
    <n v="5"/>
    <n v="5"/>
    <n v="6"/>
    <n v="2"/>
    <n v="10"/>
    <n v="1"/>
    <n v="0"/>
    <s v="До 10 лет, До 12 лет, До 13 лет, До 15 лет, До 17 лет, До 19 лет"/>
    <s v="Нет"/>
    <s v="Нет"/>
    <n v="3"/>
    <n v="1"/>
    <n v="1"/>
    <m/>
    <m/>
    <m/>
    <m/>
    <s v="Да"/>
    <s v="Нет"/>
    <m/>
  </r>
  <r>
    <d v="2025-12-04T09:27:54"/>
    <s v="ЖФК &quot;Пантера&quot;"/>
    <x v="2"/>
    <x v="15"/>
    <s v="Тверь"/>
    <s v="улица Дарвина, 3, Тверь"/>
    <n v="89520620776"/>
    <s v=""/>
    <s v="АНО"/>
    <s v="Нет"/>
    <n v="44"/>
    <x v="48"/>
    <x v="1"/>
    <x v="0"/>
    <x v="0"/>
    <n v="0"/>
    <n v="1"/>
    <n v="3"/>
    <n v="2"/>
    <n v="3"/>
    <n v="1"/>
    <n v="4"/>
    <n v="3"/>
    <n v="3"/>
    <n v="8"/>
    <n v="4"/>
    <n v="12"/>
    <s v="До 10 лет, До 12 лет, До 13 лет"/>
    <s v="Нет"/>
    <s v="Нет"/>
    <n v="1"/>
    <n v="0"/>
    <s v="Алмакаев Владимир Анатольевич"/>
    <m/>
    <m/>
    <m/>
    <m/>
    <s v="Нет"/>
    <s v="Нет"/>
    <m/>
  </r>
  <r>
    <d v="2025-12-04T10:50:19"/>
    <s v="МБУ ДО &quot;СШ им. Ф.Ф. Богдановского&quot;"/>
    <x v="2"/>
    <x v="15"/>
    <s v="Вышний Волочек"/>
    <s v="ул.Коммунальная д.6"/>
    <s v=" dushb2012@yandex.ru"/>
    <s v="dushb2012@yandex.ru"/>
    <s v="СШ"/>
    <s v="ДФЦ"/>
    <n v="190"/>
    <x v="23"/>
    <x v="1"/>
    <x v="0"/>
    <x v="0"/>
    <n v="1"/>
    <n v="4"/>
    <n v="3"/>
    <n v="2"/>
    <n v="2"/>
    <n v="3"/>
    <n v="3"/>
    <n v="2"/>
    <n v="0"/>
    <n v="0"/>
    <n v="0"/>
    <n v="0"/>
    <s v="До 15 лет"/>
    <s v="Да"/>
    <s v="Нет"/>
    <n v="1"/>
    <n v="0"/>
    <s v="лицензии нет"/>
    <m/>
    <m/>
    <m/>
    <m/>
    <s v="Да"/>
    <s v="Нет"/>
    <m/>
  </r>
  <r>
    <d v="2025-11-17T15:05:46"/>
    <s v="Феникс"/>
    <x v="2"/>
    <x v="15"/>
    <s v="Кимры"/>
    <s v="Тверская область, Кимрский м. о., д. Малое Василёво"/>
    <n v="9201884697"/>
    <s v="gusevserv@rambler.ru"/>
    <s v="Детский футбольный клуб"/>
    <s v="Нет"/>
    <n v="30"/>
    <x v="7"/>
    <x v="1"/>
    <x v="0"/>
    <x v="0"/>
    <n v="0"/>
    <n v="0"/>
    <n v="0"/>
    <n v="2"/>
    <n v="0"/>
    <n v="5"/>
    <n v="4"/>
    <n v="4"/>
    <n v="2"/>
    <n v="0"/>
    <n v="0"/>
    <n v="0"/>
    <s v="До 12 лет"/>
    <s v="Да"/>
    <s v="Да"/>
    <n v="3"/>
    <n v="1"/>
    <s v="нет"/>
    <m/>
    <m/>
    <m/>
    <m/>
    <s v="Нет"/>
    <s v="Нет"/>
    <m/>
  </r>
  <r>
    <d v="2025-12-01T12:41:17"/>
    <s v="Максатихинская спортивная школа"/>
    <x v="2"/>
    <x v="15"/>
    <s v="Максатиха"/>
    <s v="ул. Бр. Даниловых 28"/>
    <n v="89108435603"/>
    <s v="vjkjuf64@mail.ru"/>
    <s v="СШ"/>
    <s v="Нет"/>
    <n v="186"/>
    <x v="20"/>
    <x v="1"/>
    <x v="0"/>
    <x v="0"/>
    <n v="2"/>
    <n v="3"/>
    <n v="10"/>
    <n v="3"/>
    <n v="3"/>
    <n v="3"/>
    <n v="10"/>
    <n v="4"/>
    <n v="0"/>
    <n v="0"/>
    <n v="0"/>
    <n v="0"/>
    <s v="До 10 лет, До 12 лет, До 15 лет, До 17 лет"/>
    <s v="Да"/>
    <s v="Да"/>
    <n v="1"/>
    <n v="0"/>
    <s v="Навалов С.Н."/>
    <m/>
    <m/>
    <m/>
    <m/>
    <s v="Да"/>
    <s v="Нет"/>
    <s v="Очень мало соревнований в регионе среди девочек"/>
  </r>
  <r>
    <d v="2025-12-04T10:35:02"/>
    <s v="ДЮСШ &quot;Завидово&quot;"/>
    <x v="2"/>
    <x v="15"/>
    <s v="Новозавидовскаий"/>
    <s v="переулок Первомайский,д.1"/>
    <s v="+7(482)422-23-84"/>
    <s v="mou1novozavidovo@rambler.ru"/>
    <s v="ДЮСШ"/>
    <s v="Нет"/>
    <n v="91"/>
    <x v="35"/>
    <x v="1"/>
    <x v="0"/>
    <x v="0"/>
    <n v="0"/>
    <n v="2"/>
    <n v="4"/>
    <n v="6"/>
    <n v="5"/>
    <n v="5"/>
    <n v="5"/>
    <n v="0"/>
    <n v="0"/>
    <n v="0"/>
    <n v="0"/>
    <n v="0"/>
    <s v=""/>
    <s v="Да"/>
    <s v="Нет"/>
    <n v="1"/>
    <n v="0"/>
    <s v="Степанов С. В."/>
    <m/>
    <m/>
    <m/>
    <m/>
    <s v="Нет"/>
    <s v="Нет"/>
    <m/>
  </r>
  <r>
    <d v="2025-11-29T08:50:19"/>
    <s v="МКУ ДО ФИРОВСКАЯ СШ"/>
    <x v="2"/>
    <x v="15"/>
    <s v="Фирово"/>
    <s v="Тверская обл, Фировский район, п. Фирово, ул. Советская 25"/>
    <n v="84823931220"/>
    <s v=" okmsfirovo@mail.ru"/>
    <s v="СШ"/>
    <s v="Нет"/>
    <n v="90"/>
    <x v="49"/>
    <x v="1"/>
    <x v="0"/>
    <x v="0"/>
    <n v="0"/>
    <n v="1"/>
    <n v="1"/>
    <n v="3"/>
    <n v="4"/>
    <n v="5"/>
    <n v="5"/>
    <n v="6"/>
    <n v="2"/>
    <n v="2"/>
    <n v="2"/>
    <n v="0"/>
    <m/>
    <s v="Да"/>
    <s v="Нет"/>
    <n v="3"/>
    <n v="0"/>
    <s v="Нет"/>
    <m/>
    <m/>
    <m/>
    <m/>
    <s v="Нет"/>
    <s v="Нет"/>
    <s v="Малочисленность населения-небольшой выбор девочек."/>
  </r>
  <r>
    <m/>
    <s v="МОУ ДО ДЮСШ №2 Ростовского МР"/>
    <x v="2"/>
    <x v="16"/>
    <s v="Судино"/>
    <s v="Ростовский район, д. Судино, д.27"/>
    <s v="8(48536)2-24-48"/>
    <s v="ros2.rostov@yarregion.ru"/>
    <m/>
    <m/>
    <n v="72.8"/>
    <x v="45"/>
    <x v="1"/>
    <x v="0"/>
    <x v="0"/>
    <n v="1"/>
    <n v="6"/>
    <n v="3"/>
    <n v="4"/>
    <n v="0"/>
    <n v="1"/>
    <n v="0"/>
    <n v="0"/>
    <n v="2"/>
    <n v="0"/>
    <n v="11"/>
    <n v="0"/>
    <m/>
    <m/>
    <m/>
    <m/>
    <m/>
    <m/>
    <m/>
    <m/>
    <m/>
    <m/>
    <m/>
    <m/>
    <m/>
  </r>
  <r>
    <d v="2025-11-17T13:57:30"/>
    <s v="МАУ ДО СШ № 6"/>
    <x v="2"/>
    <x v="16"/>
    <s v="Рыбинск"/>
    <s v="г. Рыбинск, ул. Баженова, 11А"/>
    <s v="+7 (4855) 29-88-66"/>
    <s v="sdushor6futbol@mail.ru"/>
    <s v="СШ"/>
    <s v="ДФЦ"/>
    <n v="289"/>
    <x v="50"/>
    <x v="1"/>
    <x v="0"/>
    <x v="4"/>
    <n v="2"/>
    <n v="0"/>
    <n v="1"/>
    <n v="2"/>
    <n v="12"/>
    <n v="3"/>
    <n v="5"/>
    <n v="4"/>
    <n v="1"/>
    <n v="3"/>
    <n v="0"/>
    <n v="0"/>
    <s v="До 10 лет, До 12 лет, До 13 лет"/>
    <s v="Нет"/>
    <s v="Нет"/>
    <n v="2"/>
    <n v="0"/>
    <s v="Григорьев В.В., Ветров В.С."/>
    <m/>
    <m/>
    <m/>
    <m/>
    <s v="Да"/>
    <s v="Да"/>
    <m/>
  </r>
  <r>
    <d v="2025-11-19T08:59:01"/>
    <s v="Центр детского творчества"/>
    <x v="2"/>
    <x v="16"/>
    <s v="Борисоглебский"/>
    <s v="Ярославская область,пос.Борисоглебский ,ул.Октябрьская д.44ул.Октябрьская д."/>
    <n v="89605296581"/>
    <s v="mtk-avv@mail.ru"/>
    <s v="дополнительное образование"/>
    <s v="Нет"/>
    <n v="30"/>
    <x v="14"/>
    <x v="1"/>
    <x v="0"/>
    <x v="0"/>
    <n v="0"/>
    <n v="0"/>
    <n v="0"/>
    <n v="0"/>
    <n v="0"/>
    <n v="0"/>
    <n v="3"/>
    <n v="8"/>
    <n v="0"/>
    <n v="0"/>
    <n v="0"/>
    <n v="0"/>
    <s v="До 12 лет"/>
    <s v="Нет"/>
    <s v="Нет"/>
    <n v="1"/>
    <n v="0"/>
    <s v="нет"/>
    <m/>
    <m/>
    <m/>
    <m/>
    <s v="Нет"/>
    <s v="Нет"/>
    <m/>
  </r>
  <r>
    <d v="2025-11-18T08:24:28"/>
    <s v="Гаврилов-Ямская ДЮСШ"/>
    <x v="2"/>
    <x v="16"/>
    <s v="Гаврилов-Ям"/>
    <s v="152240, Ярославская область, г. Гаврилов-Ям, ул. Молодежная, д.7"/>
    <n v="4853424684"/>
    <s v="dush.gavyam@yarregion.ru"/>
    <s v="СШ"/>
    <s v="ДФЦ"/>
    <n v="164"/>
    <x v="35"/>
    <x v="1"/>
    <x v="0"/>
    <x v="0"/>
    <n v="0"/>
    <n v="0"/>
    <n v="0"/>
    <n v="0"/>
    <n v="6"/>
    <n v="4"/>
    <n v="4"/>
    <n v="6"/>
    <n v="4"/>
    <n v="2"/>
    <n v="1"/>
    <n v="0"/>
    <s v="До 10 лет"/>
    <s v="Нет"/>
    <s v="Нет"/>
    <n v="2"/>
    <n v="0"/>
    <s v="Шалавин А.Н. С-УЕФА, Марчуков Н.С. нет лицензии"/>
    <n v="1"/>
    <m/>
    <m/>
    <m/>
    <s v="Да"/>
    <s v="Да"/>
    <m/>
  </r>
  <r>
    <d v="2025-12-09T17:56:10"/>
    <s v="МУ ДО «СШ 13»"/>
    <x v="2"/>
    <x v="16"/>
    <s v="Ярославль"/>
    <s v="Г. Ярославль, Гагарина 21а"/>
    <n v="89051315644"/>
    <s v="Dushor13@yandex.ru"/>
    <s v="СШ"/>
    <s v="ДФЦ"/>
    <n v="702"/>
    <x v="36"/>
    <x v="1"/>
    <x v="0"/>
    <x v="0"/>
    <n v="0"/>
    <n v="2"/>
    <n v="3"/>
    <n v="11"/>
    <n v="15"/>
    <n v="6"/>
    <n v="8"/>
    <n v="4"/>
    <n v="5"/>
    <n v="0"/>
    <n v="0"/>
    <n v="0"/>
    <s v="До 10 лет, До 15 лет"/>
    <s v="Нет"/>
    <s v="Да"/>
    <n v="3"/>
    <n v="1"/>
    <s v="Фадеенко Н.В., Малахова Ю.А., Гаршенин В.А."/>
    <m/>
    <m/>
    <m/>
    <m/>
    <s v="Да"/>
    <s v="Нет"/>
    <m/>
  </r>
  <r>
    <d v="2025-12-09T18:11:20"/>
    <s v="ЖФК «Сиеста»"/>
    <x v="2"/>
    <x v="16"/>
    <s v="Ярославль "/>
    <s v="Г. Ярославль, ул. Наумова, д. 67/2"/>
    <n v="89611621333"/>
    <s v="Siestafit@gmail.com"/>
    <s v="Частное"/>
    <s v="Нет"/>
    <n v="20"/>
    <x v="23"/>
    <x v="16"/>
    <x v="3"/>
    <x v="2"/>
    <n v="2"/>
    <n v="0"/>
    <n v="0"/>
    <n v="0"/>
    <n v="0"/>
    <n v="0"/>
    <n v="0"/>
    <n v="0"/>
    <n v="0"/>
    <n v="0"/>
    <n v="0"/>
    <n v="0"/>
    <s v="Региональные соревнования среди женщин "/>
    <s v="Нет"/>
    <s v="Нет"/>
    <n v="1"/>
    <n v="0"/>
    <s v="Сухов Сергей"/>
    <m/>
    <m/>
    <m/>
    <m/>
    <s v="Нет"/>
    <s v="Нет"/>
    <m/>
  </r>
  <r>
    <d v="2025-11-17T10:37:44"/>
    <s v="ЧУ ДО СШ ФК Шинник "/>
    <x v="2"/>
    <x v="16"/>
    <s v="Ярославль "/>
    <s v="Г. Ярославль, улица Свердлова 29а."/>
    <n v="84852744399"/>
    <s v="cpufshinnik@yandex.ru"/>
    <s v="СШ"/>
    <s v="РЦ"/>
    <n v="859"/>
    <x v="51"/>
    <x v="1"/>
    <x v="3"/>
    <x v="3"/>
    <n v="5"/>
    <n v="5"/>
    <n v="5"/>
    <n v="7"/>
    <n v="7"/>
    <n v="8"/>
    <n v="9"/>
    <n v="12"/>
    <n v="15"/>
    <n v="6"/>
    <n v="6"/>
    <n v="5"/>
    <s v="До 10 лет, До 12 лет"/>
    <s v="Да"/>
    <s v="Да"/>
    <n v="3"/>
    <n v="1"/>
    <s v="Гаврилов Б.А. А-УЕФА _x000a_Соколов О.А. С-УЕФА _x000a_Гусева В.Ю._x000a_"/>
    <n v="1"/>
    <m/>
    <n v="1"/>
    <m/>
    <s v="Да"/>
    <s v="Нет"/>
    <s v="Дополнительное финансирование в целях привлечения девочек в женские команды и на проведение учебно-тренировочных сборов для подготовки к официальным соревнованиям, в том числе ЮФЛ."/>
  </r>
  <r>
    <d v="2025-11-28T19:37:45"/>
    <s v="Футбольная академия Адреналин"/>
    <x v="3"/>
    <x v="17"/>
    <s v="Долгопрудный"/>
    <s v="Лобненская 9 "/>
    <n v="9771153277"/>
    <s v="adfenalinefc@mail.ru"/>
    <s v="Частная футбольная школа "/>
    <s v="Нет"/>
    <n v="120"/>
    <x v="36"/>
    <x v="17"/>
    <x v="3"/>
    <x v="0"/>
    <n v="0"/>
    <n v="0"/>
    <n v="1"/>
    <n v="0"/>
    <n v="4"/>
    <n v="1"/>
    <n v="0"/>
    <n v="0"/>
    <n v="1"/>
    <n v="0"/>
    <n v="1"/>
    <n v="0"/>
    <s v="Для взрослых команд"/>
    <s v="Да"/>
    <s v="Да"/>
    <n v="3"/>
    <n v="3"/>
    <s v="-"/>
    <m/>
    <m/>
    <m/>
    <m/>
    <s v="Нет"/>
    <s v="Нет"/>
    <s v="-"/>
  </r>
  <r>
    <d v="2025-11-20T17:32:00"/>
    <s v="ГБУ ДО МКСШ &quot;Зеленоград&quot;"/>
    <x v="3"/>
    <x v="17"/>
    <s v="Зеленоград"/>
    <s v="г. Москва, г. Зеленоград, аллея Озерная д. 6;"/>
    <s v="+7 (499) 734-23-02 "/>
    <s v="zelenograd@mossport.ru"/>
    <s v="СШ"/>
    <s v="Нет"/>
    <n v="656"/>
    <x v="52"/>
    <x v="1"/>
    <x v="0"/>
    <x v="0"/>
    <n v="0"/>
    <n v="0"/>
    <n v="0"/>
    <n v="2"/>
    <n v="10"/>
    <n v="14"/>
    <n v="9"/>
    <n v="7"/>
    <n v="11"/>
    <n v="6"/>
    <n v="4"/>
    <n v="0"/>
    <s v="До 17 лет, До 19 лет"/>
    <s v="Нет"/>
    <s v="Нет"/>
    <n v="1"/>
    <n v="0"/>
    <s v="нет"/>
    <m/>
    <m/>
    <m/>
    <m/>
    <s v="Да"/>
    <s v="Да"/>
    <m/>
  </r>
  <r>
    <d v="2025-11-24T17:03:12"/>
    <s v="Частное учреждение дополнительного образования «Спортивная школа «Академия «Спартак» по футболу имени Ф.Ф. Черенкова»"/>
    <x v="3"/>
    <x v="17"/>
    <s v="Москва"/>
    <s v="107014, г. Москва, Малый Олений переулок, д. 23, стр. 1А"/>
    <s v="8-499-268-1320"/>
    <s v="school@spartak.com"/>
    <s v="Частное учреждение дополнительного образования «Спортивная школа «Академия «Спартак» по футболу имени Ф.Ф. Черенкова»"/>
    <s v="Футбольная академия высшей категории"/>
    <n v="75"/>
    <x v="53"/>
    <x v="1"/>
    <x v="0"/>
    <x v="0"/>
    <n v="7"/>
    <n v="5"/>
    <n v="12"/>
    <n v="16"/>
    <n v="9"/>
    <n v="12"/>
    <n v="11"/>
    <n v="8"/>
    <n v="2"/>
    <n v="0"/>
    <n v="0"/>
    <n v="0"/>
    <s v="До 19 лет, Соревновательной практики достаточно"/>
    <s v="Нет"/>
    <s v="Нет"/>
    <n v="10"/>
    <n v="4"/>
    <s v="Баркова В.В. А-УЕФА+; Галактионова И.И. Б-УЕФА+; Комарова Л.С. Б-УЕФА; Хочолава А.И. С-УЕФА, С-УЕФА по физподготовке"/>
    <n v="2"/>
    <n v="2"/>
    <n v="1"/>
    <m/>
    <s v="Да"/>
    <s v="Да"/>
    <s v="Просьба учитывать интересы детей при составлении календарей ЮФЛ  и планировать &quot;окна&quot; в которые возможно детям провести 10-14 дневные летние каникулы."/>
  </r>
  <r>
    <d v="2025-11-28T17:45:20"/>
    <s v="Активация"/>
    <x v="3"/>
    <x v="17"/>
    <s v="Москва"/>
    <s v="115142, Москва, Коломенская набережная 6-230"/>
    <n v="79037113276"/>
    <s v="Activation-fund@yandex.ru"/>
    <s v="женская секция футбола &quot;Фоксбол&quot;"/>
    <s v="Нет"/>
    <n v="22"/>
    <x v="54"/>
    <x v="18"/>
    <x v="0"/>
    <x v="2"/>
    <n v="1"/>
    <n v="0"/>
    <n v="0"/>
    <n v="0"/>
    <n v="0"/>
    <n v="0"/>
    <n v="0"/>
    <n v="0"/>
    <n v="0"/>
    <n v="0"/>
    <n v="0"/>
    <n v="0"/>
    <s v="В нашем возрастном диапазоне соревновательной практики достаточно, однако все турниры, где мы принимаем участие, коммерческие. Хотелось бы больше организуемых РФС и МФФ бесплатных турниров."/>
    <s v="Да"/>
    <s v="Да"/>
    <n v="1"/>
    <n v="0"/>
    <s v="Кисловский Павел Александрович (С-УЕФА)"/>
    <n v="1"/>
    <m/>
    <m/>
    <m/>
    <s v="Нет"/>
    <s v="Нет"/>
    <s v="Благодарим за интерес и внимание к нашему проекту!_x000a_Надеемся, что отправленные нами ответы помогут в дальнейшей работе по планированию проектов развивающих женский футбол!_x000a__x000a_Очень ждём больше бесплатных турниров и возможности получать льготы при аренде спортивных объектов._x000a__x000a_Наша секция футбола является проектом частного негосударственного благотворительного фонда &quot;Активация&quot; (существуем за счёт пожертвований  частных юридических лиц и физических лиц), поэтому при  взаимодействии с государственными спортивными организациями нам сообщают, что нет никаких льгот, так как не являемся Казённым учреждением._x000a__x000a_С уважением,_x000a_Руководитель фонда &quot;Активация&quot;_x000a_Александр Барыгин"/>
  </r>
  <r>
    <d v="2025-11-21T10:24:51"/>
    <s v="ГБУ ДО &quot;Московская футбольная академия&quot;&quot;"/>
    <x v="3"/>
    <x v="17"/>
    <s v="Москва"/>
    <s v="121500, г. Москва, ул. Василия Ботылева, 41"/>
    <s v="8 (499) 264-66-45"/>
    <s v="mfa@mossport.ru"/>
    <s v="ГБУ ДО"/>
    <s v="РЦ"/>
    <n v="4844"/>
    <x v="55"/>
    <x v="17"/>
    <x v="6"/>
    <x v="6"/>
    <n v="31"/>
    <n v="34"/>
    <n v="40"/>
    <n v="37"/>
    <n v="30"/>
    <n v="39"/>
    <n v="32"/>
    <n v="25"/>
    <n v="27"/>
    <n v="14"/>
    <n v="0"/>
    <n v="0"/>
    <s v="Соревновательной практики достаточно"/>
    <s v="Нет"/>
    <s v="Да"/>
    <n v="10"/>
    <n v="4"/>
    <s v="Бабарыкин Александр Алексеевич C-РФС_x000a_Байкина Светлана Сергеевна В- UEFA тренер вратарей_x000a_Змиевская Екатерина СтаниславовнаC - UEFA_x000a_Махмудов Шерзод Бахтиёрович В- UEFA_x000a_Медянский Андрей Леонидович B - UEFA_x000a_Полшведкина Кристина Эдуардовна C - UEFA_x000a_Кольцов Михаил Сергеевич C - UEFA_x000a_Халилова Люция Рустамовна В- UEFA_x000a_Хубулов Автандил Валерьевич C - UEFA_x000a_Щепочкин Данила Ильич C - UEFA_x000a_"/>
    <n v="5"/>
    <n v="5"/>
    <m/>
    <m/>
    <s v="Да"/>
    <s v="Да"/>
    <m/>
  </r>
  <r>
    <d v="2025-11-25T17:35:50"/>
    <s v="ООО «ЖЕНСКИЙ ФУТБОЛЬНЫЙ КЛУБ «ДИНАМО-МОСКВА»"/>
    <x v="3"/>
    <x v="17"/>
    <s v="Москва"/>
    <s v="125047, город Москва, вн.тер.г. Муниципальный округ Тверской, пер. 4-й Лесной, д.4"/>
    <s v="+7 495 642 71 72"/>
    <s v="office@fcdm.ru"/>
    <s v="Футбольный клуб ООО &quot;ЖФК &quot;Динамо-Москва&quot;"/>
    <s v="Нет"/>
    <n v="130"/>
    <x v="56"/>
    <x v="12"/>
    <x v="7"/>
    <x v="5"/>
    <n v="11"/>
    <n v="13"/>
    <n v="13"/>
    <n v="11"/>
    <n v="13"/>
    <n v="7"/>
    <n v="14"/>
    <n v="8"/>
    <n v="12"/>
    <n v="7"/>
    <n v="3"/>
    <n v="1"/>
    <s v="До 10 лет, До 12 лет"/>
    <s v="Нет"/>
    <s v="Нет"/>
    <n v="10"/>
    <n v="4"/>
    <s v="Панасюк А.М. В-УЕФА тренер вратарей_x000a_Шадрин В.С. А-УЕФА Goolkeepr_x000a_Гусев О.В. А-УЕФА элитный юношеский футбол_x000a_Заякин А.В. А-УЕФА_x000a_Александров М.В. А-УЕФА_x000a_Новиков И.В. В-УЕФА_x000a_Смирнова К.В. В-УЕФА_x000a_Хойнацкая А.С. В-УЕФА_x000a_Козик М.С. С-УЕФА"/>
    <n v="1"/>
    <n v="4"/>
    <n v="4"/>
    <m/>
    <s v="Нет"/>
    <s v="Нет"/>
    <m/>
  </r>
  <r>
    <d v="2025-11-20T12:17:07"/>
    <s v="Автономная некоммерческая организация «Спортивный клуб «Надежда»"/>
    <x v="3"/>
    <x v="17"/>
    <s v="Москва"/>
    <s v="Авиаторов 12-178"/>
    <n v="89160537333"/>
    <s v="16volcano@mail.ru"/>
    <s v="НКО"/>
    <s v="Нет"/>
    <n v="136"/>
    <x v="57"/>
    <x v="11"/>
    <x v="3"/>
    <x v="7"/>
    <n v="9"/>
    <n v="8"/>
    <n v="12"/>
    <n v="4"/>
    <n v="7"/>
    <n v="16"/>
    <n v="18"/>
    <n v="8"/>
    <n v="7"/>
    <n v="10"/>
    <n v="11"/>
    <n v="1"/>
    <s v="До 10 лет"/>
    <s v="Да"/>
    <s v="Да"/>
    <n v="5"/>
    <n v="2"/>
    <s v="Денисов Евгений Григорьевич С-УЕФА "/>
    <n v="1"/>
    <m/>
    <m/>
    <m/>
    <s v="Да"/>
    <s v="Да"/>
    <s v="Увеличить в регионе количество соревнований для 2017 г.р. И младше. Увеличить количество групп обучения на лицензию С-УЕФА"/>
  </r>
  <r>
    <d v="2025-12-09T14:39:58"/>
    <s v="СШ &quot;Юность Москвы&quot; по женскому футболу"/>
    <x v="3"/>
    <x v="17"/>
    <s v="Москва"/>
    <s v="Коминтерна, 15"/>
    <n v="79067777817"/>
    <s v="spafor@yandex.ru"/>
    <s v="СШ"/>
    <s v="Футбольная академия"/>
    <n v="321"/>
    <x v="58"/>
    <x v="1"/>
    <x v="0"/>
    <x v="0"/>
    <n v="6"/>
    <n v="13"/>
    <n v="16"/>
    <n v="39"/>
    <n v="40"/>
    <n v="42"/>
    <n v="38"/>
    <n v="76"/>
    <n v="38"/>
    <n v="13"/>
    <n v="0"/>
    <n v="0"/>
    <s v="До 10 лет, До 12 лет, До 13 лет, До 15 лет"/>
    <s v="Нет"/>
    <s v="Нет"/>
    <n v="0"/>
    <n v="0"/>
    <s v="-"/>
    <m/>
    <m/>
    <m/>
    <m/>
    <s v="Нет"/>
    <s v="Нет"/>
    <m/>
  </r>
  <r>
    <d v="2025-12-01T17:17:53"/>
    <s v="Футбольный клуб &quot;Алектан&quot;"/>
    <x v="3"/>
    <x v="17"/>
    <s v="Москва"/>
    <s v="Москва, ул. Коминтерна, 15"/>
    <n v="79166911942"/>
    <s v="krasjuk@mail.ru"/>
    <s v="ИП"/>
    <s v="Нет"/>
    <n v="24"/>
    <x v="59"/>
    <x v="18"/>
    <x v="5"/>
    <x v="0"/>
    <n v="1"/>
    <n v="1"/>
    <n v="1"/>
    <n v="0"/>
    <n v="0"/>
    <n v="0"/>
    <n v="0"/>
    <n v="0"/>
    <n v="0"/>
    <n v="0"/>
    <n v="0"/>
    <n v="0"/>
    <s v="До 19 лет"/>
    <s v="Нет"/>
    <s v="Нет"/>
    <n v="1"/>
    <n v="1"/>
    <s v="нет"/>
    <m/>
    <m/>
    <m/>
    <m/>
    <s v="Нет"/>
    <s v="Нет"/>
    <m/>
  </r>
  <r>
    <d v="2025-12-09T15:03:09"/>
    <s v="Футбольная Академия &quot;Авангард&quot; Москва"/>
    <x v="3"/>
    <x v="17"/>
    <s v="Москва"/>
    <s v="Москва, ул. Южнобутовская, дом 101"/>
    <s v="7 (495) 215 20 27"/>
    <s v="info@avangard-football.ru"/>
    <s v="ФА"/>
    <s v="Футбольная академия"/>
    <n v="49"/>
    <x v="40"/>
    <x v="3"/>
    <x v="2"/>
    <x v="5"/>
    <n v="0"/>
    <n v="6"/>
    <n v="9"/>
    <n v="6"/>
    <n v="8"/>
    <n v="3"/>
    <n v="0"/>
    <n v="0"/>
    <n v="0"/>
    <n v="0"/>
    <n v="0"/>
    <n v="0"/>
    <s v="До 10 лет, До 12 лет, До 13 лет, До 15 лет"/>
    <s v="Нет"/>
    <s v="Нет"/>
    <n v="0"/>
    <n v="0"/>
    <s v="-"/>
    <m/>
    <m/>
    <m/>
    <m/>
    <s v="Нет"/>
    <s v="Нет"/>
    <m/>
  </r>
  <r>
    <d v="2025-12-09T14:59:08"/>
    <s v="Чемпионика"/>
    <x v="3"/>
    <x v="17"/>
    <s v="Москва"/>
    <s v="Тайнинская, 20"/>
    <s v="+7 (996) 865-98-06"/>
    <s v="Valeria.kaichenkova@championika.ru"/>
    <s v="СШ"/>
    <s v="Нет"/>
    <n v="77"/>
    <x v="60"/>
    <x v="0"/>
    <x v="0"/>
    <x v="0"/>
    <n v="3"/>
    <n v="5"/>
    <n v="9"/>
    <n v="16"/>
    <n v="10"/>
    <n v="6"/>
    <n v="7"/>
    <n v="16"/>
    <n v="4"/>
    <n v="0"/>
    <n v="0"/>
    <n v="0"/>
    <s v="До 10 лет, До 12 лет, До 13 лет, До 15 лет"/>
    <s v="Нет"/>
    <s v="Нет"/>
    <n v="0"/>
    <n v="0"/>
    <s v="-"/>
    <m/>
    <m/>
    <m/>
    <m/>
    <s v="Нет"/>
    <s v="Нет"/>
    <m/>
  </r>
  <r>
    <d v="2025-11-27T20:51:37"/>
    <s v="ГБОУ ДО ЦРТДЮ «Гермес»"/>
    <x v="3"/>
    <x v="17"/>
    <s v="Москва"/>
    <s v="Тимирязевская улица 28"/>
    <n v="89161939816"/>
    <s v="legiongfk.2007@mail.ru"/>
    <s v="ШСК"/>
    <s v="Нет"/>
    <n v="90"/>
    <x v="23"/>
    <x v="1"/>
    <x v="0"/>
    <x v="0"/>
    <n v="0"/>
    <n v="0"/>
    <n v="0"/>
    <n v="0"/>
    <n v="0"/>
    <n v="0"/>
    <n v="4"/>
    <n v="8"/>
    <n v="5"/>
    <n v="3"/>
    <n v="0"/>
    <n v="0"/>
    <s v="До 10 лет, До 12 лет, До 13 лет"/>
    <s v="Да"/>
    <s v="Нет"/>
    <n v="1"/>
    <n v="1"/>
    <s v="Еленина И.А."/>
    <m/>
    <m/>
    <m/>
    <m/>
    <s v="Нет"/>
    <s v="Нет"/>
    <m/>
  </r>
  <r>
    <d v="2025-12-09T14:53:48"/>
    <s v="АО ФК Торпедо Москва"/>
    <x v="3"/>
    <x v="17"/>
    <s v="Москва"/>
    <s v="ул. Восточная, д. 4А"/>
    <s v="+7 495 620 45 04"/>
    <s v="afademy@torpedo.ru"/>
    <s v="АО ФК"/>
    <s v="Футбольная академия"/>
    <n v="77"/>
    <x v="60"/>
    <x v="1"/>
    <x v="0"/>
    <x v="8"/>
    <n v="10"/>
    <n v="10"/>
    <n v="12"/>
    <n v="12"/>
    <n v="5"/>
    <n v="1"/>
    <n v="17"/>
    <n v="0"/>
    <n v="0"/>
    <n v="0"/>
    <n v="0"/>
    <n v="0"/>
    <s v="До 10 лет, До 12 лет, До 13 лет, До 15 лет, До 17 лет"/>
    <s v="Нет"/>
    <s v="Нет"/>
    <n v="0"/>
    <n v="0"/>
    <s v="-"/>
    <m/>
    <m/>
    <m/>
    <m/>
    <s v="Да"/>
    <s v="Да"/>
    <m/>
  </r>
  <r>
    <d v="2025-11-24T16:03:36"/>
    <s v="ГБНОУ &quot;Спортивный интернат &quot;Чертаново&quot; Москомспорта"/>
    <x v="3"/>
    <x v="17"/>
    <s v="Москва"/>
    <s v="ул. Чертановская д. 7 корп.3"/>
    <n v="84953116212"/>
    <s v="chertanovo@mossport.ru"/>
    <s v="Государственное бюджетное нетиповое общеобразовательное учреждение"/>
    <s v="РЦ"/>
    <n v="2489"/>
    <x v="61"/>
    <x v="16"/>
    <x v="3"/>
    <x v="8"/>
    <n v="15"/>
    <n v="11"/>
    <n v="14"/>
    <n v="20"/>
    <n v="24"/>
    <n v="25"/>
    <n v="22"/>
    <n v="32"/>
    <n v="33"/>
    <n v="21"/>
    <n v="21"/>
    <n v="0"/>
    <s v="До 10 лет, До 12 лет"/>
    <s v="Нет"/>
    <s v="Нет"/>
    <n v="15"/>
    <n v="7"/>
    <s v="Багаутдинов Т.Г. С-УЕФА_x000a_Бикейкина Т.Н. В-УЕФА_x000a_Борзенков А.В. А-УЕФА_x000a_Дронова А.Д. В-УЕФА_x000a_Захаров А.А. _x000a_Ибрагимов З.А С-УЕФА_x000a_Кучер Т.Е. В-УЕФА_x000a_Макаров Я.Н. А-УЕФА_x000a_Макаршин А.М. С-УЕФА_x000a_Одинцева Л.С. С-УЕФА_x000a_Тарасюк А.С. А-УЕФА_x000a_Титкова Н.В. С-УЕФА_x000a_Федотова Ю.Р. С-УЕФА_x000a_Попова Е.В. С-УЕФА_x000a_Цуцков А.В. С-Бескова"/>
    <n v="8"/>
    <n v="3"/>
    <n v="3"/>
    <m/>
    <s v="Нет"/>
    <s v="Нет"/>
    <m/>
  </r>
  <r>
    <d v="2025-12-08T18:42:33"/>
    <s v="АНО &quot;Центр содействия развитию и популяризации футбола&quot;"/>
    <x v="3"/>
    <x v="17"/>
    <s v="Москва"/>
    <s v="ул.Лужники, д.24, стр.8"/>
    <n v="84999912014"/>
    <s v="media@girl-power.club"/>
    <s v="Любительская"/>
    <s v="Нет"/>
    <n v="60"/>
    <x v="62"/>
    <x v="19"/>
    <x v="0"/>
    <x v="0"/>
    <n v="0"/>
    <n v="0"/>
    <n v="0"/>
    <n v="0"/>
    <n v="0"/>
    <n v="0"/>
    <n v="0"/>
    <n v="0"/>
    <n v="0"/>
    <n v="0"/>
    <n v="0"/>
    <n v="0"/>
    <s v="от 20 и старше"/>
    <s v="Нет"/>
    <s v="Нет"/>
    <n v="6"/>
    <n v="3"/>
    <s v="-"/>
    <m/>
    <m/>
    <m/>
    <m/>
    <s v="Нет"/>
    <s v="Нет"/>
    <m/>
  </r>
  <r>
    <d v="2025-12-09T14:49:43"/>
    <s v="ЖФК ЦСКА"/>
    <x v="3"/>
    <x v="17"/>
    <s v="Москва"/>
    <s v="Улица живописная дом 21"/>
    <n v="89055902753"/>
    <s v="89055902753@mail.ru"/>
    <s v="ЖФК"/>
    <s v="Футбольная академия высшей категории"/>
    <n v="156"/>
    <x v="63"/>
    <x v="15"/>
    <x v="8"/>
    <x v="7"/>
    <n v="10"/>
    <n v="5"/>
    <n v="6"/>
    <n v="15"/>
    <n v="11"/>
    <n v="25"/>
    <n v="24"/>
    <n v="20"/>
    <n v="9"/>
    <n v="6"/>
    <n v="5"/>
    <n v="4"/>
    <s v="До 10 лет, До 12 лет, До 13 лет, До 15 лет"/>
    <s v="Нет"/>
    <s v="Нет"/>
    <n v="0"/>
    <n v="0"/>
    <s v="-"/>
    <m/>
    <m/>
    <m/>
    <m/>
    <s v="Да"/>
    <s v="Да"/>
    <m/>
  </r>
  <r>
    <d v="2025-11-26T17:33:55"/>
    <s v="ЧУДО «СШ «Академия ФК «ЛОКОМОТИВ «"/>
    <x v="3"/>
    <x v="17"/>
    <s v="Москва "/>
    <s v="Большая Черкизовская 125 стр. 4"/>
    <n v="84991610312"/>
    <s v="academy@fclm.ru"/>
    <s v="СШ"/>
    <s v="Футбольная академия"/>
    <n v="658"/>
    <x v="64"/>
    <x v="0"/>
    <x v="4"/>
    <x v="7"/>
    <n v="12"/>
    <n v="13"/>
    <n v="13"/>
    <n v="12"/>
    <n v="8"/>
    <n v="12"/>
    <n v="16"/>
    <n v="6"/>
    <n v="8"/>
    <n v="9"/>
    <n v="3"/>
    <n v="4"/>
    <s v="Соревновательной практики достаточно"/>
    <s v="Нет"/>
    <s v="Да"/>
    <n v="10"/>
    <n v="1"/>
    <s v="Езопов Р. В. А-УЕФА, Осинцев В. А В-УЕФА, Скиба А. И. В-УЕФА, Морозова Е. И. С-УЕФА, Ахмадалиев А. Т. В-УЕФА, Козырев А. В. С-УЕФА, Головченко Е. А. С-УЕФА, Богданец В. В. PRO-УЕФА, Евтеев А. Б. В-УЕФА, Володин Е. А. С-УЕФА"/>
    <n v="4"/>
    <n v="4"/>
    <n v="2"/>
    <n v="1"/>
    <s v="Да"/>
    <s v="Нет"/>
    <s v="Необходимо увеличить количество игр в соревнованиях ЮФЛ и Молодежного первенства. Проведение видео-конференций с представителями СШ/Клубов для обсуждения существующих проблем. "/>
  </r>
  <r>
    <d v="2025-12-09T15:05:31"/>
    <s v="ГБОУ Школа № 2070"/>
    <x v="3"/>
    <x v="17"/>
    <s v="ТиНАО"/>
    <s v="ул. Липовый парк 5а"/>
    <n v="89262723122"/>
    <s v="belkin@sch2070.ru"/>
    <s v="СШ"/>
    <s v="Нет"/>
    <n v="37"/>
    <x v="29"/>
    <x v="1"/>
    <x v="0"/>
    <x v="0"/>
    <n v="0"/>
    <n v="4"/>
    <n v="5"/>
    <n v="19"/>
    <n v="10"/>
    <n v="0"/>
    <n v="2"/>
    <n v="0"/>
    <n v="0"/>
    <n v="0"/>
    <n v="0"/>
    <n v="0"/>
    <s v="До 10 лет, До 12 лет, До 13 лет, До 15 лет"/>
    <s v="Нет"/>
    <s v="Нет"/>
    <n v="0"/>
    <n v="0"/>
    <s v="-"/>
    <m/>
    <m/>
    <m/>
    <m/>
    <s v="Нет"/>
    <s v="Нет"/>
    <m/>
  </r>
  <r>
    <d v="2025-12-09T14:00:00"/>
    <s v="МБУ ДО &quot;СШОР &quot;Олимп&quot;"/>
    <x v="3"/>
    <x v="18"/>
    <s v="Домодедово"/>
    <s v="ул. Зеленая, стр. 72 а, микрорайон Западный, г. Домодедово, Московская область, 142003, "/>
    <s v="8(496)79 4-30-11"/>
    <s v="dmdd_mbu_olimp@mosreg.ru"/>
    <s v="СШОР"/>
    <s v="Нет"/>
    <n v="4"/>
    <x v="65"/>
    <x v="5"/>
    <x v="0"/>
    <x v="0"/>
    <n v="1"/>
    <n v="0"/>
    <n v="0"/>
    <n v="0"/>
    <n v="1"/>
    <n v="0"/>
    <n v="0"/>
    <n v="0"/>
    <n v="0"/>
    <n v="0"/>
    <n v="0"/>
    <n v="0"/>
    <s v="До 10 лет, До 12 лет, До 13 лет, До 15 лет"/>
    <s v="Нет"/>
    <s v="Нет"/>
    <n v="0"/>
    <n v="0"/>
    <s v="-"/>
    <m/>
    <m/>
    <m/>
    <m/>
    <s v="Нет"/>
    <s v="Нет"/>
    <m/>
  </r>
  <r>
    <d v="2025-12-09T14:31:08"/>
    <s v="МБУ СШ Лидер"/>
    <x v="3"/>
    <x v="18"/>
    <s v="Одинцово"/>
    <s v="Одинцовский район, д. Хлюпино, ул. Заводская стр. 30"/>
    <s v="8 (498) 697 81 41"/>
    <s v="arion.sport@mail.ru"/>
    <s v="СШ"/>
    <s v="Нет"/>
    <n v="27"/>
    <x v="45"/>
    <x v="6"/>
    <x v="3"/>
    <x v="3"/>
    <n v="0"/>
    <n v="4"/>
    <n v="5"/>
    <n v="3"/>
    <n v="3"/>
    <n v="0"/>
    <n v="0"/>
    <n v="0"/>
    <n v="0"/>
    <n v="0"/>
    <n v="0"/>
    <n v="0"/>
    <s v="До 10 лет, До 12 лет, До 13 лет, До 15 лет"/>
    <s v="Нет"/>
    <s v="Нет"/>
    <n v="0"/>
    <n v="0"/>
    <s v="--"/>
    <m/>
    <m/>
    <m/>
    <m/>
    <s v="Нет"/>
    <s v="Нет"/>
    <m/>
  </r>
  <r>
    <d v="2025-12-09T13:10:54"/>
    <s v="МБУ ДО СШОР МЕТЕОР "/>
    <x v="3"/>
    <x v="18"/>
    <s v="Балашиха"/>
    <s v="г. Балашиха, ул. Победы, вл. 1"/>
    <s v="8-495-523-43-35"/>
    <s v="Meteor-football@yandex.ru"/>
    <s v="СШОР"/>
    <s v="Нет"/>
    <n v="34"/>
    <x v="27"/>
    <x v="11"/>
    <x v="0"/>
    <x v="0"/>
    <n v="0"/>
    <n v="0"/>
    <n v="0"/>
    <n v="0"/>
    <n v="0"/>
    <n v="4"/>
    <n v="7"/>
    <n v="5"/>
    <n v="0"/>
    <n v="0"/>
    <n v="0"/>
    <n v="0"/>
    <s v="До 10 лет, До 12 лет, До 13 лет, До 15 лет"/>
    <s v="Да"/>
    <s v="Да"/>
    <n v="0"/>
    <n v="0"/>
    <s v="-"/>
    <m/>
    <m/>
    <m/>
    <m/>
    <s v="Нет"/>
    <s v="Нет"/>
    <m/>
  </r>
  <r>
    <d v="2025-12-01T12:08:15"/>
    <s v="ЖФК Империал"/>
    <x v="3"/>
    <x v="18"/>
    <s v="Балашиха"/>
    <s v="Постоянного места тренировок нет"/>
    <s v="Телефона организации нет "/>
    <s v="Inknown_18_0@mail.ru"/>
    <s v="Любительская команда "/>
    <s v="Нет"/>
    <n v="13"/>
    <x v="21"/>
    <x v="7"/>
    <x v="0"/>
    <x v="2"/>
    <n v="0"/>
    <n v="0"/>
    <n v="0"/>
    <n v="0"/>
    <n v="0"/>
    <n v="0"/>
    <n v="0"/>
    <n v="0"/>
    <n v="0"/>
    <n v="0"/>
    <n v="0"/>
    <n v="0"/>
    <s v="До 19 лет"/>
    <s v="Нет"/>
    <s v="Нет"/>
    <n v="1"/>
    <n v="0"/>
    <s v="Лесив Никита Андреевич"/>
    <m/>
    <m/>
    <m/>
    <m/>
    <s v="Нет"/>
    <s v="Нет"/>
    <m/>
  </r>
  <r>
    <d v="2025-12-09T14:02:51"/>
    <s v="МАУ ДО СШОР им.А.Сыроежкина"/>
    <x v="3"/>
    <x v="18"/>
    <s v="Бронницы"/>
    <s v="Московская область, г.о.Бронницы, г.Бронницы, пер.Комсомольский, 60"/>
    <n v="84964667638"/>
    <s v="sduchor_1@mail.ru"/>
    <s v="СШОР"/>
    <s v="Нет"/>
    <n v="2"/>
    <x v="8"/>
    <x v="1"/>
    <x v="0"/>
    <x v="0"/>
    <n v="0"/>
    <n v="0"/>
    <n v="2"/>
    <n v="0"/>
    <n v="0"/>
    <n v="0"/>
    <n v="0"/>
    <n v="0"/>
    <n v="0"/>
    <n v="0"/>
    <n v="0"/>
    <n v="0"/>
    <s v="До 10 лет, До 12 лет, До 13 лет, До 15 лет"/>
    <s v="Нет"/>
    <s v="Нет"/>
    <n v="0"/>
    <n v="0"/>
    <s v="-"/>
    <m/>
    <m/>
    <m/>
    <m/>
    <s v="Нет"/>
    <s v="Нет"/>
    <m/>
  </r>
  <r>
    <d v="2025-11-20T13:04:24"/>
    <s v="МУ ДО &quot;СШ &quot;Легион&quot;"/>
    <x v="3"/>
    <x v="18"/>
    <s v="Давыдово"/>
    <s v="142641, Московская область, Орехово-Зуевский городской округ, д. Давыдово, ул. 2-ой микрорайон, д. 9, корпус А, помещение 124"/>
    <s v="8-496-173-900"/>
    <s v="sh.legion@yandex.ru"/>
    <s v="СШ"/>
    <s v="Нет"/>
    <n v="288"/>
    <x v="66"/>
    <x v="1"/>
    <x v="0"/>
    <x v="0"/>
    <n v="0"/>
    <n v="0"/>
    <n v="0"/>
    <n v="0"/>
    <n v="0"/>
    <n v="2"/>
    <n v="1"/>
    <n v="1"/>
    <n v="2"/>
    <n v="0"/>
    <n v="1"/>
    <n v="0"/>
    <n v="0"/>
    <s v="Да"/>
    <s v="Нет"/>
    <n v="4"/>
    <n v="0"/>
    <n v="0"/>
    <m/>
    <m/>
    <m/>
    <m/>
    <s v="Да"/>
    <s v="Нет"/>
    <n v="0"/>
  </r>
  <r>
    <d v="2025-12-09T13:38:34"/>
    <s v="МБУДО СШ &quot;Орбита&quot;"/>
    <x v="3"/>
    <x v="18"/>
    <s v="Дзержинский"/>
    <s v="Дзержинский, Спортивная 3б"/>
    <s v="8 (495) 551-15-18, +7 (495) 550-65-21"/>
    <s v="ssorbita@yandex.ru"/>
    <s v="СШ"/>
    <s v="Нет"/>
    <n v="33"/>
    <x v="28"/>
    <x v="12"/>
    <x v="3"/>
    <x v="3"/>
    <n v="6"/>
    <n v="5"/>
    <n v="3"/>
    <n v="4"/>
    <n v="2"/>
    <n v="2"/>
    <n v="2"/>
    <n v="0"/>
    <n v="0"/>
    <n v="0"/>
    <n v="0"/>
    <n v="0"/>
    <s v="До 10 лет, До 12 лет, До 13 лет, До 15 лет"/>
    <s v="Да"/>
    <s v="Да"/>
    <n v="0"/>
    <n v="0"/>
    <s v="-"/>
    <m/>
    <m/>
    <m/>
    <m/>
    <s v="Нет"/>
    <s v="Нет"/>
    <m/>
  </r>
  <r>
    <d v="2025-12-09T14:25:17"/>
    <s v="Муниципальное бюджетное учреждение дополнительного образования спортивная школа городского округа Долгопрудный"/>
    <x v="3"/>
    <x v="18"/>
    <s v="Долгопрудный"/>
    <s v="141701, Московская область, г. Долгопрудный, ул. Институтский переулок, д. 1"/>
    <s v="8-495-408-77-37"/>
    <s v="dolg_dop01@mosreg.ru"/>
    <s v="СШ"/>
    <s v="Нет"/>
    <n v="20"/>
    <x v="23"/>
    <x v="5"/>
    <x v="3"/>
    <x v="0"/>
    <n v="3"/>
    <n v="1"/>
    <n v="5"/>
    <n v="4"/>
    <n v="1"/>
    <n v="1"/>
    <n v="1"/>
    <n v="0"/>
    <n v="0"/>
    <n v="0"/>
    <n v="0"/>
    <n v="0"/>
    <s v="До 10 лет, До 12 лет, До 13 лет, До 15 лет"/>
    <s v="Нет"/>
    <s v="Нет"/>
    <n v="0"/>
    <n v="0"/>
    <s v="-"/>
    <m/>
    <m/>
    <m/>
    <m/>
    <s v="Нет"/>
    <s v="Нет"/>
    <m/>
  </r>
  <r>
    <d v="2025-11-20T12:02:50"/>
    <s v="ГБПОУ МО Спортивное училище № 5"/>
    <x v="3"/>
    <x v="18"/>
    <s v="егорьевск"/>
    <s v="ул. южная д. 2"/>
    <s v="+7 (49640) 4-79-14"/>
    <s v="uor5.master-saturn@mail.ru"/>
    <s v="УОР"/>
    <s v="РЦ"/>
    <n v="260"/>
    <x v="67"/>
    <x v="15"/>
    <x v="9"/>
    <x v="9"/>
    <n v="10"/>
    <n v="12"/>
    <n v="12"/>
    <n v="11"/>
    <n v="10"/>
    <n v="11"/>
    <n v="5"/>
    <n v="0"/>
    <n v="0"/>
    <n v="0"/>
    <n v="0"/>
    <n v="0"/>
    <s v="Соревновательной практики достаточно"/>
    <s v="Нет"/>
    <s v="Нет"/>
    <n v="6"/>
    <n v="2"/>
    <s v="Кудряшов Д.В. - А-УЕФА, Еремеева С.Н. - В-УЕФА, Савин Ю.Е. - В-УЕФА, Калачев А.Ю. С-УЕФА, Князев И.В. - С-УЕФА, Буза А.М. - С-УЕФА"/>
    <n v="3"/>
    <n v="2"/>
    <n v="1"/>
    <m/>
    <s v="Да"/>
    <s v="Нет"/>
    <m/>
  </r>
  <r>
    <d v="2025-12-09T13:29:02"/>
    <s v="МБУ ДО Истринская СШ им. Н.Л.Федорович"/>
    <x v="3"/>
    <x v="18"/>
    <s v="Истра"/>
    <s v="г.о. Истра, г. Дедовск, ул. Войкова, д. 6а"/>
    <s v="+7 (498) 317-75-36"/>
    <s v="idssh6@yandex.ru"/>
    <s v="СШ"/>
    <s v="Нет"/>
    <n v="47"/>
    <x v="37"/>
    <x v="15"/>
    <x v="3"/>
    <x v="4"/>
    <n v="1"/>
    <n v="4"/>
    <n v="6"/>
    <n v="7"/>
    <n v="5"/>
    <n v="3"/>
    <n v="7"/>
    <n v="6"/>
    <n v="0"/>
    <n v="0"/>
    <n v="0"/>
    <n v="0"/>
    <s v="До 10 лет, До 12 лет, До 13 лет, До 15 лет"/>
    <s v="Да"/>
    <s v="Да"/>
    <n v="0"/>
    <n v="0"/>
    <s v="-"/>
    <m/>
    <m/>
    <m/>
    <m/>
    <s v="Нет"/>
    <s v="Нет"/>
    <m/>
  </r>
  <r>
    <d v="2025-11-28T10:06:58"/>
    <s v="МАУ ДО &quot;КСШОР ИМЕНИ М.В. ТРЕФИЛОВА&quot;"/>
    <x v="3"/>
    <x v="18"/>
    <s v="КЛИН"/>
    <s v="МО, г. Клин, ул. Чайковского, 14"/>
    <n v="84962476791"/>
    <s v="klinschoolfootball@mail.ru"/>
    <s v="СШОР"/>
    <s v="Нет"/>
    <n v="520"/>
    <x v="16"/>
    <x v="1"/>
    <x v="0"/>
    <x v="0"/>
    <n v="0"/>
    <n v="0"/>
    <n v="1"/>
    <n v="3"/>
    <n v="2"/>
    <n v="1"/>
    <n v="3"/>
    <n v="2"/>
    <n v="1"/>
    <n v="0"/>
    <n v="0"/>
    <n v="1"/>
    <s v="Соревновательной практики достаточно"/>
    <s v="Да"/>
    <s v="Да"/>
    <n v="2"/>
    <n v="1"/>
    <s v="нет"/>
    <m/>
    <m/>
    <m/>
    <m/>
    <s v="Да"/>
    <s v="Да"/>
    <m/>
  </r>
  <r>
    <d v="2025-12-09T13:18:24"/>
    <s v="ЖФК Авангард"/>
    <x v="3"/>
    <x v="18"/>
    <s v="Коломна"/>
    <s v="Московская область, г.о. Коломна, ул. Советская дом 58кв. 32"/>
    <s v="8(915) 2101312"/>
    <s v="domin4@mail.ru"/>
    <s v="ЖФк"/>
    <s v="Нет"/>
    <n v="53"/>
    <x v="38"/>
    <x v="2"/>
    <x v="4"/>
    <x v="4"/>
    <n v="2"/>
    <n v="3"/>
    <n v="5"/>
    <n v="5"/>
    <n v="5"/>
    <n v="2"/>
    <n v="7"/>
    <n v="4"/>
    <n v="5"/>
    <n v="0"/>
    <n v="0"/>
    <n v="0"/>
    <s v="До 10 лет, До 12 лет, До 13 лет, До 15 лет"/>
    <s v="Нет"/>
    <s v="Нет"/>
    <n v="0"/>
    <n v="0"/>
    <s v="-"/>
    <m/>
    <m/>
    <m/>
    <m/>
    <s v="Нет"/>
    <s v="Нет"/>
    <m/>
  </r>
  <r>
    <d v="2025-12-04T15:58:19"/>
    <s v="Энергия "/>
    <x v="3"/>
    <x v="18"/>
    <s v="Королев"/>
    <s v="г. Королев, мкр. Первомайский, ул. Советская, д.18"/>
    <n v="79252161168"/>
    <s v="footballwoman@yandex.ru"/>
    <s v="любительская женская команда ЖЛФК &quot;Галактика&quot;  от 18+"/>
    <s v="Нет"/>
    <n v="16"/>
    <x v="17"/>
    <x v="16"/>
    <x v="0"/>
    <x v="0"/>
    <n v="0"/>
    <n v="0"/>
    <n v="0"/>
    <n v="0"/>
    <n v="1"/>
    <n v="0"/>
    <n v="0"/>
    <n v="0"/>
    <n v="0"/>
    <n v="0"/>
    <n v="0"/>
    <n v="0"/>
    <s v="Соревновательной практики достаточно"/>
    <s v="Нет"/>
    <s v="Нет"/>
    <n v="1"/>
    <n v="0"/>
    <s v="не уточняла, мы любители"/>
    <m/>
    <m/>
    <m/>
    <m/>
    <s v="Нет"/>
    <s v="Нет"/>
    <m/>
  </r>
  <r>
    <d v="2025-12-09T13:57:26"/>
    <s v="МБОУ Гимназия 17 "/>
    <x v="3"/>
    <x v="18"/>
    <s v="Королев"/>
    <s v="Ул. Сакко и Ванцетти, д. 28"/>
    <s v="8-916-345-36-36"/>
    <s v="school17_korolev@mail.ru"/>
    <s v="СШ"/>
    <s v="Нет"/>
    <n v="35"/>
    <x v="50"/>
    <x v="1"/>
    <x v="0"/>
    <x v="0"/>
    <n v="0"/>
    <n v="0"/>
    <n v="1"/>
    <n v="2"/>
    <n v="2"/>
    <n v="7"/>
    <n v="10"/>
    <n v="5"/>
    <n v="6"/>
    <n v="2"/>
    <n v="0"/>
    <n v="0"/>
    <s v="До 10 лет, До 12 лет, До 13 лет, До 15 лет"/>
    <s v="Нет"/>
    <s v="Нет"/>
    <n v="0"/>
    <n v="0"/>
    <s v="-"/>
    <m/>
    <m/>
    <m/>
    <m/>
    <s v="Нет"/>
    <s v="Нет"/>
    <m/>
  </r>
  <r>
    <d v="2025-12-04T18:35:43"/>
    <s v="Любительская команда "/>
    <x v="3"/>
    <x v="18"/>
    <s v="Королёв"/>
    <s v="город Королев"/>
    <n v="89857152252"/>
    <s v="Esergeewnap@yandex.ru"/>
    <s v="Любительская команда"/>
    <s v="Нет"/>
    <n v="15"/>
    <x v="3"/>
    <x v="16"/>
    <x v="0"/>
    <x v="0"/>
    <n v="0"/>
    <n v="0"/>
    <n v="0"/>
    <n v="0"/>
    <n v="0"/>
    <n v="0"/>
    <n v="0"/>
    <n v="0"/>
    <n v="0"/>
    <n v="0"/>
    <n v="0"/>
    <n v="0"/>
    <s v="18 лет и старше"/>
    <s v="Нет"/>
    <s v="Нет"/>
    <n v="1"/>
    <n v="0"/>
    <s v="Чернышев Михаил Викторович "/>
    <m/>
    <m/>
    <m/>
    <m/>
    <s v="Нет"/>
    <s v="Нет"/>
    <m/>
  </r>
  <r>
    <d v="2025-11-20T12:40:10"/>
    <s v="МАУ ДО СШ &quot;Котельники&quot;"/>
    <x v="3"/>
    <x v="18"/>
    <s v="Котельники"/>
    <s v="Московская обл., г. Котельники, мкр. Белая Дача, д. 8А"/>
    <n v="74955508066"/>
    <s v="ktln_sport@mosreg.ru"/>
    <s v="СШ"/>
    <s v="Нет"/>
    <n v="150"/>
    <x v="3"/>
    <x v="1"/>
    <x v="0"/>
    <x v="0"/>
    <n v="0"/>
    <n v="0"/>
    <n v="0"/>
    <n v="0"/>
    <n v="0"/>
    <n v="1"/>
    <n v="2"/>
    <n v="4"/>
    <n v="3"/>
    <n v="1"/>
    <n v="4"/>
    <n v="0"/>
    <s v="Соревновательной практики достаточно"/>
    <s v="Нет"/>
    <s v="Нет"/>
    <n v="1"/>
    <n v="0"/>
    <s v="Черепушкин С.В."/>
    <m/>
    <m/>
    <m/>
    <m/>
    <s v="Да"/>
    <s v="Нет"/>
    <m/>
  </r>
  <r>
    <d v="2025-11-20T12:44:30"/>
    <s v="МБУДО КСШОР &quot;Зоркий&quot;"/>
    <x v="3"/>
    <x v="18"/>
    <s v="Красногорск"/>
    <s v="Красногорск ул. Пионерская 31"/>
    <n v="84955647328"/>
    <s v="sdusshor.zorky@mail.ru"/>
    <s v="СШОР"/>
    <s v="Нет"/>
    <n v="562"/>
    <x v="68"/>
    <x v="20"/>
    <x v="3"/>
    <x v="1"/>
    <n v="4"/>
    <n v="1"/>
    <n v="4"/>
    <n v="11"/>
    <n v="12"/>
    <n v="12"/>
    <n v="12"/>
    <n v="8"/>
    <n v="2"/>
    <n v="4"/>
    <n v="0"/>
    <n v="0"/>
    <s v="До 10 лет"/>
    <s v="Да"/>
    <s v="Да"/>
    <n v="2"/>
    <n v="2"/>
    <s v="Вербицкая Е.С. С-УЕФА Орешкина А.А.. С-УЕФА"/>
    <n v="2"/>
    <m/>
    <m/>
    <m/>
    <s v="Да"/>
    <s v="Нет"/>
    <m/>
  </r>
  <r>
    <d v="2025-12-09T13:54:38"/>
    <s v="Зенит-Чемпионика Лобня"/>
    <x v="3"/>
    <x v="18"/>
    <s v="Лобня"/>
    <s v="г Лобня ул Ленина д 65"/>
    <s v="8-916-064-25-81"/>
    <s v="alexandr.solsky@championika.ru"/>
    <s v="СШ"/>
    <s v="Нет"/>
    <n v="5"/>
    <x v="9"/>
    <x v="1"/>
    <x v="0"/>
    <x v="0"/>
    <n v="0"/>
    <n v="0"/>
    <n v="0"/>
    <n v="1"/>
    <n v="0"/>
    <n v="0"/>
    <n v="0"/>
    <n v="0"/>
    <n v="0"/>
    <n v="1"/>
    <n v="2"/>
    <n v="1"/>
    <s v="До 10 лет, До 12 лет, До 13 лет, До 15 лет"/>
    <s v="Нет"/>
    <s v="Нет"/>
    <n v="0"/>
    <n v="0"/>
    <s v="-"/>
    <m/>
    <m/>
    <m/>
    <m/>
    <s v="Нет"/>
    <s v="Нет"/>
    <m/>
  </r>
  <r>
    <d v="2025-11-20T11:47:31"/>
    <s v="Му мдс Багратион "/>
    <x v="3"/>
    <x v="18"/>
    <s v="Можайск "/>
    <s v="Можайск , мира 15"/>
    <n v="84963823671"/>
    <s v="bagration-sport.ru"/>
    <s v="Дворец спорта "/>
    <s v="Нет"/>
    <n v="700"/>
    <x v="69"/>
    <x v="12"/>
    <x v="0"/>
    <x v="0"/>
    <n v="1"/>
    <n v="7"/>
    <n v="2"/>
    <n v="3"/>
    <n v="14"/>
    <n v="8"/>
    <n v="5"/>
    <n v="3"/>
    <n v="2"/>
    <n v="1"/>
    <n v="1"/>
    <n v="5"/>
    <s v="Соревновательной практики достаточно"/>
    <s v="Да"/>
    <s v="Нет"/>
    <n v="2"/>
    <n v="1"/>
    <s v="Ермаков С.В_x000a_Исаева В.И"/>
    <m/>
    <m/>
    <m/>
    <m/>
    <s v="Да"/>
    <s v="Нет"/>
    <m/>
  </r>
  <r>
    <d v="2025-11-25T12:57:16"/>
    <s v="Муниципальное бюджетное учреждение дополнительного образования Богородского городского округа «Спортивная школа олимпийского резерва»"/>
    <x v="3"/>
    <x v="18"/>
    <s v="Ногинск"/>
    <s v="142403, Московская область, г. Ногинск, ул. Санаторная, д.3"/>
    <s v="8-496-510-10-55"/>
    <s v="sport@sshor-bgo.ru"/>
    <s v="СШОР"/>
    <s v="Нет"/>
    <n v="253"/>
    <x v="37"/>
    <x v="1"/>
    <x v="0"/>
    <x v="0"/>
    <n v="0"/>
    <n v="0"/>
    <n v="0"/>
    <n v="0"/>
    <n v="6"/>
    <n v="4"/>
    <n v="8"/>
    <n v="19"/>
    <n v="3"/>
    <n v="6"/>
    <n v="1"/>
    <n v="0"/>
    <s v="Соревновательной практики достаточно"/>
    <s v="Нет"/>
    <s v="Нет"/>
    <n v="3"/>
    <n v="2"/>
    <s v="не имеют"/>
    <m/>
    <m/>
    <m/>
    <m/>
    <s v="Да"/>
    <s v="Да"/>
    <s v="Упростить порядок лицензирования  и присвоения категорий тренерам по женскому футболу"/>
  </r>
  <r>
    <d v="2025-12-09T14:35:14"/>
    <s v="ЖФК Спасатель "/>
    <x v="3"/>
    <x v="18"/>
    <s v="Ногинск"/>
    <s v="Ногинск улица Чапаева 15"/>
    <n v="89645532615"/>
    <s v="huba1331@icloud.com"/>
    <s v="Жфк"/>
    <s v="Нет"/>
    <n v="48"/>
    <x v="70"/>
    <x v="0"/>
    <x v="0"/>
    <x v="2"/>
    <n v="5"/>
    <n v="6"/>
    <n v="10"/>
    <n v="10"/>
    <n v="5"/>
    <n v="5"/>
    <n v="5"/>
    <n v="0"/>
    <n v="0"/>
    <n v="0"/>
    <n v="0"/>
    <n v="0"/>
    <s v="До 10 лет, До 12 лет, До 13 лет, До 15 лет"/>
    <s v="Нет"/>
    <s v="Нет"/>
    <n v="0"/>
    <n v="0"/>
    <s v="-"/>
    <m/>
    <m/>
    <m/>
    <m/>
    <s v="Нет"/>
    <s v="Нет"/>
    <m/>
  </r>
  <r>
    <d v="2025-12-03T18:43:01"/>
    <s v="Фск Обухово "/>
    <x v="3"/>
    <x v="18"/>
    <s v="Обухово (Ногинский район) "/>
    <s v="МО, Ногинский район, п Обухово, ул. Советская 25А"/>
    <n v="89660625887"/>
    <s v="yulechka_aksenova_2013@mail.ru "/>
    <s v="Секция при ФОКе"/>
    <s v="Нет"/>
    <n v="15"/>
    <x v="3"/>
    <x v="1"/>
    <x v="0"/>
    <x v="0"/>
    <n v="0"/>
    <n v="0"/>
    <n v="0"/>
    <n v="0"/>
    <n v="0"/>
    <n v="4"/>
    <n v="4"/>
    <n v="3"/>
    <n v="0"/>
    <n v="2"/>
    <n v="1"/>
    <n v="1"/>
    <s v="До 10 лет"/>
    <s v="Нет"/>
    <s v="Нет"/>
    <n v="1"/>
    <n v="1"/>
    <s v="Моторина Ю. А - С-УЕФА"/>
    <n v="1"/>
    <m/>
    <m/>
    <m/>
    <s v="Нет"/>
    <s v="Нет"/>
    <s v="Руководство не заинтересовано в развитие футбола для девочек. Мало человек ходит по сравнению с мальчиками и им это не нравится. "/>
  </r>
  <r>
    <d v="2025-12-09T12:44:55"/>
    <s v="МАУ ФСЦ КУБИНКА"/>
    <x v="3"/>
    <x v="18"/>
    <s v="Одинцово"/>
    <s v="Где предоставят площадку для тренировок"/>
    <n v="89772720213"/>
    <s v="Lehasomonov@yandex.ru"/>
    <s v="ФСЦ"/>
    <s v="Нет"/>
    <n v="12"/>
    <x v="71"/>
    <x v="1"/>
    <x v="0"/>
    <x v="0"/>
    <n v="0"/>
    <n v="0"/>
    <n v="0"/>
    <n v="0"/>
    <n v="1"/>
    <n v="1"/>
    <n v="2"/>
    <n v="1"/>
    <n v="2"/>
    <n v="4"/>
    <n v="1"/>
    <n v="0"/>
    <s v="До 10 лет, До 12 лет, До 13 лет, До 15 лет"/>
    <s v="Нет"/>
    <s v="Нет"/>
    <n v="0"/>
    <n v="0"/>
    <s v="-"/>
    <m/>
    <m/>
    <m/>
    <m/>
    <s v="Нет"/>
    <s v="Нет"/>
    <m/>
  </r>
  <r>
    <d v="2025-11-20T13:08:20"/>
    <s v="МУНИЦИПАЛЬНОЕ УЧРЕЖДЕНИЕ ДОПОЛНИТЕЛЬНОГО ОБРАЗОВАНИЯ «СПОРТИВНАЯ ШКОЛА «ВЕСНА»"/>
    <x v="3"/>
    <x v="18"/>
    <s v="Подольск"/>
    <s v="Молодежная ул., д.2а, мкр. Климовск, Г.о. Подольск, Московская область, 142181"/>
    <s v="8 (4967) 62-94-76"/>
    <s v="sportshkola-klimovsk@yandex.ru"/>
    <s v="СШ"/>
    <s v="Нет"/>
    <n v="167"/>
    <x v="31"/>
    <x v="1"/>
    <x v="0"/>
    <x v="0"/>
    <n v="0"/>
    <n v="1"/>
    <n v="8"/>
    <n v="5"/>
    <n v="8"/>
    <n v="6"/>
    <n v="2"/>
    <n v="7"/>
    <n v="0"/>
    <n v="0"/>
    <n v="0"/>
    <n v="0"/>
    <s v="Соревновательной практики достаточно"/>
    <s v="Да"/>
    <s v="Нет"/>
    <n v="1"/>
    <n v="0"/>
    <s v="Кашигин А.И."/>
    <m/>
    <m/>
    <m/>
    <m/>
    <s v="Да"/>
    <s v="Нет"/>
    <m/>
  </r>
  <r>
    <d v="2025-12-02T18:39:59"/>
    <s v="МУДО СШ по футболу &quot;Витязь&quot;"/>
    <x v="3"/>
    <x v="18"/>
    <s v="Подольск"/>
    <s v="Московская область, г.Подольск, ул.Ульяновых, д.23"/>
    <s v="8-4967-66-38-36"/>
    <s v="vityaz_dyusshpofutbolu@mai.ru"/>
    <s v="СШ"/>
    <s v="ДФЦ"/>
    <n v="1016"/>
    <x v="60"/>
    <x v="1"/>
    <x v="0"/>
    <x v="0"/>
    <n v="0"/>
    <n v="0"/>
    <n v="2"/>
    <n v="15"/>
    <n v="5"/>
    <n v="6"/>
    <n v="15"/>
    <n v="12"/>
    <n v="10"/>
    <n v="9"/>
    <n v="3"/>
    <n v="0"/>
    <s v="Соревновательной практики достаточно"/>
    <s v="Да"/>
    <s v="Нет"/>
    <n v="3"/>
    <n v="0"/>
    <s v="Ландер В.В. С-УЕФА"/>
    <n v="1"/>
    <m/>
    <m/>
    <m/>
    <s v="Да"/>
    <s v="Да"/>
    <m/>
  </r>
  <r>
    <d v="2025-11-20T15:32:42"/>
    <s v="Муниципальное бюджетное учреждение дополнительного образования &quot;Ильинская спортивная школа &quot;Авангард&quot;"/>
    <x v="3"/>
    <x v="18"/>
    <s v="Раменское"/>
    <s v="г. Раменское, рп. Ильинский, ул. Ленинская, д.66а"/>
    <s v="+7 (49646) 9-17-52"/>
    <s v="ikdyussh@mail.ru"/>
    <s v="СШ"/>
    <s v="Нет"/>
    <n v="334"/>
    <x v="72"/>
    <x v="15"/>
    <x v="5"/>
    <x v="3"/>
    <n v="3"/>
    <n v="5"/>
    <n v="8"/>
    <n v="12"/>
    <n v="10"/>
    <n v="6"/>
    <n v="12"/>
    <n v="11"/>
    <n v="10"/>
    <n v="4"/>
    <n v="0"/>
    <n v="0"/>
    <s v="До 10 лет"/>
    <s v="Нет"/>
    <s v="Да"/>
    <n v="3"/>
    <n v="1"/>
    <s v="Барыкин А.А. С-УЕФА_x000a_Бовт Л.С. С-УЕФА_x000a_Шагов А.А."/>
    <n v="2"/>
    <m/>
    <m/>
    <m/>
    <s v="Да"/>
    <s v="Да"/>
    <s v="-"/>
  </r>
  <r>
    <d v="2025-12-09T13:33:11"/>
    <s v="МАУ ДО &quot;СШ &quot;Приалит&quot;"/>
    <x v="3"/>
    <x v="18"/>
    <s v="Реутов"/>
    <s v="МО, г.о. Реутов, г. Реутов, ул. Новая, д.1а"/>
    <s v="8-967-041-42-09"/>
    <s v="prialitreutov@mail.ru"/>
    <s v="СШ"/>
    <s v="Нет"/>
    <n v="17"/>
    <x v="7"/>
    <x v="1"/>
    <x v="0"/>
    <x v="4"/>
    <n v="1"/>
    <n v="2"/>
    <n v="1"/>
    <n v="1"/>
    <n v="2"/>
    <n v="4"/>
    <n v="1"/>
    <n v="2"/>
    <n v="0"/>
    <n v="1"/>
    <n v="0"/>
    <n v="0"/>
    <s v="До 10 лет, До 12 лет, До 13 лет, До 15 лет"/>
    <s v="Да"/>
    <s v="Да"/>
    <n v="0"/>
    <n v="0"/>
    <s v="-"/>
    <m/>
    <m/>
    <m/>
    <m/>
    <s v="Нет"/>
    <s v="Нет"/>
    <m/>
  </r>
  <r>
    <d v="2025-12-09T14:12:18"/>
    <s v="МБУ ДО &quot;Спортивная школа Руза&quot; РГО МО"/>
    <x v="3"/>
    <x v="18"/>
    <s v="Руза"/>
    <s v="Московская область г. Руза ул. Социалистическая д. 63"/>
    <s v="7-496-2762025"/>
    <s v="dussh-ruza@yandex.ru"/>
    <s v="ДЮСШ"/>
    <s v="Нет"/>
    <n v="4"/>
    <x v="65"/>
    <x v="1"/>
    <x v="0"/>
    <x v="0"/>
    <n v="0"/>
    <n v="0"/>
    <n v="0"/>
    <n v="0"/>
    <n v="0"/>
    <n v="2"/>
    <n v="2"/>
    <n v="0"/>
    <n v="0"/>
    <n v="0"/>
    <n v="0"/>
    <n v="0"/>
    <s v="До 10 лет, До 12 лет, До 13 лет, До 15 лет"/>
    <s v="Нет"/>
    <s v="Нет"/>
    <n v="0"/>
    <n v="0"/>
    <s v="-"/>
    <m/>
    <m/>
    <m/>
    <m/>
    <s v="Нет"/>
    <s v="Нет"/>
    <m/>
  </r>
  <r>
    <d v="2025-11-20T13:47:15"/>
    <s v="МБУ ДО СШ &quot;Сергиев Посад&quot;"/>
    <x v="3"/>
    <x v="18"/>
    <s v="Сергиев Посад"/>
    <s v="г. Сергиев Посад, ул. Матросова, 2а"/>
    <s v="8(496)5510961"/>
    <s v="ssh-sp@mail.ru"/>
    <s v="СШ"/>
    <s v="Нет"/>
    <n v="515"/>
    <x v="73"/>
    <x v="20"/>
    <x v="0"/>
    <x v="4"/>
    <n v="3"/>
    <n v="3"/>
    <n v="7"/>
    <n v="9"/>
    <n v="11"/>
    <n v="10"/>
    <n v="23"/>
    <n v="20"/>
    <n v="9"/>
    <n v="3"/>
    <n v="2"/>
    <n v="0"/>
    <s v="Соревновательной практики достаточно"/>
    <s v="Да"/>
    <s v="Да"/>
    <n v="2"/>
    <n v="1"/>
    <s v="Пахомова Е.В. С-УЕФА_x000a_Лобачев Ю.Н. С-УЕФА"/>
    <n v="2"/>
    <m/>
    <m/>
    <m/>
    <s v="Да"/>
    <s v="Да"/>
    <m/>
  </r>
  <r>
    <d v="2025-11-20T13:01:07"/>
    <s v="Муниципальное бюджетное учреждение дополнительного образования спортивная школа &quot;Ока&quot;"/>
    <x v="3"/>
    <x v="18"/>
    <s v="Ступино"/>
    <s v="ул. Чайковского, вл.3/10"/>
    <n v="89773051305"/>
    <s v="Sport_oka_mz@mail.ru"/>
    <s v="СШ"/>
    <s v="Нет"/>
    <n v="420"/>
    <x v="35"/>
    <x v="1"/>
    <x v="0"/>
    <x v="0"/>
    <n v="0"/>
    <n v="0"/>
    <n v="0"/>
    <n v="3"/>
    <n v="5"/>
    <n v="4"/>
    <n v="7"/>
    <n v="3"/>
    <n v="1"/>
    <n v="4"/>
    <n v="0"/>
    <n v="0"/>
    <s v="До 10 лет, До 12 лет, До 13 лет"/>
    <s v="Да"/>
    <s v="Да"/>
    <n v="2"/>
    <n v="0"/>
    <s v="Захаров И.Б., Калачёв Д.С."/>
    <m/>
    <m/>
    <m/>
    <m/>
    <s v="Да"/>
    <s v="Нет"/>
    <m/>
  </r>
  <r>
    <d v="2025-11-24T12:26:24"/>
    <s v="МАУ ДО &quot;СШОР по футболу&quot; г. Химки"/>
    <x v="3"/>
    <x v="18"/>
    <s v="Химки"/>
    <s v="Московская область, г. Химки, ул. Машинцева, д.2"/>
    <s v="+7 (495) 793-09-96"/>
    <s v="Shorkhimki@gmail.com"/>
    <s v="СШОР"/>
    <s v="Футбольная академия"/>
    <n v="602"/>
    <x v="15"/>
    <x v="1"/>
    <x v="0"/>
    <x v="0"/>
    <n v="0"/>
    <n v="0"/>
    <n v="0"/>
    <n v="4"/>
    <n v="5"/>
    <n v="4"/>
    <n v="7"/>
    <n v="5"/>
    <n v="0"/>
    <n v="0"/>
    <n v="0"/>
    <n v="0"/>
    <s v="До 10 лет, До 12 лет, До 13 лет, До 15 лет, До 17 лет, До 19 лет"/>
    <s v="Да"/>
    <s v="Да"/>
    <n v="1"/>
    <n v="1"/>
    <s v="Попова Е.Н. С-УЕФА"/>
    <n v="1"/>
    <m/>
    <m/>
    <m/>
    <s v="Да"/>
    <s v="Нет"/>
    <m/>
  </r>
  <r>
    <d v="2025-12-02T12:43:54"/>
    <s v="женский футбольный клуб любительский "/>
    <x v="3"/>
    <x v="18"/>
    <s v="Химки"/>
    <s v="Химки"/>
    <n v="89263308364"/>
    <s v="Footballkhimkigirl@gmail.com"/>
    <s v="ЖФЛК"/>
    <s v="Нет"/>
    <n v="35"/>
    <x v="20"/>
    <x v="21"/>
    <x v="5"/>
    <x v="2"/>
    <n v="1"/>
    <n v="0"/>
    <n v="0"/>
    <n v="0"/>
    <n v="0"/>
    <n v="0"/>
    <n v="0"/>
    <n v="0"/>
    <n v="0"/>
    <n v="0"/>
    <n v="0"/>
    <n v="0"/>
    <s v="До 15 лет, До 17 лет, До 19 лет"/>
    <s v="Да"/>
    <s v="Да"/>
    <n v="3"/>
    <n v="0"/>
    <s v="Не анонсируем"/>
    <m/>
    <m/>
    <m/>
    <m/>
    <s v="Нет"/>
    <s v="Нет"/>
    <m/>
  </r>
  <r>
    <d v="2025-12-09T14:07:01"/>
    <s v="МАУДО СШ &quot;Черноголовка&quot;"/>
    <x v="3"/>
    <x v="18"/>
    <s v="Черноголовка"/>
    <s v="бульвар арх. Толмачева, д. 3"/>
    <s v="+7 (49652) 2 57 15"/>
    <s v="sport142432@mail.ru"/>
    <s v="СШ"/>
    <s v="Нет"/>
    <n v="10"/>
    <x v="0"/>
    <x v="1"/>
    <x v="0"/>
    <x v="0"/>
    <n v="0"/>
    <n v="0"/>
    <n v="0"/>
    <n v="4"/>
    <n v="2"/>
    <n v="0"/>
    <n v="1"/>
    <n v="1"/>
    <n v="2"/>
    <n v="0"/>
    <n v="0"/>
    <n v="0"/>
    <s v="До 10 лет, До 12 лет, До 13 лет, До 15 лет"/>
    <s v="Нет"/>
    <s v="Нет"/>
    <n v="0"/>
    <n v="0"/>
    <s v="-"/>
    <m/>
    <m/>
    <m/>
    <m/>
    <s v="Нет"/>
    <s v="Нет"/>
    <m/>
  </r>
  <r>
    <d v="2025-11-28T09:50:17"/>
    <s v="МАУ ДО &quot;СШ Шатура&quot; "/>
    <x v="3"/>
    <x v="18"/>
    <s v="Шатура "/>
    <s v="Московская область, муниципальный округ Шатура, г. Шатура, ул. Спортивная, д. 14 "/>
    <s v="8 (49645) 28169"/>
    <s v="kdussh@mail.ru"/>
    <s v="СШ"/>
    <s v="Нет"/>
    <n v="150"/>
    <x v="8"/>
    <x v="1"/>
    <x v="0"/>
    <x v="0"/>
    <n v="0"/>
    <n v="0"/>
    <n v="0"/>
    <n v="0"/>
    <n v="1"/>
    <n v="0"/>
    <n v="1"/>
    <n v="0"/>
    <n v="0"/>
    <n v="0"/>
    <n v="0"/>
    <n v="0"/>
    <m/>
    <s v="Да"/>
    <s v="Да"/>
    <n v="1"/>
    <n v="0"/>
    <s v="нет"/>
    <m/>
    <m/>
    <m/>
    <m/>
    <s v="Да"/>
    <s v="Нет"/>
    <m/>
  </r>
  <r>
    <d v="2025-12-09T13:45:01"/>
    <s v="МБУ ДО СШ &quot;Старт&quot; ГОЩ"/>
    <x v="3"/>
    <x v="18"/>
    <s v="Щелково"/>
    <s v="Щелково, 1-ый Советский переулок д.32Б"/>
    <n v="84962585083"/>
    <s v="sports2012@mail.ru"/>
    <s v="СШ"/>
    <s v="Нет"/>
    <n v="32"/>
    <x v="13"/>
    <x v="12"/>
    <x v="5"/>
    <x v="4"/>
    <n v="1"/>
    <n v="7"/>
    <n v="8"/>
    <n v="3"/>
    <n v="2"/>
    <n v="4"/>
    <n v="0"/>
    <n v="1"/>
    <n v="0"/>
    <n v="0"/>
    <n v="0"/>
    <n v="0"/>
    <s v="До 10 лет, До 12 лет, До 13 лет, До 15 лет"/>
    <s v="Нет"/>
    <s v="Нет"/>
    <n v="0"/>
    <n v="0"/>
    <s v="-"/>
    <m/>
    <m/>
    <m/>
    <m/>
    <s v="Нет"/>
    <s v="Нет"/>
    <m/>
  </r>
  <r>
    <d v="2025-12-02T17:40:25"/>
    <s v="франшиза АО Динамо Москва"/>
    <x v="3"/>
    <x v="18"/>
    <s v="Дубна"/>
    <s v="141980 г. Дубна ул.Мичурина д.7/29 кв.38"/>
    <n v="89651490220"/>
    <s v="d.zhuravlev@dubna.fcdm.school"/>
    <s v="ФШ"/>
    <s v="Нет"/>
    <n v="300"/>
    <x v="54"/>
    <x v="1"/>
    <x v="0"/>
    <x v="0"/>
    <n v="0"/>
    <n v="0"/>
    <n v="0"/>
    <n v="0"/>
    <n v="2"/>
    <n v="0"/>
    <n v="0"/>
    <n v="5"/>
    <n v="4"/>
    <n v="4"/>
    <n v="4"/>
    <n v="3"/>
    <s v="До 10 лет"/>
    <s v="Да"/>
    <s v="Да"/>
    <n v="2"/>
    <n v="1"/>
    <s v="Цветкова Е.Д. (нет лицензии), Переверзьев К.А. (нет лицензии)"/>
    <m/>
    <m/>
    <m/>
    <m/>
    <s v="Да"/>
    <s v="Да"/>
    <s v="нет"/>
  </r>
  <r>
    <d v="2025-11-14T14:38:26"/>
    <s v="муниципальное бюджетное образовательное учреждение дополнительного образования &quot;Детско-юношеский центр&quot;"/>
    <x v="4"/>
    <x v="19"/>
    <s v="Ардатов"/>
    <s v="607130, Нижегородская область, Ардатовский муниципальный округ, р.п. Ардатов, ул.Ленина, д.65"/>
    <n v="88317950141"/>
    <s v="dyussh_ardatov@mail.ru"/>
    <s v="ДЮЦ"/>
    <s v="Нет"/>
    <n v="157"/>
    <x v="50"/>
    <x v="1"/>
    <x v="0"/>
    <x v="0"/>
    <n v="0"/>
    <n v="0"/>
    <n v="1"/>
    <n v="2"/>
    <n v="5"/>
    <n v="13"/>
    <n v="12"/>
    <n v="2"/>
    <n v="0"/>
    <n v="0"/>
    <n v="0"/>
    <n v="0"/>
    <s v="Соревновательной практики достаточно"/>
    <s v="Нет"/>
    <s v="Да"/>
    <n v="1"/>
    <n v="0"/>
    <s v="-"/>
    <m/>
    <m/>
    <m/>
    <m/>
    <s v="Нет"/>
    <s v="Нет"/>
    <m/>
  </r>
  <r>
    <d v="2025-11-23T20:29:56"/>
    <s v="МБУ ДО &quot;ДЮЦ &quot;Спартак&quot;"/>
    <x v="4"/>
    <x v="19"/>
    <s v="Богорордск"/>
    <s v="г. Богородск, ул. Ленина 222а"/>
    <n v="88317021754"/>
    <s v="ffk2005@mail.ru"/>
    <s v="МБУ ДО ДЮЦ "/>
    <s v="Нет"/>
    <n v="450"/>
    <x v="74"/>
    <x v="1"/>
    <x v="0"/>
    <x v="0"/>
    <n v="0"/>
    <n v="0"/>
    <n v="10"/>
    <n v="10"/>
    <n v="10"/>
    <n v="15"/>
    <n v="13"/>
    <n v="15"/>
    <n v="13"/>
    <n v="13"/>
    <n v="12"/>
    <n v="9"/>
    <s v="До 10 лет, До 12 лет, До 13 лет, До 15 лет"/>
    <s v="Нет"/>
    <s v="Да"/>
    <n v="1"/>
    <n v="0"/>
    <s v="Худяков Роман Алексеевич &quot;В-УЕФА&quot;"/>
    <m/>
    <n v="1"/>
    <m/>
    <m/>
    <s v="Да"/>
    <s v="Нет"/>
    <s v="предложение проводить семинары для тренеров женских отделений работающих в провинции."/>
  </r>
  <r>
    <d v="2025-11-14T12:09:00"/>
    <s v="Муниципальное бюджетное учреждение дополнительного образование &quot;Спортивная школа&quot;"/>
    <x v="4"/>
    <x v="19"/>
    <s v="Бутурлино"/>
    <s v="р.п. Бутурлино, ул. Милицейская, д.11"/>
    <n v="8317254273"/>
    <s v="sportbytyrlino@mail.ru"/>
    <s v="СШ"/>
    <s v="Нет"/>
    <n v="151"/>
    <x v="49"/>
    <x v="1"/>
    <x v="0"/>
    <x v="0"/>
    <n v="0"/>
    <n v="0"/>
    <n v="4"/>
    <n v="2"/>
    <n v="6"/>
    <n v="9"/>
    <n v="2"/>
    <n v="4"/>
    <n v="4"/>
    <n v="0"/>
    <n v="0"/>
    <n v="0"/>
    <s v="До 10 лет"/>
    <s v="Да"/>
    <s v="Да"/>
    <n v="1"/>
    <n v="0"/>
    <n v="0"/>
    <m/>
    <m/>
    <m/>
    <m/>
    <s v="Да"/>
    <s v="Нет"/>
    <m/>
  </r>
  <r>
    <d v="2025-11-19T18:26:30"/>
    <s v="МБУКС КСО"/>
    <x v="4"/>
    <x v="19"/>
    <s v="Вад"/>
    <s v="Улица 50 лет Октября дом 16"/>
    <n v="88314041782"/>
    <s v="vadsport52@mail.ru"/>
    <s v="МБУКС КСО"/>
    <s v="Нет"/>
    <n v="60"/>
    <x v="23"/>
    <x v="15"/>
    <x v="0"/>
    <x v="2"/>
    <n v="0"/>
    <n v="2"/>
    <n v="1"/>
    <n v="1"/>
    <n v="2"/>
    <n v="0"/>
    <n v="0"/>
    <n v="0"/>
    <n v="2"/>
    <n v="7"/>
    <n v="0"/>
    <n v="0"/>
    <s v="До 10 лет, До 12 лет, До 13 лет, До 15 лет, До 17 лет, До 19 лет"/>
    <s v="Да"/>
    <s v="Да"/>
    <n v="1"/>
    <n v="0"/>
    <s v="Либасов П.В."/>
    <m/>
    <m/>
    <m/>
    <m/>
    <s v="Нет"/>
    <s v="Нет"/>
    <m/>
  </r>
  <r>
    <d v="2025-12-04T12:55:39"/>
    <s v="МБОУ ДО ФОК г. Ворсма"/>
    <x v="4"/>
    <x v="19"/>
    <s v="Ворсма"/>
    <s v="ФОК, ул. Строителей 10 а, Ворсма"/>
    <s v="8(83171) 6-65-85"/>
    <s v="fskvorsma@yandex.ru"/>
    <s v="ДО СШ"/>
    <s v="Нет"/>
    <n v="78"/>
    <x v="17"/>
    <x v="1"/>
    <x v="0"/>
    <x v="0"/>
    <n v="5"/>
    <n v="5"/>
    <n v="5"/>
    <n v="1"/>
    <n v="0"/>
    <n v="0"/>
    <n v="0"/>
    <n v="0"/>
    <n v="0"/>
    <n v="0"/>
    <n v="0"/>
    <n v="0"/>
    <s v="До 13 лет, До 15 лет, До 17 лет"/>
    <s v="Нет"/>
    <s v="Нет"/>
    <n v="1"/>
    <n v="0"/>
    <s v="-"/>
    <m/>
    <m/>
    <m/>
    <m/>
    <s v="Нет"/>
    <s v="Нет"/>
    <m/>
  </r>
  <r>
    <d v="2025-11-19T11:56:44"/>
    <s v="ДЮСШ металлург "/>
    <x v="4"/>
    <x v="19"/>
    <s v="Выкса"/>
    <s v="Россия, Нижегородская область, г. Выкса, Красная площадь, 29."/>
    <n v="8317734222"/>
    <s v="metallurgvyksa@yandex.ru"/>
    <s v="ДЮСШ"/>
    <s v="Нет"/>
    <n v="400"/>
    <x v="22"/>
    <x v="5"/>
    <x v="0"/>
    <x v="0"/>
    <n v="0"/>
    <n v="2"/>
    <n v="3"/>
    <n v="6"/>
    <n v="6"/>
    <n v="10"/>
    <n v="1"/>
    <n v="6"/>
    <n v="8"/>
    <n v="9"/>
    <n v="7"/>
    <n v="1"/>
    <s v="До 10 лет, До 12 лет"/>
    <s v="Да"/>
    <s v="Нет"/>
    <n v="2"/>
    <n v="1"/>
    <s v="Макаров А.В.;_x000a_Иванова А.Р"/>
    <m/>
    <m/>
    <m/>
    <m/>
    <s v="Нет"/>
    <s v="Нет"/>
    <m/>
  </r>
  <r>
    <d v="2025-11-14T15:20:27"/>
    <s v="МБУ ДО &quot;СШ &quot;ФОК &quot;ОКА&quot;"/>
    <x v="4"/>
    <x v="19"/>
    <s v="Дзержинск"/>
    <s v="606030, Нижегородская область, город Дзержинск, Окская наб, д. 5а "/>
    <s v="+7 (8313) 28-60-51"/>
    <s v=" info@fok-oka.ru"/>
    <s v="СШ"/>
    <s v="Нет"/>
    <n v="91"/>
    <x v="29"/>
    <x v="1"/>
    <x v="0"/>
    <x v="0"/>
    <n v="0"/>
    <n v="0"/>
    <n v="0"/>
    <n v="1"/>
    <n v="1"/>
    <n v="4"/>
    <n v="8"/>
    <n v="14"/>
    <n v="2"/>
    <n v="5"/>
    <n v="3"/>
    <n v="2"/>
    <s v="Из-за возрастных ограничений, не которые девочки вообще останутся без официальных соревнований. "/>
    <s v="Нет"/>
    <s v="Нет"/>
    <n v="2"/>
    <n v="1"/>
    <s v="нет "/>
    <m/>
    <m/>
    <m/>
    <m/>
    <s v="Да"/>
    <s v="Да"/>
    <s v="      С этого года ввели возрастные ограничения разделили возраста. Девочек сложно набрать в наш вид спорта. Стараешься подбирать группы по годам рождения. (например 2014-2015)   (2017-2018). Получается, что теперь еще нужно смотреть на дату  рождения полностью. _x000a_     В этом году приходится еще родителям и законным представителям  девочек объяснять, почему их ребенок не может участвовать в официальных соревнованиях. _x000a_     Из предложений лучше бы было, что детей декабрьских например:  02.12.2013г. допустили играть за 2014 г.р. "/>
  </r>
  <r>
    <d v="2025-11-19T11:12:39"/>
    <s v="ЖМФК &quot;Виктория&quot;"/>
    <x v="4"/>
    <x v="19"/>
    <s v="Дзержинск"/>
    <s v="Бутлерова,16"/>
    <n v="89524596209"/>
    <s v="citom@yandex.ru"/>
    <s v="Частная"/>
    <s v="Нет"/>
    <n v="28"/>
    <x v="45"/>
    <x v="2"/>
    <x v="0"/>
    <x v="4"/>
    <n v="8"/>
    <n v="3"/>
    <n v="0"/>
    <n v="1"/>
    <n v="0"/>
    <n v="2"/>
    <n v="0"/>
    <n v="2"/>
    <n v="0"/>
    <n v="0"/>
    <n v="0"/>
    <n v="0"/>
    <s v="Соревновательной практики достаточно"/>
    <s v="Нет"/>
    <s v="Да"/>
    <n v="2"/>
    <n v="0"/>
    <s v="Иванов С.В._x000a_Чупрунов С.В."/>
    <m/>
    <m/>
    <m/>
    <m/>
    <s v="Нет"/>
    <s v="Нет"/>
    <m/>
  </r>
  <r>
    <d v="2025-12-02T14:17:48"/>
    <s v="МАУ ДО &quot;СШ № 1&quot;"/>
    <x v="4"/>
    <x v="19"/>
    <s v="Кстово"/>
    <s v="Кстовский муниципальный округ, город Кстово, улица Кстовская, дом 1"/>
    <n v="88314521013"/>
    <s v="sport-school1@yandex.ru"/>
    <s v="ДО"/>
    <s v="Нет"/>
    <n v="50"/>
    <x v="3"/>
    <x v="1"/>
    <x v="0"/>
    <x v="0"/>
    <n v="0"/>
    <n v="0"/>
    <n v="0"/>
    <n v="0"/>
    <n v="0"/>
    <n v="0"/>
    <n v="5"/>
    <n v="5"/>
    <n v="5"/>
    <n v="0"/>
    <n v="0"/>
    <n v="0"/>
    <m/>
    <s v="Да"/>
    <s v="Да"/>
    <n v="1"/>
    <n v="0"/>
    <n v="0"/>
    <m/>
    <m/>
    <m/>
    <m/>
    <s v="Нет"/>
    <s v="Нет"/>
    <m/>
  </r>
  <r>
    <d v="2025-11-17T14:28:57"/>
    <s v="МБУ ДО &quot;СШ &quot;ФОК в г.Кулебаки НО&quot;"/>
    <x v="4"/>
    <x v="19"/>
    <s v="Кулебаки"/>
    <s v="г.Кулебаки, ул.Серова, 59"/>
    <n v="88317659232"/>
    <s v="fok.kulebaki@yandex.ru"/>
    <s v="ФОК и СШ"/>
    <s v="Нет"/>
    <n v="279"/>
    <x v="62"/>
    <x v="1"/>
    <x v="0"/>
    <x v="2"/>
    <n v="2"/>
    <n v="1"/>
    <n v="4"/>
    <n v="7"/>
    <n v="7"/>
    <n v="6"/>
    <n v="5"/>
    <n v="15"/>
    <n v="3"/>
    <n v="3"/>
    <n v="5"/>
    <n v="1"/>
    <s v="До 17 лет"/>
    <s v="Да"/>
    <s v="Да"/>
    <n v="2"/>
    <n v="0"/>
    <s v="Гавенко Р.В., Демкин С.В."/>
    <m/>
    <m/>
    <m/>
    <m/>
    <s v="Да"/>
    <s v="Нет"/>
    <s v="нет"/>
  </r>
  <r>
    <d v="2025-11-20T08:41:18"/>
    <s v="МАУ ДО &quot;Спортивная школа &quot;Спартак&quot;"/>
    <x v="4"/>
    <x v="19"/>
    <s v="Муниципальный округ город Бор"/>
    <s v="606440, Нижегородская область, г. Бор, ул. Спортивная 1 а"/>
    <s v="8(83159)21452"/>
    <s v="spartakvibor@mail.ru"/>
    <s v="СШ"/>
    <s v="Нет"/>
    <n v="465"/>
    <x v="29"/>
    <x v="1"/>
    <x v="0"/>
    <x v="0"/>
    <n v="6"/>
    <n v="0"/>
    <n v="4"/>
    <n v="1"/>
    <n v="3"/>
    <n v="11"/>
    <n v="13"/>
    <n v="2"/>
    <n v="0"/>
    <n v="0"/>
    <n v="0"/>
    <n v="0"/>
    <m/>
    <s v="Да"/>
    <s v="Нет"/>
    <n v="1"/>
    <n v="1"/>
    <s v="нет"/>
    <m/>
    <m/>
    <m/>
    <m/>
    <s v="Да"/>
    <s v="Нет"/>
    <s v="развивать "/>
  </r>
  <r>
    <d v="2025-11-14T11:45:45"/>
    <s v="Ассоциация Профессиональный клуб по мини-футболу &quot;ТОРПЕДО&quot;"/>
    <x v="4"/>
    <x v="19"/>
    <s v="Нижний Новгород"/>
    <s v="603105, г. Нижний Новгород, ул. Белинского, д.55А, помещение 510"/>
    <s v="+7 (831) 259-77-47"/>
    <s v="mfc@orgkhim.com"/>
    <s v="Ассоциация"/>
    <s v="Нет"/>
    <n v="160"/>
    <x v="67"/>
    <x v="22"/>
    <x v="4"/>
    <x v="1"/>
    <n v="5"/>
    <n v="11"/>
    <n v="3"/>
    <n v="13"/>
    <n v="8"/>
    <n v="11"/>
    <n v="4"/>
    <n v="11"/>
    <n v="6"/>
    <n v="0"/>
    <n v="0"/>
    <n v="0"/>
    <s v="До 10 лет, До 12 лет, До 13 лет, До 15 лет, До 17 лет, До 19 лет"/>
    <s v="Нет"/>
    <s v="Нет"/>
    <n v="8"/>
    <n v="3"/>
    <s v="Буслаев С.А. - С-УЕФА, Дикарев М.А. - С-УЕФА"/>
    <n v="2"/>
    <m/>
    <m/>
    <m/>
    <s v="Да"/>
    <s v="Да"/>
    <m/>
  </r>
  <r>
    <d v="2025-11-22T01:20:51"/>
    <s v="Восток"/>
    <x v="4"/>
    <x v="19"/>
    <s v="Нижний Новгород"/>
    <s v="город Нижний Новгород, ул. Веденяпина, 30а"/>
    <n v="-1202"/>
    <s v="s111_nn@mail.52gov.ru"/>
    <s v="ООУ"/>
    <s v="Нет"/>
    <n v="160"/>
    <x v="75"/>
    <x v="18"/>
    <x v="5"/>
    <x v="4"/>
    <n v="4"/>
    <n v="1"/>
    <n v="8"/>
    <n v="7"/>
    <n v="10"/>
    <n v="12"/>
    <n v="15"/>
    <n v="15"/>
    <n v="20"/>
    <n v="20"/>
    <n v="15"/>
    <n v="10"/>
    <s v="До 15 лет, До 17 лет, До 19 лет"/>
    <s v="Нет"/>
    <s v="Нет"/>
    <n v="2"/>
    <n v="0"/>
    <s v="Баландин С.А. _x000a_Лопухов А.И."/>
    <m/>
    <m/>
    <m/>
    <m/>
    <s v="Нет"/>
    <s v="Нет"/>
    <s v="Очень нужна помощь в развитии наших девочек. Нет своей открытой площадки, есть только обычный маленький школьный спорт.зал с очень плохим полом. Очень не хватает инвентаря, мячей, тяжело с переездами к месту проведения турниров (все на плечах родителей)."/>
  </r>
  <r>
    <d v="2025-11-14T16:12:14"/>
    <s v="ГБОУ ДО СШОР №8 по футболу"/>
    <x v="4"/>
    <x v="19"/>
    <s v="Нижний Новгород"/>
    <s v="ул.Дьяконова д.31"/>
    <s v="253-67-25"/>
    <s v="sdusshor8@mail.ru"/>
    <s v="СШОР"/>
    <s v="Нет"/>
    <n v="993"/>
    <x v="44"/>
    <x v="1"/>
    <x v="0"/>
    <x v="0"/>
    <n v="1"/>
    <n v="9"/>
    <n v="7"/>
    <n v="5"/>
    <n v="9"/>
    <n v="17"/>
    <n v="15"/>
    <n v="6"/>
    <n v="8"/>
    <n v="11"/>
    <n v="4"/>
    <n v="3"/>
    <s v="До 10 лет, До 12 лет, До 13 лет, До 15 лет, До 17 лет"/>
    <s v="Да"/>
    <s v="Да"/>
    <n v="3"/>
    <n v="0"/>
    <s v="Вернецов И.Н. С-УЕФА; Вернецов Н.Ф., Сазанов Д.В. С-УЕФА"/>
    <n v="2"/>
    <m/>
    <m/>
    <m/>
    <s v="Да"/>
    <s v="Нет"/>
    <m/>
  </r>
  <r>
    <d v="2025-12-01T08:54:14"/>
    <s v="&quot;ЦДТ Автозаводского района&quot; "/>
    <x v="4"/>
    <x v="19"/>
    <s v="Нижний Новгород"/>
    <s v="школьная 4"/>
    <n v="2814220"/>
    <s v="cdt_avt_nn@mail.52gov.ru"/>
    <s v="ДО"/>
    <s v="Нет"/>
    <n v="300"/>
    <x v="76"/>
    <x v="1"/>
    <x v="0"/>
    <x v="0"/>
    <n v="0"/>
    <n v="3"/>
    <n v="12"/>
    <n v="14"/>
    <n v="12"/>
    <n v="12"/>
    <n v="10"/>
    <n v="10"/>
    <n v="10"/>
    <n v="20"/>
    <n v="25"/>
    <n v="25"/>
    <s v="До 10 лет, До 12 лет, До 13 лет, До 15 лет, До 17 лет"/>
    <s v="Нет"/>
    <s v="Нет"/>
    <n v="5"/>
    <n v="2"/>
    <s v="нет"/>
    <m/>
    <m/>
    <m/>
    <m/>
    <s v="Да"/>
    <s v="Нет"/>
    <m/>
  </r>
  <r>
    <d v="2025-11-19T15:10:47"/>
    <s v="Пари"/>
    <x v="4"/>
    <x v="19"/>
    <s v="Нижний Новгород "/>
    <s v="Карла Маркса 23"/>
    <n v="89202948364"/>
    <s v="tima.loginov.2014@mail.ru"/>
    <s v="Академия"/>
    <s v="Футбольная академия"/>
    <n v="500"/>
    <x v="77"/>
    <x v="0"/>
    <x v="4"/>
    <x v="5"/>
    <n v="10"/>
    <n v="15"/>
    <n v="10"/>
    <n v="10"/>
    <n v="25"/>
    <n v="20"/>
    <n v="20"/>
    <n v="20"/>
    <n v="25"/>
    <n v="25"/>
    <n v="10"/>
    <n v="10"/>
    <s v="До 10 лет, До 12 лет, До 13 лет"/>
    <s v="Да"/>
    <s v="Да"/>
    <n v="5"/>
    <n v="0"/>
    <s v="4 B-UEFA, 1 C-UEFA"/>
    <n v="1"/>
    <n v="4"/>
    <m/>
    <m/>
    <s v="Да"/>
    <s v="Нет"/>
    <m/>
  </r>
  <r>
    <d v="2025-11-18T12:05:38"/>
    <s v="ЖФК Нижегородочка"/>
    <x v="4"/>
    <x v="19"/>
    <s v="Нижний Новгород "/>
    <s v="Ул. Дружбы 50"/>
    <s v="+7 831 234-21-23"/>
    <s v="s123_nn@mail.52gov.ru"/>
    <s v="МБОУ школа 123"/>
    <s v="Нет"/>
    <n v="40"/>
    <x v="34"/>
    <x v="1"/>
    <x v="0"/>
    <x v="0"/>
    <n v="0"/>
    <n v="0"/>
    <n v="0"/>
    <n v="0"/>
    <n v="0"/>
    <n v="0"/>
    <n v="0"/>
    <n v="0"/>
    <n v="8"/>
    <n v="13"/>
    <n v="0"/>
    <n v="0"/>
    <s v="До 10 лет"/>
    <s v="Нет"/>
    <s v="Нет"/>
    <n v="1"/>
    <n v="0"/>
    <s v="Малышев Н.А. в данный момент обучение C-УЕФА"/>
    <n v="1"/>
    <m/>
    <m/>
    <m/>
    <s v="Нет"/>
    <s v="Нет"/>
    <m/>
  </r>
  <r>
    <d v="2025-12-04T12:38:49"/>
    <s v="МАУ «Физкультурно-оздоровительный комплекс в г.Первомайск Нижегородской области»"/>
    <x v="4"/>
    <x v="19"/>
    <s v="Первомайск  "/>
    <s v="г.Первомайск  ул.Юбилейная, д.2.корп.1"/>
    <s v="8(83139) 2-33-51"/>
    <s v="perv_fok@mail.ru"/>
    <s v="ФОК"/>
    <s v="Нет"/>
    <n v="69"/>
    <x v="78"/>
    <x v="1"/>
    <x v="0"/>
    <x v="0"/>
    <n v="0"/>
    <n v="0"/>
    <n v="0"/>
    <n v="0"/>
    <n v="0"/>
    <n v="5"/>
    <n v="5"/>
    <n v="5"/>
    <n v="4"/>
    <n v="0"/>
    <n v="0"/>
    <n v="0"/>
    <s v="До 10 лет, До 12 лет, До 13 лет"/>
    <s v="Да"/>
    <s v="Нет"/>
    <n v="1"/>
    <n v="0"/>
    <s v="-"/>
    <m/>
    <m/>
    <m/>
    <m/>
    <s v="Нет"/>
    <s v="Нет"/>
    <m/>
  </r>
  <r>
    <d v="2025-12-02T14:50:03"/>
    <s v="Факел"/>
    <x v="4"/>
    <x v="19"/>
    <s v="Первомайский"/>
    <s v="ул. Транспортная, 4а."/>
    <n v="89376757416"/>
    <s v="-"/>
    <s v="клуб"/>
    <s v="Нет"/>
    <n v="68"/>
    <x v="0"/>
    <x v="1"/>
    <x v="0"/>
    <x v="0"/>
    <n v="0"/>
    <n v="0"/>
    <n v="0"/>
    <n v="0"/>
    <n v="0"/>
    <n v="4"/>
    <n v="4"/>
    <n v="2"/>
    <n v="0"/>
    <n v="0"/>
    <n v="0"/>
    <n v="0"/>
    <m/>
    <s v="Да"/>
    <s v="Нет"/>
    <n v="1"/>
    <n v="0"/>
    <s v="-"/>
    <m/>
    <m/>
    <m/>
    <m/>
    <s v="Нет"/>
    <s v="Нет"/>
    <m/>
  </r>
  <r>
    <d v="2025-12-02T14:33:34"/>
    <s v="Факел"/>
    <x v="4"/>
    <x v="19"/>
    <s v="Тоншанво"/>
    <s v="Тоншаевский р. н, р. п Шайгино, ул. Вокзальная, д55Г"/>
    <n v="89081616251"/>
    <s v=" Kochkis@bk.ru"/>
    <s v="клуб"/>
    <s v="Нет"/>
    <n v="100"/>
    <x v="30"/>
    <x v="1"/>
    <x v="0"/>
    <x v="0"/>
    <n v="0"/>
    <n v="0"/>
    <n v="0"/>
    <n v="5"/>
    <n v="0"/>
    <n v="4"/>
    <n v="6"/>
    <n v="5"/>
    <n v="5"/>
    <n v="5"/>
    <n v="0"/>
    <n v="0"/>
    <m/>
    <s v="Нет"/>
    <s v="Нет"/>
    <n v="1"/>
    <n v="0"/>
    <n v="0"/>
    <m/>
    <m/>
    <m/>
    <m/>
    <s v="Нет"/>
    <s v="Нет"/>
    <m/>
  </r>
  <r>
    <d v="2025-12-05T15:02:38"/>
    <s v="МАУ ДО &quot;СШ &quot;ФОК &quot;Жемчужина&quot; в р.п. Шаранга НО&quot;"/>
    <x v="4"/>
    <x v="19"/>
    <s v="Шаранга"/>
    <s v="р.п. Шаранга ул.Садовая д.26"/>
    <n v="88315522077"/>
    <s v="fok-sharanga@mail.ru"/>
    <s v="СШ"/>
    <s v="Нет"/>
    <n v="80"/>
    <x v="66"/>
    <x v="1"/>
    <x v="0"/>
    <x v="0"/>
    <n v="0"/>
    <n v="0"/>
    <n v="0"/>
    <n v="0"/>
    <n v="0"/>
    <n v="0"/>
    <n v="2"/>
    <n v="0"/>
    <n v="1"/>
    <n v="0"/>
    <n v="1"/>
    <n v="3"/>
    <s v="Соревновательной практики достаточно"/>
    <s v="Да"/>
    <s v="Нет"/>
    <n v="1"/>
    <n v="0"/>
    <s v="Попенов О.П."/>
    <m/>
    <m/>
    <m/>
    <m/>
    <s v="Да"/>
    <s v="Нет"/>
    <m/>
  </r>
  <r>
    <d v="2025-11-19T08:55:35"/>
    <s v="МАУ ДО &quot;ФОК в р.п.Шатки Нижегородской области."/>
    <x v="4"/>
    <x v="19"/>
    <s v="Шатки"/>
    <s v="р.п. Шатки ул. Советская дом 25"/>
    <s v="4-32-40"/>
    <s v="atlant.ru@mail.ru"/>
    <s v="МАУ ДО &quot;ФОК в р.п.Шатки Нижегородской области&quot;"/>
    <s v="Нет"/>
    <n v="159"/>
    <x v="48"/>
    <x v="1"/>
    <x v="0"/>
    <x v="0"/>
    <n v="0"/>
    <n v="0"/>
    <n v="0"/>
    <n v="0"/>
    <n v="4"/>
    <n v="6"/>
    <n v="9"/>
    <n v="6"/>
    <n v="10"/>
    <n v="5"/>
    <n v="1"/>
    <n v="3"/>
    <s v="До 10 лет, До 12 лет"/>
    <s v="Нет"/>
    <s v="Да"/>
    <n v="1"/>
    <n v="0"/>
    <s v="нет"/>
    <m/>
    <m/>
    <m/>
    <m/>
    <s v="Нет"/>
    <s v="Нет"/>
    <s v="Соревнования среди смешанных команд предлагаю сделать не год в год , а девочки старше на два года мальчиков, тогда будет интересно играть и тем и тем, а когда год в год, мальчики играют а девочки стойте не мешайте"/>
  </r>
  <r>
    <d v="2025-11-17T13:58:49"/>
    <s v="ЖФК «Бузулучанка»"/>
    <x v="4"/>
    <x v="20"/>
    <s v="Бузулук "/>
    <s v="461040 Оренбургския обл. г. Бузулук ул. 1 линия д.34"/>
    <n v="89228183368"/>
    <s v="andrelz1b9@omall.ru"/>
    <s v="Некоммерческое партнерство "/>
    <s v="Нет"/>
    <n v="65"/>
    <x v="79"/>
    <x v="1"/>
    <x v="0"/>
    <x v="0"/>
    <n v="0"/>
    <n v="0"/>
    <n v="5"/>
    <n v="7"/>
    <n v="15"/>
    <n v="10"/>
    <n v="5"/>
    <n v="7"/>
    <n v="6"/>
    <n v="5"/>
    <n v="3"/>
    <n v="2"/>
    <s v="До 10 лет"/>
    <s v="Нет"/>
    <s v="Да"/>
    <n v="2"/>
    <n v="1"/>
    <s v="-"/>
    <m/>
    <m/>
    <m/>
    <m/>
    <s v="Да"/>
    <s v="Да"/>
    <m/>
  </r>
  <r>
    <d v="2025-11-16T08:35:33"/>
    <s v="АНО «центр развития футбола»"/>
    <x v="4"/>
    <x v="20"/>
    <s v="Кувандык "/>
    <s v="Оренбургская 20А"/>
    <n v="89877701222"/>
    <s v="ruslanrm1991@gmail.com"/>
    <s v="АНО"/>
    <s v="Нет"/>
    <n v="150"/>
    <x v="10"/>
    <x v="1"/>
    <x v="0"/>
    <x v="0"/>
    <n v="0"/>
    <n v="0"/>
    <n v="0"/>
    <n v="0"/>
    <n v="2"/>
    <n v="3"/>
    <n v="5"/>
    <n v="6"/>
    <n v="6"/>
    <n v="3"/>
    <n v="3"/>
    <n v="1"/>
    <s v="До 10 лет, До 12 лет, До 13 лет, До 15 лет, До 17 лет, До 19 лет"/>
    <s v="Да"/>
    <s v="Да"/>
    <n v="2"/>
    <n v="0"/>
    <s v="Нет"/>
    <m/>
    <m/>
    <m/>
    <m/>
    <s v="Да"/>
    <s v="Нет"/>
    <m/>
  </r>
  <r>
    <d v="2025-12-02T15:07:32"/>
    <s v="ФК Бастион"/>
    <x v="4"/>
    <x v="20"/>
    <s v="Оренбург"/>
    <s v="Оренбург"/>
    <n v="89501888098"/>
    <s v="-"/>
    <s v="клуб"/>
    <s v="Нет"/>
    <n v="30"/>
    <x v="9"/>
    <x v="1"/>
    <x v="0"/>
    <x v="0"/>
    <n v="0"/>
    <n v="0"/>
    <n v="0"/>
    <n v="0"/>
    <n v="0"/>
    <n v="0"/>
    <n v="2"/>
    <n v="3"/>
    <n v="0"/>
    <n v="0"/>
    <n v="0"/>
    <n v="0"/>
    <m/>
    <s v="Да"/>
    <s v="Да"/>
    <n v="1"/>
    <n v="0"/>
    <s v="-"/>
    <m/>
    <m/>
    <m/>
    <m/>
    <s v="Нет"/>
    <s v="Нет"/>
    <m/>
  </r>
  <r>
    <d v="2025-11-17T10:12:20"/>
    <s v="АНО &quot;ФК &quot;Оренбург&quot;"/>
    <x v="4"/>
    <x v="20"/>
    <s v="Оренбург"/>
    <s v="460008, Оренбургская область, г. Оренбург, ул. Цветной Бульвар (Поселок Ростоши мкр.), д. 31."/>
    <s v="8 (3532) 44-00-11"/>
    <s v="info@fcorenburg.ru"/>
    <s v="Академия"/>
    <s v="Футбольная академия"/>
    <n v="448"/>
    <x v="80"/>
    <x v="12"/>
    <x v="4"/>
    <x v="7"/>
    <n v="4"/>
    <n v="4"/>
    <n v="2"/>
    <n v="11"/>
    <n v="13"/>
    <n v="13"/>
    <n v="8"/>
    <n v="13"/>
    <n v="14"/>
    <n v="3"/>
    <n v="2"/>
    <n v="1"/>
    <s v="До 10 лет, До 12 лет, До 13 лет, До 15 лет, До 17 лет"/>
    <s v="Нет"/>
    <s v="Да"/>
    <n v="5"/>
    <n v="2"/>
    <s v="Баранцев А.К. - А-УЕФА+А-УЕФА ЭЮФ, Серкбаев С.С - С-УЕФА, Лапшина К.С. - С-УЕФА, Майлыбаева М.Б. - С-УЕФА, Прищепов О.Я. - &quot;В-УЕФА&quot; тренер вратарей "/>
    <n v="3"/>
    <n v="1"/>
    <n v="2"/>
    <m/>
    <s v="Да"/>
    <s v="Нет"/>
    <s v="Увеличить количество обязательных, официальных соревнований, внутри ФО, региона, города, тем самым обязать Клубы финансировать участие."/>
  </r>
  <r>
    <d v="2025-11-16T21:15:19"/>
    <s v="МБУДО СШОР №5 &quot;Орбита&quot;"/>
    <x v="4"/>
    <x v="20"/>
    <s v="Оренбург"/>
    <s v="460028 г. Оренбург, ул. Заводская, 34."/>
    <s v="8 (3532) 37-98-79"/>
    <s v="sportskola5@yandex.ru"/>
    <s v="СШОР"/>
    <s v="Нет"/>
    <n v="190"/>
    <x v="45"/>
    <x v="1"/>
    <x v="0"/>
    <x v="0"/>
    <n v="0"/>
    <n v="0"/>
    <n v="0"/>
    <n v="0"/>
    <n v="0"/>
    <n v="0"/>
    <n v="0"/>
    <n v="10"/>
    <n v="15"/>
    <n v="3"/>
    <n v="0"/>
    <n v="0"/>
    <s v="До 10 лет, До 12 лет, До 13 лет"/>
    <s v="Нет"/>
    <s v="Да"/>
    <n v="1"/>
    <n v="0"/>
    <s v="Серкбаев С.С. С-УЕФА"/>
    <n v="1"/>
    <m/>
    <m/>
    <m/>
    <s v="Да"/>
    <s v="Да"/>
    <m/>
  </r>
  <r>
    <d v="2025-11-14T10:58:13"/>
    <s v="МБУ &quot;Центр&quot; Вдохновение&quot;"/>
    <x v="4"/>
    <x v="20"/>
    <s v="Оренбургский район Черноречье"/>
    <s v="460539 Оренбургская область Оренбургский район Черноречье ул. Степная д. 32"/>
    <n v="73532393458"/>
    <s v="nice.charyev@mail.ru"/>
    <s v="Центр культуры досуга и спортивной деятельности"/>
    <s v="Нет"/>
    <n v="60"/>
    <x v="30"/>
    <x v="1"/>
    <x v="0"/>
    <x v="0"/>
    <n v="0"/>
    <n v="0"/>
    <n v="2"/>
    <n v="1"/>
    <n v="4"/>
    <n v="5"/>
    <n v="3"/>
    <n v="6"/>
    <n v="6"/>
    <n v="3"/>
    <n v="0"/>
    <n v="0"/>
    <s v="До 10 лет, До 12 лет, До 13 лет, До 15 лет"/>
    <s v="Нет"/>
    <s v="Нет"/>
    <n v="1"/>
    <n v="0"/>
    <s v="Чарыев Святослав Олегович"/>
    <m/>
    <m/>
    <m/>
    <m/>
    <s v="Нет"/>
    <s v="Нет"/>
    <s v="Уже пару лет какие-то данные собираем, а воз и ныне там."/>
  </r>
  <r>
    <d v="2025-11-18T14:25:39"/>
    <s v="МАУДО «Тюльганская СШ»"/>
    <x v="4"/>
    <x v="20"/>
    <s v="Тюльган"/>
    <s v="8 марта, 14"/>
    <s v="+7 (35332) 2-20-03"/>
    <s v="sportotdel56@mail.ru"/>
    <s v="СШ"/>
    <s v="Нет"/>
    <n v="135"/>
    <x v="81"/>
    <x v="1"/>
    <x v="0"/>
    <x v="0"/>
    <n v="0"/>
    <n v="0"/>
    <n v="0"/>
    <n v="9"/>
    <n v="9"/>
    <n v="3"/>
    <n v="2"/>
    <n v="1"/>
    <n v="0"/>
    <n v="0"/>
    <n v="0"/>
    <n v="2"/>
    <s v="Соревновательной практики достаточно"/>
    <s v="Нет"/>
    <s v="Да"/>
    <n v="1"/>
    <n v="0"/>
    <s v="Нет "/>
    <m/>
    <m/>
    <m/>
    <m/>
    <s v="Да"/>
    <s v="Да"/>
    <m/>
  </r>
  <r>
    <d v="2025-11-14T14:02:15"/>
    <s v="Муниципальное бюджетное учреждение дополнительного образования &quot;Спортивная школа &quot;Асбест&quot; Ясненского муниципального округа"/>
    <x v="4"/>
    <x v="20"/>
    <s v="Ясненский муниципальный округ"/>
    <s v="Оренбургская область, г. Ясный, ул. Ленина, д. 1"/>
    <s v="8-353-6821868"/>
    <s v="skasbest@yandex.ru"/>
    <s v="СШ"/>
    <s v="Нет"/>
    <n v="175"/>
    <x v="23"/>
    <x v="1"/>
    <x v="0"/>
    <x v="0"/>
    <n v="0"/>
    <n v="0"/>
    <n v="0"/>
    <n v="0"/>
    <n v="2"/>
    <n v="7"/>
    <n v="3"/>
    <n v="2"/>
    <n v="2"/>
    <n v="2"/>
    <n v="2"/>
    <n v="0"/>
    <s v="До 10 лет, До 12 лет"/>
    <s v="Нет"/>
    <s v="Да"/>
    <n v="1"/>
    <n v="0"/>
    <s v="Бондаренко Юрий Васильевич"/>
    <m/>
    <m/>
    <m/>
    <m/>
    <s v="Да"/>
    <s v="Нет"/>
    <s v="Очень мало соревновательной практики!"/>
  </r>
  <r>
    <d v="2025-11-17T13:29:41"/>
    <s v="Муниципальное бюджетное образовательное учреждение дополнительного образования детско-юношеская спортивная школа р.п. Беково (МБОУ ДО ДЮСШ р.п. Беково)"/>
    <x v="4"/>
    <x v="21"/>
    <s v="Беково"/>
    <s v="442940, Пензенская область, Бековский район, р.п. Беково, ул. Первомайская, 56В"/>
    <n v="89061590157"/>
    <s v="snsaushkin@rambler.ru"/>
    <s v="ДЮСШ"/>
    <s v="Нет"/>
    <n v="155"/>
    <x v="36"/>
    <x v="1"/>
    <x v="0"/>
    <x v="0"/>
    <n v="0"/>
    <n v="5"/>
    <n v="10"/>
    <n v="12"/>
    <n v="12"/>
    <n v="6"/>
    <n v="4"/>
    <n v="5"/>
    <n v="0"/>
    <n v="0"/>
    <n v="0"/>
    <n v="0"/>
    <s v="До 13 лет"/>
    <s v="Да"/>
    <s v="Да"/>
    <n v="1"/>
    <n v="0"/>
    <s v="Крянин Василий Александрович - нет"/>
    <m/>
    <m/>
    <m/>
    <m/>
    <s v="Нет"/>
    <s v="Нет"/>
    <m/>
  </r>
  <r>
    <d v="2025-12-04T12:31:08"/>
    <s v="МАУ ДО ДЮСШ Бессоновского район"/>
    <x v="4"/>
    <x v="21"/>
    <s v="Бессоновка"/>
    <s v="Компрессорная улица, 103А, Бессоновка"/>
    <s v="+7 (8412) 32-91-75"/>
    <s v="maudodush@mail.ru"/>
    <s v="ДЮСШ"/>
    <s v="Нет"/>
    <n v="35"/>
    <x v="9"/>
    <x v="1"/>
    <x v="0"/>
    <x v="0"/>
    <n v="0"/>
    <n v="0"/>
    <n v="0"/>
    <n v="0"/>
    <n v="0"/>
    <n v="0"/>
    <n v="0"/>
    <n v="4"/>
    <n v="1"/>
    <n v="0"/>
    <n v="0"/>
    <n v="0"/>
    <s v="До 10 лет, До 12 лет"/>
    <s v="Да"/>
    <s v="Нет"/>
    <n v="1"/>
    <n v="0"/>
    <n v="0"/>
    <m/>
    <m/>
    <m/>
    <m/>
    <s v="Нет"/>
    <s v="Нет"/>
    <m/>
  </r>
  <r>
    <d v="2025-11-19T16:35:51"/>
    <s v="МАОУ ДО ДЮСШ Земетчинского района"/>
    <x v="4"/>
    <x v="21"/>
    <s v="Земетчино"/>
    <s v="Пензенская область, р. п. Земетчино, ул. Кирова, 86"/>
    <n v="88415521642"/>
    <s v="zem-sport@mail.ru"/>
    <s v="ДЮСШ"/>
    <s v="Нет"/>
    <n v="103"/>
    <x v="3"/>
    <x v="1"/>
    <x v="0"/>
    <x v="0"/>
    <n v="0"/>
    <n v="2"/>
    <n v="3"/>
    <n v="1"/>
    <n v="3"/>
    <n v="3"/>
    <n v="2"/>
    <n v="1"/>
    <n v="0"/>
    <n v="0"/>
    <n v="0"/>
    <n v="0"/>
    <s v="До 10 лет, До 12 лет, До 13 лет"/>
    <s v="Да"/>
    <s v="Да"/>
    <n v="1"/>
    <n v="0"/>
    <s v="Проскурдин В. В."/>
    <m/>
    <m/>
    <m/>
    <m/>
    <s v="Да"/>
    <s v="Нет"/>
    <m/>
  </r>
  <r>
    <d v="2025-12-03T14:34:10"/>
    <s v="МБУ ДО Детско-юношеская спортивная школа с. Лопатино"/>
    <x v="4"/>
    <x v="21"/>
    <s v="Лопатино"/>
    <s v="Пензенская область, Лопатинский район, с.Лопатино ул.Пионерская 18Б"/>
    <s v="8(841-48)2-52-99"/>
    <s v="karnishinaanna@mail.ru"/>
    <s v="ДО"/>
    <s v="Нет"/>
    <n v="56"/>
    <x v="0"/>
    <x v="1"/>
    <x v="0"/>
    <x v="0"/>
    <n v="0"/>
    <n v="0"/>
    <n v="0"/>
    <n v="0"/>
    <n v="0"/>
    <n v="3"/>
    <n v="3"/>
    <n v="3"/>
    <n v="0"/>
    <n v="1"/>
    <n v="0"/>
    <n v="0"/>
    <m/>
    <s v="Да"/>
    <s v="Нет"/>
    <n v="1"/>
    <n v="0"/>
    <s v="-"/>
    <m/>
    <m/>
    <m/>
    <m/>
    <s v="Нет"/>
    <s v="Нет"/>
    <m/>
  </r>
  <r>
    <d v="2025-11-19T11:13:13"/>
    <s v="МАОУ ДО ДЮСШ с. Наровчат имени А.В. Водопьянова"/>
    <x v="4"/>
    <x v="21"/>
    <s v="Наровчат"/>
    <s v="Пензенская область, с. Наровчат, ул. Партизанская, д. 12"/>
    <n v="88416321502"/>
    <s v="narsport@yandex.ru"/>
    <s v="ДЮСШ"/>
    <s v="Нет"/>
    <n v="98"/>
    <x v="37"/>
    <x v="1"/>
    <x v="0"/>
    <x v="0"/>
    <n v="0"/>
    <n v="5"/>
    <n v="3"/>
    <n v="5"/>
    <n v="5"/>
    <n v="7"/>
    <n v="6"/>
    <n v="4"/>
    <n v="4"/>
    <n v="4"/>
    <n v="2"/>
    <n v="2"/>
    <s v="До 12 лет"/>
    <s v="Да"/>
    <s v="Нет"/>
    <n v="1"/>
    <n v="0"/>
    <s v="Свищев А.В. "/>
    <m/>
    <m/>
    <m/>
    <m/>
    <s v="Нет"/>
    <s v="Нет"/>
    <m/>
  </r>
  <r>
    <d v="2025-12-04T12:24:32"/>
    <s v="МБОУ ДО ДЮСШ СЕЛА НЕВЕРКИНО"/>
    <x v="4"/>
    <x v="21"/>
    <s v="Неверкино"/>
    <s v="Неверкино, ул. Комсомольская, 31"/>
    <s v="(84164) 2-18-46"/>
    <s v="dysh-nevr@mail.ru"/>
    <s v="ДО"/>
    <s v="Нет"/>
    <n v="40"/>
    <x v="0"/>
    <x v="1"/>
    <x v="0"/>
    <x v="0"/>
    <n v="0"/>
    <n v="0"/>
    <n v="0"/>
    <n v="0"/>
    <n v="0"/>
    <n v="0"/>
    <n v="5"/>
    <n v="5"/>
    <n v="0"/>
    <n v="0"/>
    <n v="0"/>
    <n v="0"/>
    <s v="До 10 лет, До 12 лет, До 13 лет"/>
    <s v="Да"/>
    <s v="Нет"/>
    <n v="1"/>
    <n v="0"/>
    <s v="-"/>
    <m/>
    <m/>
    <m/>
    <m/>
    <s v="Нет"/>
    <s v="Нет"/>
    <m/>
  </r>
  <r>
    <d v="2025-11-14T10:53:20"/>
    <s v="МБУДО &quot;ДЮСШ&quot; Никольского района"/>
    <x v="4"/>
    <x v="21"/>
    <s v="Никольск"/>
    <s v="г.Никольск, ул.Театральная, 14"/>
    <n v="88416542301"/>
    <s v="dush_89@mail.ru"/>
    <s v="ДЮСШ"/>
    <s v="Нет"/>
    <n v="45"/>
    <x v="65"/>
    <x v="1"/>
    <x v="0"/>
    <x v="0"/>
    <n v="0"/>
    <n v="1"/>
    <n v="1"/>
    <n v="1"/>
    <n v="0"/>
    <n v="1"/>
    <n v="0"/>
    <n v="0"/>
    <n v="0"/>
    <n v="0"/>
    <n v="0"/>
    <n v="0"/>
    <s v="Соревновательной практики достаточно"/>
    <s v="Да"/>
    <s v="Да"/>
    <n v="1"/>
    <n v="0"/>
    <n v="0"/>
    <m/>
    <m/>
    <m/>
    <m/>
    <s v="Да"/>
    <s v="Нет"/>
    <s v="нет"/>
  </r>
  <r>
    <d v="2025-11-14T11:34:32"/>
    <s v="МБУ ДО СШ №8 г. Пензы"/>
    <x v="4"/>
    <x v="21"/>
    <s v="Пенза"/>
    <s v="440023, г.Пенза, ул.Стрельбищенская,15"/>
    <s v="(8-841-2)32-94-90"/>
    <s v="dush8pnz@yandex.ru"/>
    <s v="СШ"/>
    <s v="ДФЦ"/>
    <n v="714"/>
    <x v="52"/>
    <x v="1"/>
    <x v="0"/>
    <x v="0"/>
    <n v="0"/>
    <n v="0"/>
    <n v="0"/>
    <n v="0"/>
    <n v="1"/>
    <n v="16"/>
    <n v="14"/>
    <n v="14"/>
    <n v="5"/>
    <n v="6"/>
    <n v="7"/>
    <n v="0"/>
    <s v="До 10 лет, До 12 лет, До 13 лет, До 15 лет, До 17 лет"/>
    <s v="Да"/>
    <s v="Да"/>
    <n v="4"/>
    <n v="0"/>
    <s v="нет"/>
    <m/>
    <m/>
    <m/>
    <m/>
    <s v="Да"/>
    <s v="Нет"/>
    <s v="нет"/>
  </r>
  <r>
    <d v="2025-12-03T15:17:00"/>
    <s v="ФК Торпедо"/>
    <x v="4"/>
    <x v="21"/>
    <s v="Пенза"/>
    <s v="Пенза"/>
    <n v="89273613099"/>
    <n v="1"/>
    <s v="частный клуб"/>
    <s v="Нет"/>
    <n v="47"/>
    <x v="19"/>
    <x v="1"/>
    <x v="0"/>
    <x v="0"/>
    <n v="0"/>
    <n v="0"/>
    <n v="0"/>
    <n v="0"/>
    <n v="3"/>
    <n v="3"/>
    <n v="0"/>
    <n v="0"/>
    <n v="0"/>
    <n v="0"/>
    <n v="0"/>
    <n v="0"/>
    <s v="До 10 лет, До 12 лет, До 13 лет, До 15 лет, До 17 лет, До 19 лет"/>
    <s v="Да"/>
    <s v="Нет"/>
    <n v="1"/>
    <n v="0"/>
    <s v="да"/>
    <m/>
    <m/>
    <m/>
    <m/>
    <s v="Нет"/>
    <s v="Нет"/>
    <s v="в регионе нет соревнований для девочек"/>
  </r>
  <r>
    <d v="2025-12-01T16:19:31"/>
    <s v="Лагуна-Уор"/>
    <x v="4"/>
    <x v="21"/>
    <s v="Пенза"/>
    <s v="Попова 38Ак1"/>
    <n v="89870724033"/>
    <s v="mfclaguna@yandex.ru"/>
    <s v="частный мини - клуб"/>
    <s v="Нет"/>
    <n v="78"/>
    <x v="82"/>
    <x v="2"/>
    <x v="10"/>
    <x v="10"/>
    <n v="25"/>
    <n v="21"/>
    <n v="0"/>
    <n v="0"/>
    <n v="0"/>
    <n v="0"/>
    <n v="0"/>
    <n v="0"/>
    <n v="0"/>
    <n v="0"/>
    <n v="0"/>
    <n v="0"/>
    <s v="До 17 лет, До 19 лет"/>
    <s v="Нет"/>
    <s v="Нет"/>
    <n v="2"/>
    <n v="0"/>
    <n v="0"/>
    <m/>
    <m/>
    <m/>
    <m/>
    <s v="Да"/>
    <s v="Да"/>
    <m/>
  </r>
  <r>
    <d v="2025-11-19T11:37:16"/>
    <s v="МАУ ЦРФ Зенит "/>
    <x v="4"/>
    <x v="21"/>
    <s v="Пенза"/>
    <s v="Ул. Г.Титова, 3а"/>
    <n v="33136"/>
    <s v="info@zenit-penza.ru"/>
    <s v="СШ"/>
    <s v="ДФЦ"/>
    <n v="667"/>
    <x v="11"/>
    <x v="1"/>
    <x v="0"/>
    <x v="0"/>
    <n v="0"/>
    <n v="0"/>
    <n v="0"/>
    <n v="0"/>
    <n v="0"/>
    <n v="0"/>
    <n v="0"/>
    <n v="0"/>
    <n v="0"/>
    <n v="0"/>
    <n v="1"/>
    <n v="0"/>
    <s v="До 10 лет, До 12 лет"/>
    <s v="Да"/>
    <s v="Да"/>
    <n v="1"/>
    <n v="0"/>
    <s v="Алдаев С.В. С-УЕФА"/>
    <n v="1"/>
    <m/>
    <m/>
    <m/>
    <s v="Да"/>
    <s v="Нет"/>
    <m/>
  </r>
  <r>
    <d v="2025-11-19T12:18:55"/>
    <s v="МУДО,,ЦРФКС,,"/>
    <x v="4"/>
    <x v="22"/>
    <s v="Волжск"/>
    <s v="ул.Либкнехта,д.128"/>
    <s v="6-82-77"/>
    <s v="vol.crfks@mari-el.gov.ru"/>
    <s v=" Центр развития физической культуры и спортай"/>
    <s v="Нет"/>
    <n v="350"/>
    <x v="59"/>
    <x v="1"/>
    <x v="0"/>
    <x v="0"/>
    <n v="0"/>
    <n v="0"/>
    <n v="0"/>
    <n v="0"/>
    <n v="5"/>
    <n v="4"/>
    <n v="2"/>
    <n v="8"/>
    <n v="5"/>
    <n v="0"/>
    <n v="0"/>
    <n v="0"/>
    <s v="Соревновательной практики достаточно"/>
    <s v="Да"/>
    <s v="Да"/>
    <n v="1"/>
    <n v="0"/>
    <s v="Нет"/>
    <m/>
    <m/>
    <m/>
    <m/>
    <s v="Да"/>
    <s v="Нет"/>
    <m/>
  </r>
  <r>
    <d v="2025-11-21T10:33:42"/>
    <s v="Фк Титан Йошкар-Ола"/>
    <x v="4"/>
    <x v="22"/>
    <s v="Йошкар-Ола"/>
    <s v="Йошкар-Ола кремлёвская 4"/>
    <n v="9177090461"/>
    <s v="saenko.a.o@yandex.ru"/>
    <s v="Частная школа"/>
    <s v="Нет"/>
    <n v="250"/>
    <x v="0"/>
    <x v="1"/>
    <x v="0"/>
    <x v="0"/>
    <n v="0"/>
    <n v="0"/>
    <n v="0"/>
    <n v="0"/>
    <n v="0"/>
    <n v="0"/>
    <n v="0"/>
    <n v="0"/>
    <n v="0"/>
    <n v="5"/>
    <n v="0"/>
    <n v="5"/>
    <s v="До 10 лет, До 12 лет"/>
    <s v="Да"/>
    <s v="Да"/>
    <n v="1"/>
    <n v="0"/>
    <s v="Саенко Алексей Олегович (нет)"/>
    <m/>
    <m/>
    <m/>
    <m/>
    <s v="Нет"/>
    <s v="Нет"/>
    <m/>
  </r>
  <r>
    <d v="2025-11-14T11:51:02"/>
    <s v="ГБУ ДО РМЭ &quot;СШ по футболу и регби&quot;"/>
    <x v="4"/>
    <x v="22"/>
    <s v="Йошкар-Ола"/>
    <s v="РМЭ, г. Йошкар-Ола, Воскресенский проспект, д. 5"/>
    <n v="89030509030"/>
    <s v="sshorfr12@mail.ru"/>
    <s v="СШ"/>
    <s v="Нет"/>
    <n v="700"/>
    <x v="45"/>
    <x v="1"/>
    <x v="0"/>
    <x v="0"/>
    <n v="0"/>
    <n v="14"/>
    <n v="0"/>
    <n v="0"/>
    <n v="0"/>
    <n v="14"/>
    <n v="0"/>
    <n v="0"/>
    <n v="0"/>
    <n v="0"/>
    <n v="0"/>
    <n v="0"/>
    <s v="До 10 лет, До 12 лет, До 13 лет, До 15 лет, До 17 лет, До 19 лет"/>
    <s v="Нет"/>
    <s v="Нет"/>
    <n v="1"/>
    <n v="0"/>
    <s v="комаров нп"/>
    <m/>
    <m/>
    <m/>
    <m/>
    <s v="Да"/>
    <s v="Нет"/>
    <m/>
  </r>
  <r>
    <d v="2025-11-18T11:46:45"/>
    <s v="МБОУДО &quot;Дворец спорта &quot;Олимп&quot;"/>
    <x v="4"/>
    <x v="22"/>
    <s v="Йошкар-Ола"/>
    <s v="ул. Красноармейская, д. 14"/>
    <s v="8 (8362) 455707"/>
    <s v="dush_olimp@mail.ru"/>
    <s v="Муниципальное бюджетное образовательное учреждение дополнительного образования"/>
    <s v="Нет"/>
    <n v="37"/>
    <x v="31"/>
    <x v="1"/>
    <x v="0"/>
    <x v="0"/>
    <n v="0"/>
    <n v="0"/>
    <n v="0"/>
    <n v="0"/>
    <n v="5"/>
    <n v="6"/>
    <n v="6"/>
    <n v="10"/>
    <n v="4"/>
    <n v="4"/>
    <n v="2"/>
    <n v="0"/>
    <s v="До 10 лет, До 12 лет, До 13 лет"/>
    <s v="Нет"/>
    <s v="Нет"/>
    <n v="1"/>
    <n v="0"/>
    <s v="нет"/>
    <m/>
    <m/>
    <m/>
    <m/>
    <s v="Да"/>
    <s v="Да"/>
    <m/>
  </r>
  <r>
    <d v="2025-11-19T19:00:09"/>
    <s v="ШСК &quot;Луч&quot;"/>
    <x v="4"/>
    <x v="22"/>
    <s v="Йошкар-Ола "/>
    <s v="Медицинская 5"/>
    <n v="79177036694"/>
    <s v="Vovan7373@list.ru"/>
    <s v="ШСК"/>
    <s v="Нет"/>
    <n v="35"/>
    <x v="34"/>
    <x v="1"/>
    <x v="0"/>
    <x v="0"/>
    <n v="0"/>
    <n v="0"/>
    <n v="5"/>
    <n v="0"/>
    <n v="2"/>
    <n v="2"/>
    <n v="1"/>
    <n v="5"/>
    <n v="0"/>
    <n v="3"/>
    <n v="3"/>
    <n v="0"/>
    <s v="Вообще нет"/>
    <s v="Нет"/>
    <s v="Нет"/>
    <n v="1"/>
    <n v="0"/>
    <s v="Михайлов ВВ, нет"/>
    <m/>
    <m/>
    <m/>
    <m/>
    <s v="Нет"/>
    <s v="Нет"/>
    <s v="Удачи нам"/>
  </r>
  <r>
    <d v="2025-11-20T17:38:47"/>
    <s v="ГБУ ДО Республики Марий Эл &lt;Спортивно-адаптивная школа паралимпийского резерва&gt;"/>
    <x v="4"/>
    <x v="22"/>
    <s v="Йошкар-Ола "/>
    <s v="Республика Марий Эл, город Йошка-Ола, улица Карла Маркса дом 105"/>
    <n v="88362428040"/>
    <s v="Fslin_rme@mail.ru"/>
    <s v="САШПР"/>
    <s v="Нет"/>
    <n v="50"/>
    <x v="34"/>
    <x v="1"/>
    <x v="0"/>
    <x v="0"/>
    <n v="0"/>
    <n v="5"/>
    <n v="2"/>
    <n v="5"/>
    <n v="4"/>
    <n v="5"/>
    <n v="0"/>
    <n v="0"/>
    <n v="0"/>
    <n v="0"/>
    <n v="0"/>
    <n v="0"/>
    <s v="До 17 лет"/>
    <s v="Да"/>
    <s v="Да"/>
    <n v="2"/>
    <n v="0"/>
    <n v="0"/>
    <m/>
    <m/>
    <m/>
    <m/>
    <s v="Да"/>
    <s v="Нет"/>
    <s v="нет"/>
  </r>
  <r>
    <d v="2025-11-19T22:24:02"/>
    <s v="Футбольный клуб Восход"/>
    <x v="4"/>
    <x v="22"/>
    <s v="Красногорский "/>
    <s v="РМЭ, Звениговский район, Красногорский,Центральная,дом 1а"/>
    <n v="89613770801"/>
    <s v="ivan.sazonov13@yandex.ru"/>
    <s v="СШ"/>
    <s v="ДФЦ"/>
    <n v="220"/>
    <x v="38"/>
    <x v="1"/>
    <x v="0"/>
    <x v="0"/>
    <n v="0"/>
    <n v="0"/>
    <n v="5"/>
    <n v="5"/>
    <n v="5"/>
    <n v="5"/>
    <n v="5"/>
    <n v="5"/>
    <n v="5"/>
    <n v="6"/>
    <n v="5"/>
    <n v="7"/>
    <s v="До 10 лет, До 12 лет, До 13 лет"/>
    <s v="Да"/>
    <s v="Да"/>
    <n v="2"/>
    <n v="0"/>
    <s v="Сазонов И.Д._x000a_Сазонов М.Д."/>
    <m/>
    <m/>
    <m/>
    <m/>
    <s v="Да"/>
    <s v="Нет"/>
    <m/>
  </r>
  <r>
    <d v="2025-12-01T16:07:29"/>
    <s v="ФК Медведево "/>
    <x v="4"/>
    <x v="22"/>
    <s v="Медведево "/>
    <s v="Советская 31 а"/>
    <n v="89278760404"/>
    <s v="Wfc.Medvedevo@mail.ru"/>
    <s v="частный клуб"/>
    <s v="Нет"/>
    <n v="300"/>
    <x v="80"/>
    <x v="1"/>
    <x v="0"/>
    <x v="0"/>
    <n v="0"/>
    <n v="0"/>
    <n v="10"/>
    <n v="10"/>
    <n v="10"/>
    <n v="10"/>
    <n v="10"/>
    <n v="10"/>
    <n v="10"/>
    <n v="10"/>
    <n v="10"/>
    <n v="10"/>
    <m/>
    <s v="Да"/>
    <s v="Нет"/>
    <n v="2"/>
    <n v="0"/>
    <s v="нет"/>
    <m/>
    <m/>
    <m/>
    <m/>
    <s v="Да"/>
    <s v="Нет"/>
    <m/>
  </r>
  <r>
    <d v="2025-11-16T20:08:42"/>
    <s v="АНО ДФК «Витязь»"/>
    <x v="4"/>
    <x v="22"/>
    <s v="Медведево "/>
    <s v="РМЭ, пгт. Медведево"/>
    <n v="89991456208"/>
    <s v="nastichka_14@mail.ru"/>
    <s v="ДСК"/>
    <s v="Нет"/>
    <n v="120"/>
    <x v="81"/>
    <x v="1"/>
    <x v="0"/>
    <x v="0"/>
    <n v="0"/>
    <n v="0"/>
    <n v="1"/>
    <n v="5"/>
    <n v="4"/>
    <n v="8"/>
    <n v="2"/>
    <n v="3"/>
    <n v="0"/>
    <n v="1"/>
    <n v="2"/>
    <n v="0"/>
    <s v="До 10 лет, До 12 лет, До 13 лет, До 15 лет"/>
    <s v="Да"/>
    <s v="Нет"/>
    <n v="2"/>
    <n v="1"/>
    <s v="Пегенеев Сергей Витальевич, Рахматуллина Анастасия Рауфовна"/>
    <m/>
    <m/>
    <m/>
    <m/>
    <s v="Нет"/>
    <s v="Нет"/>
    <m/>
  </r>
  <r>
    <d v="2025-11-20T09:12:38"/>
    <s v="Муниципальное бюджетное образовательное учреждение дополнительного образования &quot;Параньгинский Центр по развитию физкультуры и спорта&quot;"/>
    <x v="4"/>
    <x v="22"/>
    <s v="Параньга"/>
    <s v="425570, Республика Марий Эл, п. Параньга, ул. Колхозная, д.21а"/>
    <n v="8363943310"/>
    <s v="par.crfs@mari-el.gov.ru    "/>
    <s v="ЦРФС"/>
    <s v="Нет"/>
    <n v="154"/>
    <x v="15"/>
    <x v="1"/>
    <x v="0"/>
    <x v="0"/>
    <n v="1"/>
    <n v="2"/>
    <n v="5"/>
    <n v="4"/>
    <n v="2"/>
    <n v="4"/>
    <n v="3"/>
    <n v="3"/>
    <n v="1"/>
    <n v="0"/>
    <n v="0"/>
    <n v="0"/>
    <s v="До 10 лет"/>
    <s v="Да"/>
    <s v="Да"/>
    <n v="1"/>
    <n v="0"/>
    <n v="0"/>
    <m/>
    <m/>
    <m/>
    <m/>
    <s v="Нет"/>
    <s v="Нет"/>
    <m/>
  </r>
  <r>
    <d v="2025-12-01T08:58:04"/>
    <s v="МБУДО  &quot;Юринский центр по развитию физкультуры и спорта&quot;"/>
    <x v="4"/>
    <x v="22"/>
    <s v="Юрино"/>
    <s v=" Центральный проспект 5"/>
    <n v="89024315814"/>
    <s v="yurino-d@yandex.ru"/>
    <s v="МБУ ДО"/>
    <s v="Нет"/>
    <n v="120"/>
    <x v="15"/>
    <x v="1"/>
    <x v="0"/>
    <x v="0"/>
    <n v="0"/>
    <n v="0"/>
    <n v="0"/>
    <n v="5"/>
    <n v="5"/>
    <n v="5"/>
    <n v="5"/>
    <n v="5"/>
    <n v="0"/>
    <n v="0"/>
    <n v="0"/>
    <n v="0"/>
    <s v="До 10 лет, До 12 лет, До 13 лет, До 15 лет, До 17 лет"/>
    <s v="Да"/>
    <s v="Да"/>
    <n v="2"/>
    <n v="0"/>
    <s v="нет"/>
    <m/>
    <m/>
    <m/>
    <m/>
    <s v="Да"/>
    <s v="Нет"/>
    <m/>
  </r>
  <r>
    <d v="2025-11-18T14:58:38"/>
    <s v="МБУДО &quot;Ардатовская ДЮСШ&quot;"/>
    <x v="4"/>
    <x v="23"/>
    <s v="Ардатов"/>
    <s v="431860 РМ. г. Ардатов. пер .Л.Толстого дом 2/3"/>
    <s v="8(83431)31055"/>
    <s v="ardatovsport@mail.ru"/>
    <s v="ДЮСШ"/>
    <s v="Нет"/>
    <n v="217"/>
    <x v="48"/>
    <x v="1"/>
    <x v="0"/>
    <x v="0"/>
    <n v="0"/>
    <n v="0"/>
    <n v="8"/>
    <n v="8"/>
    <n v="7"/>
    <n v="8"/>
    <n v="9"/>
    <n v="4"/>
    <n v="0"/>
    <n v="0"/>
    <n v="0"/>
    <n v="0"/>
    <s v="Соревновательной практики достаточно"/>
    <s v="Да"/>
    <s v="Да"/>
    <n v="3"/>
    <n v="0"/>
    <s v="нет"/>
    <m/>
    <m/>
    <m/>
    <m/>
    <s v="Да"/>
    <s v="Нет"/>
    <m/>
  </r>
  <r>
    <d v="2025-12-02T14:41:51"/>
    <s v="ГАУ РМ &quot;РСТЦ &quot;Старт&quot;"/>
    <x v="4"/>
    <x v="23"/>
    <s v="Ардатов"/>
    <s v="г"/>
    <n v="89271849559"/>
    <s v="alex-elizarov82@yandex.ru"/>
    <s v="СК"/>
    <s v="Нет"/>
    <n v="95"/>
    <x v="30"/>
    <x v="1"/>
    <x v="0"/>
    <x v="0"/>
    <n v="0"/>
    <n v="0"/>
    <n v="0"/>
    <n v="0"/>
    <n v="0"/>
    <n v="5"/>
    <n v="5"/>
    <n v="5"/>
    <n v="5"/>
    <n v="5"/>
    <n v="5"/>
    <n v="0"/>
    <m/>
    <s v="Да"/>
    <s v="Нет"/>
    <n v="1"/>
    <n v="0"/>
    <s v="-"/>
    <m/>
    <m/>
    <m/>
    <m/>
    <s v="Нет"/>
    <s v="Нет"/>
    <m/>
  </r>
  <r>
    <d v="2025-12-01T16:13:27"/>
    <s v="ДЮСШ&quot; МБООДОДО"/>
    <x v="4"/>
    <x v="23"/>
    <s v="Ельники"/>
    <s v="Ельниковский район,с.Ельники,пер.Южный д7"/>
    <n v="88344426243"/>
    <s v="elnikovskaya.diussh@mail.ru"/>
    <s v="ДЮСШ"/>
    <s v="Нет"/>
    <n v="125"/>
    <x v="35"/>
    <x v="1"/>
    <x v="0"/>
    <x v="0"/>
    <n v="0"/>
    <n v="0"/>
    <n v="0"/>
    <n v="0"/>
    <n v="0"/>
    <n v="4"/>
    <n v="10"/>
    <n v="7"/>
    <n v="0"/>
    <n v="6"/>
    <n v="0"/>
    <n v="0"/>
    <m/>
    <s v="Да"/>
    <s v="Нет"/>
    <n v="1"/>
    <n v="0"/>
    <n v="0"/>
    <m/>
    <m/>
    <m/>
    <m/>
    <s v="Нет"/>
    <s v="Нет"/>
    <m/>
  </r>
  <r>
    <d v="2025-11-21T11:34:21"/>
    <s v="Мбудо инсарская спортивная школа"/>
    <x v="4"/>
    <x v="23"/>
    <s v="Инсар"/>
    <s v="Семашко 13"/>
    <s v="2-22-26"/>
    <s v="Insar.djussh@yandex.ru "/>
    <s v="ДЮСШ"/>
    <s v="Нет"/>
    <n v="50"/>
    <x v="0"/>
    <x v="1"/>
    <x v="0"/>
    <x v="1"/>
    <n v="1"/>
    <n v="0"/>
    <n v="2"/>
    <n v="0"/>
    <n v="1"/>
    <n v="2"/>
    <n v="0"/>
    <n v="1"/>
    <n v="0"/>
    <n v="0"/>
    <n v="0"/>
    <n v="0"/>
    <s v="Соревновательной практики достаточно"/>
    <s v="Да"/>
    <s v="Да"/>
    <n v="1"/>
    <n v="0"/>
    <s v="Душутин С.В  категория D"/>
    <n v="1"/>
    <m/>
    <m/>
    <m/>
    <s v="Да"/>
    <s v="Нет"/>
    <m/>
  </r>
  <r>
    <d v="2025-12-01T14:56:58"/>
    <s v="МБУ ДО &quot;ДЮСШ им. А.И. Тюрева&quot; Ковылкинского муниципального района"/>
    <x v="4"/>
    <x v="23"/>
    <s v="Ковылкино"/>
    <s v="ул. Королева д.2"/>
    <n v="88345342227"/>
    <s v="kov-sportshkola@yandex.ru "/>
    <s v="ДО"/>
    <s v="Нет"/>
    <n v="250"/>
    <x v="83"/>
    <x v="1"/>
    <x v="0"/>
    <x v="8"/>
    <n v="10"/>
    <n v="10"/>
    <n v="10"/>
    <n v="10"/>
    <n v="10"/>
    <n v="10"/>
    <n v="10"/>
    <n v="10"/>
    <n v="8"/>
    <n v="0"/>
    <n v="0"/>
    <n v="0"/>
    <m/>
    <s v="Нет"/>
    <s v="Нет"/>
    <n v="2"/>
    <n v="1"/>
    <s v="Глушичкин Д. В. С"/>
    <m/>
    <m/>
    <m/>
    <m/>
    <s v="Нет"/>
    <s v="Нет"/>
    <m/>
  </r>
  <r>
    <d v="2025-12-01T15:00:51"/>
    <s v="МБУДО &quot;Ичалковская ДЮСШ&quot;"/>
    <x v="4"/>
    <x v="23"/>
    <s v="Рождествено"/>
    <s v="РМ, Ичалковский район, Рождествено, ул. Перомайская, 139"/>
    <s v="88 3433 2-16-63"/>
    <s v="ichalcki.sportshkola@yandex.ru"/>
    <s v="ДЮСШ"/>
    <s v="Нет"/>
    <n v="100"/>
    <x v="84"/>
    <x v="1"/>
    <x v="0"/>
    <x v="0"/>
    <n v="0"/>
    <n v="0"/>
    <n v="0"/>
    <n v="10"/>
    <n v="0"/>
    <n v="10"/>
    <n v="5"/>
    <n v="5"/>
    <n v="10"/>
    <n v="5"/>
    <n v="0"/>
    <n v="0"/>
    <m/>
    <s v="Да"/>
    <s v="Нет"/>
    <n v="1"/>
    <n v="0"/>
    <n v="0"/>
    <m/>
    <m/>
    <m/>
    <m/>
    <s v="Нет"/>
    <s v="Нет"/>
    <m/>
  </r>
  <r>
    <d v="2025-11-14T14:28:21"/>
    <s v="Некоммерческое партнерство &quot;Межрегиональный центр подготовки юных футболистов Приволжья &quot;Мордовия&quot;"/>
    <x v="4"/>
    <x v="23"/>
    <s v="Саранск"/>
    <s v="Республика Мордовия ,г.Саранск ,ул.Красная д.22"/>
    <n v="9271836677"/>
    <s v="centermordovia@mail.ru"/>
    <s v="Некоммерческое партнерство"/>
    <s v="ДФЦ"/>
    <n v="950"/>
    <x v="85"/>
    <x v="1"/>
    <x v="0"/>
    <x v="2"/>
    <n v="2"/>
    <n v="0"/>
    <n v="7"/>
    <n v="6"/>
    <n v="6"/>
    <n v="5"/>
    <n v="18"/>
    <n v="11"/>
    <n v="9"/>
    <n v="3"/>
    <n v="2"/>
    <n v="0"/>
    <s v="Соревновательной практики достаточно"/>
    <s v="Да"/>
    <s v="Да"/>
    <n v="4"/>
    <n v="1"/>
    <s v="Гадышева В.С., Сазанов Н.Н., Роговик В.А.,Душутин С.В."/>
    <m/>
    <m/>
    <m/>
    <m/>
    <s v="Да"/>
    <s v="Нет"/>
    <s v="Нет"/>
  </r>
  <r>
    <d v="2025-11-19T16:03:45"/>
    <s v="МБУДО &quot;Центр доп образавания&quot; Теньгушевского района Республики Мордовия"/>
    <x v="4"/>
    <x v="23"/>
    <s v="Теньгушево"/>
    <s v="Республика Мордовия, с. Теньгушево, Коммунистическая 30"/>
    <n v="88344629134"/>
    <s v=" mdv83sport@yandex.ru"/>
    <s v="Центр дополнительного образования"/>
    <s v="Нет"/>
    <n v="60"/>
    <x v="28"/>
    <x v="1"/>
    <x v="0"/>
    <x v="0"/>
    <n v="0"/>
    <n v="0"/>
    <n v="1"/>
    <n v="5"/>
    <n v="9"/>
    <n v="3"/>
    <n v="8"/>
    <n v="4"/>
    <n v="0"/>
    <n v="3"/>
    <n v="0"/>
    <n v="0"/>
    <s v="До 10 лет, До 12 лет, До 13 лет, До 15 лет"/>
    <s v="Да"/>
    <s v="Нет"/>
    <n v="1"/>
    <n v="0"/>
    <n v="0"/>
    <m/>
    <m/>
    <m/>
    <m/>
    <s v="Да"/>
    <s v="Нет"/>
    <s v="Нет"/>
  </r>
  <r>
    <d v="2025-11-19T15:09:04"/>
    <s v="МБУ ДО &quot;ДЮСШ&quot;"/>
    <x v="4"/>
    <x v="23"/>
    <s v="Краснослободск"/>
    <s v="РМ, г. Краснослободск, пер. Кировский, д. 10"/>
    <n v="88344324513"/>
    <s v="sport-k@inbox.ru"/>
    <s v="ДЮСШ"/>
    <s v="Нет"/>
    <n v="190"/>
    <x v="34"/>
    <x v="1"/>
    <x v="0"/>
    <x v="0"/>
    <n v="0"/>
    <n v="0"/>
    <n v="0"/>
    <n v="0"/>
    <n v="0"/>
    <n v="6"/>
    <n v="10"/>
    <n v="2"/>
    <n v="3"/>
    <n v="0"/>
    <n v="0"/>
    <n v="0"/>
    <s v="До 10 лет, До 12 лет, До 13 лет"/>
    <s v="Да"/>
    <s v="Нет"/>
    <n v="3"/>
    <n v="2"/>
    <n v="0"/>
    <m/>
    <m/>
    <m/>
    <m/>
    <s v="Да"/>
    <s v="Нет"/>
    <s v="-"/>
  </r>
  <r>
    <d v="2025-11-14T11:07:25"/>
    <s v="МБУ ДО &quot;ДЮСШ&quot;"/>
    <x v="4"/>
    <x v="23"/>
    <s v="Рузаевка"/>
    <s v="Республика Мордовия, г. Рузаевка, Фабричный пер., д.17А"/>
    <n v="8345122545"/>
    <s v="dush-ruz@yandex.ru"/>
    <s v="ДЮСШ"/>
    <s v="Нет"/>
    <n v="346"/>
    <x v="70"/>
    <x v="1"/>
    <x v="0"/>
    <x v="0"/>
    <n v="3"/>
    <n v="5"/>
    <n v="9"/>
    <n v="7"/>
    <n v="10"/>
    <n v="0"/>
    <n v="1"/>
    <n v="0"/>
    <n v="3"/>
    <n v="10"/>
    <n v="0"/>
    <n v="0"/>
    <s v="Соревновательной практики достаточно"/>
    <s v="Нет"/>
    <s v="Нет"/>
    <n v="1"/>
    <n v="1"/>
    <s v="Заренина Ольга Аркадьевна"/>
    <m/>
    <m/>
    <m/>
    <m/>
    <s v="Нет"/>
    <s v="Нет"/>
    <m/>
  </r>
  <r>
    <d v="2025-12-02T14:39:05"/>
    <s v="Олимп"/>
    <x v="4"/>
    <x v="24"/>
    <s v="Елабуга"/>
    <s v="Тази Гиззата 29"/>
    <n v="79279339598"/>
    <s v="Olymp.elabuga@mail.ru"/>
    <s v="СК"/>
    <s v="Нет"/>
    <n v="112"/>
    <x v="24"/>
    <x v="1"/>
    <x v="0"/>
    <x v="0"/>
    <n v="0"/>
    <n v="0"/>
    <n v="0"/>
    <n v="0"/>
    <n v="0"/>
    <n v="10"/>
    <n v="10"/>
    <n v="10"/>
    <n v="6"/>
    <n v="0"/>
    <n v="0"/>
    <n v="0"/>
    <m/>
    <s v="Да"/>
    <s v="Нет"/>
    <n v="1"/>
    <n v="0"/>
    <n v="0"/>
    <m/>
    <m/>
    <m/>
    <m/>
    <s v="Нет"/>
    <s v="Нет"/>
    <m/>
  </r>
  <r>
    <d v="2025-11-17T14:17:20"/>
    <s v="МБУ ДО &quot;Спортивная школа&quot; Аксубаевского МР РТ"/>
    <x v="4"/>
    <x v="24"/>
    <s v="Аксубаево"/>
    <s v="Республика Татарстан, Аксубаевский р-н, пгт. Аксубаево, ул. Раиса Беляева, д.2"/>
    <n v="88434428006"/>
    <s v="dysch1@mail.ru"/>
    <s v="СШ"/>
    <s v="Нет"/>
    <n v="106"/>
    <x v="30"/>
    <x v="1"/>
    <x v="0"/>
    <x v="0"/>
    <n v="0"/>
    <n v="0"/>
    <n v="4"/>
    <n v="4"/>
    <n v="6"/>
    <n v="4"/>
    <n v="2"/>
    <n v="4"/>
    <n v="4"/>
    <n v="2"/>
    <n v="0"/>
    <n v="0"/>
    <s v="Соревновательной практики достаточно"/>
    <s v="Нет"/>
    <s v="Нет"/>
    <n v="1"/>
    <n v="0"/>
    <s v="Не имеется"/>
    <m/>
    <m/>
    <m/>
    <m/>
    <s v="Да"/>
    <s v="Нет"/>
    <m/>
  </r>
  <r>
    <d v="2025-11-18T09:10:41"/>
    <s v="МАУ ДО &quot;Спортивная школа по футболу&quot; Альметьевского муниципального района Республики Татарстан"/>
    <x v="4"/>
    <x v="24"/>
    <s v="Альметьевск"/>
    <s v="Альметьевск, ул. Белоглазова, 62 а"/>
    <s v="8(8553)261-007"/>
    <s v="almfootball@mail.ru"/>
    <s v="СШ"/>
    <s v="ДФЦ"/>
    <n v="677"/>
    <x v="86"/>
    <x v="1"/>
    <x v="0"/>
    <x v="0"/>
    <n v="0"/>
    <n v="0"/>
    <n v="7"/>
    <n v="15"/>
    <n v="15"/>
    <n v="10"/>
    <n v="10"/>
    <n v="12"/>
    <n v="6"/>
    <n v="5"/>
    <n v="0"/>
    <n v="1"/>
    <s v="До 17 лет"/>
    <s v="Нет"/>
    <s v="Нет"/>
    <n v="2"/>
    <n v="0"/>
    <s v="Сухих А.И.С-УЕФА, Тимралеев Р.Р."/>
    <n v="1"/>
    <m/>
    <m/>
    <m/>
    <s v="Да"/>
    <s v="Да"/>
    <m/>
  </r>
  <r>
    <d v="2025-12-02T14:21:26"/>
    <s v="«Спортивная школа» Атнинского муниципального района РТ"/>
    <x v="4"/>
    <x v="24"/>
    <s v="Атня"/>
    <s v="Атнинский район, Большая Атня, улица Советская, дом 2 Б"/>
    <n v="88436921021"/>
    <s v="Sport.atnya@mail.ru"/>
    <s v="ДО"/>
    <s v="Нет"/>
    <n v="85"/>
    <x v="21"/>
    <x v="1"/>
    <x v="0"/>
    <x v="0"/>
    <n v="0"/>
    <n v="0"/>
    <n v="0"/>
    <n v="0"/>
    <n v="0"/>
    <n v="0"/>
    <n v="0"/>
    <n v="0"/>
    <n v="5"/>
    <n v="5"/>
    <n v="3"/>
    <n v="0"/>
    <m/>
    <s v="Да"/>
    <s v="Нет"/>
    <n v="1"/>
    <n v="0"/>
    <n v="0"/>
    <m/>
    <m/>
    <m/>
    <m/>
    <s v="Нет"/>
    <s v="Нет"/>
    <m/>
  </r>
  <r>
    <d v="2025-12-02T15:01:11"/>
    <s v="&quot;Спортивная школа&quot; Балтасинского муниципального района Республики Татарстан"/>
    <x v="4"/>
    <x v="24"/>
    <s v="Балтаси"/>
    <s v="пгт Балтаси, ул. Наримана, д. 123"/>
    <n v="89655919111"/>
    <s v="sportschool.blt@tatar.ru"/>
    <s v="ДЮСШ"/>
    <s v="Нет"/>
    <n v="115"/>
    <x v="87"/>
    <x v="1"/>
    <x v="0"/>
    <x v="0"/>
    <n v="0"/>
    <n v="0"/>
    <n v="0"/>
    <n v="0"/>
    <n v="4"/>
    <n v="9"/>
    <n v="12"/>
    <n v="10"/>
    <n v="6"/>
    <n v="5"/>
    <n v="5"/>
    <n v="5"/>
    <m/>
    <s v="Да"/>
    <s v="Да"/>
    <n v="1"/>
    <n v="0"/>
    <s v="-"/>
    <m/>
    <m/>
    <m/>
    <m/>
    <s v="Нет"/>
    <s v="Нет"/>
    <s v="-"/>
  </r>
  <r>
    <d v="2025-12-01T09:10:53"/>
    <s v="МБОУ ДО &quot;Детский оздоровительно-образовательный центр&quot;"/>
    <x v="4"/>
    <x v="24"/>
    <s v="Болгар"/>
    <s v="Пионерская 40А"/>
    <n v="89274180898"/>
    <s v="spoklub@yandex.ru"/>
    <s v="ДО"/>
    <s v="Нет"/>
    <n v="75"/>
    <x v="0"/>
    <x v="1"/>
    <x v="0"/>
    <x v="0"/>
    <n v="0"/>
    <n v="0"/>
    <n v="0"/>
    <n v="0"/>
    <n v="0"/>
    <n v="5"/>
    <n v="5"/>
    <n v="0"/>
    <n v="0"/>
    <n v="0"/>
    <n v="0"/>
    <n v="0"/>
    <m/>
    <s v="Да"/>
    <s v="Да"/>
    <n v="1"/>
    <n v="0"/>
    <s v="-"/>
    <m/>
    <m/>
    <m/>
    <m/>
    <s v="Нет"/>
    <s v="Нет"/>
    <m/>
  </r>
  <r>
    <d v="2025-12-03T14:57:48"/>
    <s v="ЖФК Биектау"/>
    <x v="4"/>
    <x v="24"/>
    <s v="Высокая гора"/>
    <s v="высокая гора"/>
    <n v="89178889171"/>
    <m/>
    <s v="частный клуб"/>
    <s v="Нет"/>
    <n v="100"/>
    <x v="54"/>
    <x v="1"/>
    <x v="0"/>
    <x v="0"/>
    <n v="0"/>
    <n v="0"/>
    <n v="3"/>
    <n v="5"/>
    <n v="5"/>
    <n v="3"/>
    <n v="3"/>
    <n v="3"/>
    <n v="0"/>
    <n v="0"/>
    <n v="0"/>
    <n v="0"/>
    <s v="До 15 лет, До 17 лет"/>
    <s v="Нет"/>
    <s v="Нет"/>
    <n v="1"/>
    <n v="0"/>
    <s v="-"/>
    <m/>
    <m/>
    <m/>
    <m/>
    <s v="Нет"/>
    <s v="Нет"/>
    <s v="соревнования региональные, массовый футбол больше "/>
  </r>
  <r>
    <d v="2025-11-18T09:25:52"/>
    <s v="Муниципальное бюджетное учреждение дополнительного образования &quot;Спортивная школа №3&quot; Зеленодольского муниципального района Республики Татарстан "/>
    <x v="4"/>
    <x v="24"/>
    <s v="Зеленодольск"/>
    <s v="РТ, г.Зеленодольск, ул.Ленина, д.5"/>
    <s v="8843715-65-73"/>
    <s v="dyush@yandex.ru"/>
    <s v="СШ"/>
    <s v="ДФЦ"/>
    <n v="701"/>
    <x v="88"/>
    <x v="1"/>
    <x v="0"/>
    <x v="0"/>
    <n v="0"/>
    <n v="6"/>
    <n v="7"/>
    <n v="11"/>
    <n v="5"/>
    <n v="6"/>
    <n v="16"/>
    <n v="14"/>
    <n v="18"/>
    <n v="12"/>
    <n v="16"/>
    <n v="0"/>
    <s v="Соревновательной практики достаточно"/>
    <s v="Да"/>
    <s v="Нет"/>
    <n v="3"/>
    <n v="1"/>
    <s v="нет"/>
    <m/>
    <m/>
    <m/>
    <m/>
    <s v="Да"/>
    <s v="Да"/>
    <m/>
  </r>
  <r>
    <d v="2025-12-03T13:59:30"/>
    <s v="Рубин Юниор"/>
    <x v="4"/>
    <x v="24"/>
    <s v="Казань"/>
    <s v="Казань"/>
    <n v="89956878334"/>
    <s v="-"/>
    <s v="частная школа"/>
    <s v="Нет"/>
    <n v="100"/>
    <x v="14"/>
    <x v="1"/>
    <x v="0"/>
    <x v="0"/>
    <n v="0"/>
    <n v="0"/>
    <n v="0"/>
    <n v="0"/>
    <n v="0"/>
    <n v="0"/>
    <n v="4"/>
    <n v="4"/>
    <n v="0"/>
    <n v="0"/>
    <n v="3"/>
    <n v="0"/>
    <m/>
    <s v="Да"/>
    <s v="Да"/>
    <n v="1"/>
    <n v="0"/>
    <s v="да"/>
    <m/>
    <m/>
    <m/>
    <m/>
    <s v="Да"/>
    <s v="Нет"/>
    <m/>
  </r>
  <r>
    <d v="2025-11-18T08:41:22"/>
    <s v="МБУ ДО «СШ «ФСО “Центральный”» г. Казани СШ «Максат»"/>
    <x v="4"/>
    <x v="24"/>
    <s v="Казань"/>
    <s v="420101, Республика Татарстан, г.Казань, ул.Академика Парина, д.10"/>
    <s v="8(843) 2291930"/>
    <s v="maksat.school@tatar.ru"/>
    <s v="СШ"/>
    <s v="Нет"/>
    <n v="420"/>
    <x v="73"/>
    <x v="4"/>
    <x v="0"/>
    <x v="0"/>
    <n v="0"/>
    <n v="0"/>
    <n v="0"/>
    <n v="0"/>
    <n v="2"/>
    <n v="9"/>
    <n v="15"/>
    <n v="16"/>
    <n v="16"/>
    <n v="20"/>
    <n v="9"/>
    <n v="4"/>
    <s v="До 10 лет, До 12 лет"/>
    <s v="Нет"/>
    <s v="Нет"/>
    <n v="4"/>
    <n v="2"/>
    <s v="Васильева О.В. B-УЕФА"/>
    <m/>
    <n v="1"/>
    <m/>
    <m/>
    <s v="Да"/>
    <s v="Да"/>
    <m/>
  </r>
  <r>
    <d v="2025-11-14T14:00:09"/>
    <s v="МБУ &quot;СШ &quot;Савиново&quot;"/>
    <x v="4"/>
    <x v="24"/>
    <s v="Казань"/>
    <s v="Адоратского, д.36 Д"/>
    <s v="+7(939)-361-47-91"/>
    <s v="savinovofootball@gmail.com"/>
    <s v="СШ"/>
    <s v="Нет"/>
    <n v="335"/>
    <x v="30"/>
    <x v="1"/>
    <x v="0"/>
    <x v="0"/>
    <n v="0"/>
    <n v="0"/>
    <n v="0"/>
    <n v="1"/>
    <n v="4"/>
    <n v="4"/>
    <n v="5"/>
    <n v="13"/>
    <n v="2"/>
    <n v="1"/>
    <n v="0"/>
    <n v="0"/>
    <s v="До 12 лет"/>
    <s v="Нет"/>
    <s v="Нет"/>
    <n v="1"/>
    <n v="0"/>
    <s v="нет"/>
    <m/>
    <m/>
    <m/>
    <m/>
    <s v="Да"/>
    <s v="Да"/>
    <m/>
  </r>
  <r>
    <d v="2025-11-14T11:48:56"/>
    <s v="МБУ ДО &quot;СШ &quot;ФСО &quot;Стрела&quot;&quot; г. Казани"/>
    <x v="4"/>
    <x v="24"/>
    <s v="Казань"/>
    <s v="г. Казань, ул. Степана Халтурина 3"/>
    <s v="(843) 237-74-03"/>
    <s v="strela.basko@gmail.com"/>
    <s v="СШ"/>
    <s v="Нет"/>
    <n v="180"/>
    <x v="3"/>
    <x v="1"/>
    <x v="0"/>
    <x v="0"/>
    <n v="0"/>
    <n v="0"/>
    <n v="0"/>
    <n v="0"/>
    <n v="0"/>
    <n v="0"/>
    <n v="10"/>
    <n v="5"/>
    <n v="0"/>
    <n v="0"/>
    <n v="0"/>
    <n v="0"/>
    <s v="До 10 лет, До 12 лет"/>
    <s v="Да"/>
    <s v="Да"/>
    <n v="1"/>
    <n v="0"/>
    <s v="нет"/>
    <m/>
    <m/>
    <m/>
    <m/>
    <s v="Да"/>
    <s v="Нет"/>
    <m/>
  </r>
  <r>
    <d v="2025-11-14T14:01:37"/>
    <s v="МБУ ДО &quot;СШОР&quot; &quot;ФСО&quot; &quot;Идель&quot;&quot; г.Казани"/>
    <x v="4"/>
    <x v="24"/>
    <s v="Казань"/>
    <s v="г.Казань, ул.Джаудата Файзи,2а"/>
    <n v="88432376091"/>
    <s v="sdushor14@mail.ru"/>
    <s v="СШ"/>
    <s v="ДФЦ"/>
    <n v="476"/>
    <x v="89"/>
    <x v="4"/>
    <x v="1"/>
    <x v="4"/>
    <n v="5"/>
    <n v="7"/>
    <n v="2"/>
    <n v="13"/>
    <n v="20"/>
    <n v="18"/>
    <n v="21"/>
    <n v="26"/>
    <n v="17"/>
    <n v="32"/>
    <n v="6"/>
    <n v="1"/>
    <s v="До 10 лет, До 12 лет, До 13 лет, До 15 лет, До 17 лет"/>
    <s v="Нет"/>
    <s v="Нет"/>
    <n v="6"/>
    <n v="4"/>
    <s v="Хакимов Т.Б. С-УЕФА_x000a_Хакимова Э.Р. С-УЕФА_x000a_Сметанкина К.С С-УЕФА_x000a_Гаранина К.С. С-УЕФА"/>
    <n v="4"/>
    <m/>
    <m/>
    <m/>
    <s v="Нет"/>
    <s v="Нет"/>
    <m/>
  </r>
  <r>
    <d v="2025-11-18T10:26:55"/>
    <s v="ФК Рубин"/>
    <x v="4"/>
    <x v="24"/>
    <s v="Казань"/>
    <s v="Казань, ул. Копылова 2"/>
    <n v="88005501958"/>
    <s v="office@rubin-kazan.ru"/>
    <s v="академия ФК"/>
    <s v="Футбольная академия"/>
    <n v="292"/>
    <x v="90"/>
    <x v="15"/>
    <x v="1"/>
    <x v="11"/>
    <n v="11"/>
    <n v="12"/>
    <n v="14"/>
    <n v="12"/>
    <n v="12"/>
    <n v="11"/>
    <n v="10"/>
    <n v="15"/>
    <n v="15"/>
    <n v="6"/>
    <n v="5"/>
    <n v="2"/>
    <s v="До 10 лет, До 12 лет, До 13 лет, До 15 лет, До 17 лет"/>
    <s v="Нет"/>
    <s v="Нет"/>
    <n v="9"/>
    <n v="4"/>
    <s v="Ульянин И.А., Гилязетдинов А.Г. - B UEFA _x000a_Чернова А.Ю. - B UEFA вр_x000a_Мухутдинова Д.Э., Коваленко Г.В., Балыкова Ю.А.- B UEFA _x000a_Шагиахметов М.Э., Закирова Р.Ш.  Гаранина  К.С.- C UEFA_x000a_"/>
    <n v="1"/>
    <n v="3"/>
    <m/>
    <m/>
    <s v="Да"/>
    <s v="Да"/>
    <m/>
  </r>
  <r>
    <d v="2025-12-04T12:42:07"/>
    <s v="АФМ «СПАРТА»"/>
    <x v="4"/>
    <x v="24"/>
    <s v="Казань"/>
    <s v="Казань, ул. Лево-Булачная, 56/2, офис 10"/>
    <s v="8 (843) 203-92-25"/>
    <s v="afm-sparta@ya.ru"/>
    <s v="частная школа"/>
    <s v="Нет"/>
    <n v="90"/>
    <x v="66"/>
    <x v="1"/>
    <x v="0"/>
    <x v="0"/>
    <n v="0"/>
    <n v="0"/>
    <n v="0"/>
    <n v="0"/>
    <n v="0"/>
    <n v="0"/>
    <n v="0"/>
    <n v="2"/>
    <n v="2"/>
    <n v="2"/>
    <n v="1"/>
    <n v="0"/>
    <s v="До 10 лет, До 12 лет"/>
    <s v="Да"/>
    <s v="Нет"/>
    <n v="1"/>
    <n v="0"/>
    <s v="-"/>
    <m/>
    <m/>
    <m/>
    <m/>
    <s v="Да"/>
    <s v="Нет"/>
    <m/>
  </r>
  <r>
    <d v="2025-11-17T17:55:38"/>
    <s v="МБУ ДО &quot;СШОР &quot;ФСО &quot;Трудовые резервы&quot;&quot; г.Казани"/>
    <x v="4"/>
    <x v="24"/>
    <s v="Казань"/>
    <s v="РТ, г.Казань, ул.Н.Ершова, 7"/>
    <s v="8(843)236-24-85"/>
    <s v="shvahit25@mail.ru"/>
    <s v="СШ"/>
    <s v="ДФЦ"/>
    <n v="420"/>
    <x v="25"/>
    <x v="1"/>
    <x v="0"/>
    <x v="0"/>
    <n v="2"/>
    <n v="3"/>
    <n v="3"/>
    <n v="6"/>
    <n v="8"/>
    <n v="6"/>
    <n v="3"/>
    <n v="6"/>
    <n v="4"/>
    <n v="0"/>
    <n v="0"/>
    <n v="0"/>
    <s v="До 10 лет"/>
    <s v="Нет"/>
    <s v="Нет"/>
    <n v="2"/>
    <n v="0"/>
    <s v="Гилязетдинов А.Г. В-УЕФА"/>
    <m/>
    <n v="1"/>
    <m/>
    <m/>
    <s v="Да"/>
    <s v="Нет"/>
    <m/>
  </r>
  <r>
    <d v="2025-11-18T09:12:03"/>
    <s v="GirlPower"/>
    <x v="4"/>
    <x v="24"/>
    <s v="Казань"/>
    <s v="ул. Козина д.2"/>
    <n v="89655987430"/>
    <s v="teploservise@inbox.ru"/>
    <s v="АНО"/>
    <s v="Нет"/>
    <n v="20"/>
    <x v="15"/>
    <x v="23"/>
    <x v="0"/>
    <x v="0"/>
    <n v="1"/>
    <n v="0"/>
    <n v="0"/>
    <n v="0"/>
    <n v="0"/>
    <n v="0"/>
    <n v="0"/>
    <n v="0"/>
    <n v="0"/>
    <n v="0"/>
    <n v="0"/>
    <n v="0"/>
    <s v="Соревновательной практики достаточно"/>
    <s v="Нет"/>
    <s v="Нет"/>
    <n v="1"/>
    <n v="0"/>
    <s v="Саитов А.Р. "/>
    <m/>
    <m/>
    <m/>
    <m/>
    <s v="Нет"/>
    <s v="Нет"/>
    <s v="Здравствуйте. Мы единственная женская футбольная любительская команда, в г.Казань и думаю во всем Поволжском округе. Оплату футбольных матчей, полей для тренировок, тренера организовываем сами, частично закрываю я сам (Саитов А.Р). Нашей команде 5 лет. Мы участвуем во всех турнирах РТ футзал, 11х11 и от РФС  - первая лига 11х11 и 7х7. Очень хочется оставаться на плаву и помогать тем кто не может оплачивать тренировки. Если у Вас есть возможность помочь нам я буду очень рад. 89655987430 - Арсен руководитель команды GirlPower г.Казань"/>
  </r>
  <r>
    <d v="2025-11-20T16:08:56"/>
    <s v="АНО АФМ &quot;СПАРТА&quot; РТ"/>
    <x v="4"/>
    <x v="24"/>
    <s v="Казань"/>
    <s v="Ул. Лево-Булачная дом 56 офис 10"/>
    <s v="8 (843) 203-92-25"/>
    <s v="afm-sparta@yandex.ru"/>
    <s v="Коммерческий клуб"/>
    <s v="Нет"/>
    <n v="900"/>
    <x v="0"/>
    <x v="1"/>
    <x v="0"/>
    <x v="0"/>
    <n v="0"/>
    <n v="0"/>
    <n v="0"/>
    <n v="0"/>
    <n v="0"/>
    <n v="0"/>
    <n v="0"/>
    <n v="2"/>
    <n v="3"/>
    <n v="2"/>
    <n v="3"/>
    <n v="0"/>
    <s v="До 10 лет"/>
    <s v="Да"/>
    <s v="Да"/>
    <n v="4"/>
    <n v="2"/>
    <s v="Долгов Герман Владимирович_x000a_Хисамиев Ильдар Рамилевич"/>
    <m/>
    <m/>
    <m/>
    <m/>
    <s v="Да"/>
    <s v="Да"/>
    <s v="Спасибо за вашу работу."/>
  </r>
  <r>
    <d v="2025-11-20T17:01:02"/>
    <s v="МБУ ДО «СШОР «ФСО &quot;Авиатор&quot;» г.Казани (СП СШ &quot;Мотор&quot;)"/>
    <x v="4"/>
    <x v="24"/>
    <s v="Казань"/>
    <s v="ул.Ленинградская, 26"/>
    <s v="8(843) 223-08-38"/>
    <s v="motor-ch@mail.ru"/>
    <s v="СШОР"/>
    <s v="Нет"/>
    <n v="238"/>
    <x v="31"/>
    <x v="1"/>
    <x v="0"/>
    <x v="0"/>
    <n v="0"/>
    <n v="0"/>
    <n v="0"/>
    <n v="5"/>
    <n v="8"/>
    <n v="8"/>
    <n v="8"/>
    <n v="5"/>
    <n v="3"/>
    <n v="0"/>
    <n v="0"/>
    <n v="0"/>
    <s v="До 10 лет, До 12 лет, До 15 лет"/>
    <s v="Нет"/>
    <s v="Нет"/>
    <n v="1"/>
    <n v="0"/>
    <s v="нет"/>
    <m/>
    <m/>
    <m/>
    <m/>
    <s v="Да"/>
    <s v="Да"/>
    <m/>
  </r>
  <r>
    <d v="2025-11-20T08:46:05"/>
    <s v="Муниципальное бюджетное учреждение дополнительного образования «Спортивная школа» камско -устьинского муниципального района РТ "/>
    <x v="4"/>
    <x v="24"/>
    <s v="Камское - устье "/>
    <s v="Камское -устье , пгт. Камское - устье , ул . Комарова 24 "/>
    <n v="88437723346"/>
    <s v="Sportschool2009@rambler.ru"/>
    <s v="СШ"/>
    <s v="Нет"/>
    <n v="154"/>
    <x v="3"/>
    <x v="1"/>
    <x v="0"/>
    <x v="0"/>
    <n v="0"/>
    <n v="0"/>
    <n v="0"/>
    <n v="0"/>
    <n v="0"/>
    <n v="0"/>
    <n v="0"/>
    <n v="2"/>
    <n v="4"/>
    <n v="5"/>
    <n v="3"/>
    <n v="1"/>
    <s v="До 10 лет"/>
    <s v="Нет"/>
    <s v="Да"/>
    <n v="1"/>
    <n v="0"/>
    <s v="Нет"/>
    <m/>
    <m/>
    <m/>
    <m/>
    <s v="Да"/>
    <s v="Да"/>
    <m/>
  </r>
  <r>
    <d v="2025-11-19T13:10:49"/>
    <s v="Интер"/>
    <x v="4"/>
    <x v="24"/>
    <s v="Кукмор"/>
    <s v="г.Кукмор ул Ленина 39"/>
    <n v="9172985317"/>
    <s v="ilshat.kadirov.96@bk.ru"/>
    <s v="АНО "/>
    <s v="Футбольная академия"/>
    <n v="150"/>
    <x v="9"/>
    <x v="1"/>
    <x v="0"/>
    <x v="0"/>
    <n v="0"/>
    <n v="0"/>
    <n v="0"/>
    <n v="0"/>
    <n v="2"/>
    <n v="1"/>
    <n v="2"/>
    <n v="0"/>
    <n v="0"/>
    <n v="0"/>
    <n v="0"/>
    <n v="0"/>
    <s v="До 10 лет, До 12 лет, До 13 лет, До 15 лет, До 17 лет, До 19 лет"/>
    <s v="Да"/>
    <s v="Да"/>
    <n v="1"/>
    <n v="0"/>
    <s v="Кадиров И.Р"/>
    <m/>
    <m/>
    <m/>
    <m/>
    <s v="Нет"/>
    <s v="Нет"/>
    <m/>
  </r>
  <r>
    <d v="2025-11-21T16:13:39"/>
    <s v="ДДЮ Квантум"/>
    <x v="4"/>
    <x v="24"/>
    <s v="Мамадыш"/>
    <s v="ул. Советская 1А"/>
    <n v="79178682793"/>
    <s v="Radik:Gurev@tatar.ru"/>
    <s v="СШ"/>
    <s v="Нет"/>
    <n v="61"/>
    <x v="22"/>
    <x v="1"/>
    <x v="0"/>
    <x v="0"/>
    <n v="0"/>
    <n v="0"/>
    <n v="0"/>
    <n v="0"/>
    <n v="0"/>
    <n v="0"/>
    <n v="0"/>
    <n v="20"/>
    <n v="16"/>
    <n v="10"/>
    <n v="11"/>
    <n v="4"/>
    <s v="До 12 лет, До 13 лет"/>
    <s v="Да"/>
    <s v="Нет"/>
    <n v="1"/>
    <n v="0"/>
    <s v="Нет"/>
    <m/>
    <m/>
    <m/>
    <m/>
    <s v="Да"/>
    <s v="Нет"/>
    <s v="Очень мало просто турниров посвещеных или приуроченных какому нибудь празднику по линии федерации футбола р Татарстан большому футболу а также мини футболу  да соревнования проходят только в рамках первенства татари официальных соревнований я считаю этого не достаточно  невсе команды могут участвовать в турнирах со взносом  15_20 тысяч надо как-то на это обратить внимание "/>
  </r>
  <r>
    <d v="2025-11-14T19:48:33"/>
    <s v="МБУ ДО &quot;Спортивная школа по футболу и лёгкой атлетике&quot; Менделеевского муниципального района Республики Татарстан "/>
    <x v="4"/>
    <x v="24"/>
    <s v="Менделеевск"/>
    <s v="РТ, г.Менделеевск, ул. Чоловского, д. 7"/>
    <s v="отсутствует"/>
    <s v="stadionmendel@bk.ru"/>
    <s v="СШ"/>
    <s v="Нет"/>
    <n v="132"/>
    <x v="30"/>
    <x v="1"/>
    <x v="0"/>
    <x v="0"/>
    <n v="0"/>
    <n v="0"/>
    <n v="0"/>
    <n v="2"/>
    <n v="8"/>
    <n v="10"/>
    <n v="6"/>
    <n v="4"/>
    <n v="0"/>
    <n v="0"/>
    <n v="0"/>
    <n v="0"/>
    <s v="До 10 лет"/>
    <s v="Нет"/>
    <s v="Нет"/>
    <n v="1"/>
    <n v="0"/>
    <s v="Чернов Игорь Геннадьевич"/>
    <m/>
    <m/>
    <m/>
    <m/>
    <s v="Да"/>
    <s v="Да"/>
    <m/>
  </r>
  <r>
    <d v="2025-11-14T13:03:53"/>
    <s v="МАУДО &quot;Спортивная школа &quot;Строитель&quot;"/>
    <x v="4"/>
    <x v="24"/>
    <s v="Набережные Челны"/>
    <s v="Республика Татарстан, г.Набережные Челны,  Набережная им.Г.Тукая, д.16"/>
    <s v="8(8552)70-00-80"/>
    <s v="Stadion79@list.ru"/>
    <s v="СШ"/>
    <s v="Нет"/>
    <n v="484"/>
    <x v="91"/>
    <x v="1"/>
    <x v="0"/>
    <x v="0"/>
    <n v="0"/>
    <n v="0"/>
    <n v="35"/>
    <n v="0"/>
    <n v="30"/>
    <n v="30"/>
    <n v="30"/>
    <n v="16"/>
    <n v="0"/>
    <n v="0"/>
    <n v="0"/>
    <n v="0"/>
    <s v="До 17 лет, До 19 лет"/>
    <s v="Да"/>
    <s v="Да"/>
    <n v="3"/>
    <n v="0"/>
    <n v="0"/>
    <m/>
    <m/>
    <m/>
    <m/>
    <s v="Да"/>
    <s v="Да"/>
    <m/>
  </r>
  <r>
    <d v="2025-11-18T10:29:21"/>
    <s v="СК КАМАЗ "/>
    <x v="4"/>
    <x v="24"/>
    <s v="Набережные Челны "/>
    <s v="Пр-т Московский д. 104"/>
    <s v="+7(8552)348960"/>
    <s v="cpf.fckamaz@yandex.ru "/>
    <s v="СШ"/>
    <s v="РЦ"/>
    <n v="28"/>
    <x v="45"/>
    <x v="1"/>
    <x v="0"/>
    <x v="0"/>
    <n v="0"/>
    <n v="0"/>
    <n v="0"/>
    <n v="0"/>
    <n v="0"/>
    <n v="0"/>
    <n v="0"/>
    <n v="14"/>
    <n v="10"/>
    <n v="2"/>
    <n v="2"/>
    <n v="0"/>
    <s v="До 10 лет, До 12 лет"/>
    <s v="Да"/>
    <s v="Да"/>
    <n v="2"/>
    <n v="1"/>
    <s v="Амирян А. А. C - UEFA"/>
    <n v="1"/>
    <m/>
    <m/>
    <m/>
    <s v="Нет"/>
    <s v="Нет"/>
    <s v="Необходимо Больше методического материала. А так же обучения тренеров. "/>
  </r>
  <r>
    <d v="2025-11-20T09:12:40"/>
    <s v="МАУ ДО &quot;Детско-юношеский центр 14&quot;"/>
    <x v="4"/>
    <x v="24"/>
    <s v="Набережные Челны "/>
    <s v="Проспект Чулман 88"/>
    <s v="+7(855) 252 39 29"/>
    <s v="dyc_chelny@mail.ru"/>
    <s v="Многопрофильная "/>
    <s v="Нет"/>
    <n v="120"/>
    <x v="3"/>
    <x v="1"/>
    <x v="0"/>
    <x v="0"/>
    <n v="0"/>
    <n v="0"/>
    <n v="0"/>
    <n v="6"/>
    <n v="5"/>
    <n v="3"/>
    <n v="1"/>
    <n v="0"/>
    <n v="0"/>
    <n v="0"/>
    <n v="0"/>
    <n v="0"/>
    <s v="До 15 лет, До 17 лет"/>
    <s v="Нет"/>
    <s v="Нет"/>
    <n v="1"/>
    <n v="0"/>
    <s v="Нет"/>
    <m/>
    <m/>
    <m/>
    <m/>
    <s v="Нет"/>
    <s v="Нет"/>
    <s v="Ваш департамент опрос проводит ежегодно для своей отчётности! Вопрос? Нам для чего эта отчётность..."/>
  </r>
  <r>
    <d v="2025-11-18T17:50:17"/>
    <s v="ДЮСШ ООО &quot;ФК&quot; &quot;Нефтехимик&quot;"/>
    <x v="4"/>
    <x v="24"/>
    <s v="Нижнекамск"/>
    <s v="ул.Тукая,д.23"/>
    <s v="88 555 43-13-85"/>
    <s v="diussh-2@yandex.ru"/>
    <s v="ДЮСШ"/>
    <s v="РЦ"/>
    <n v="772"/>
    <x v="26"/>
    <x v="6"/>
    <x v="3"/>
    <x v="4"/>
    <n v="3"/>
    <n v="2"/>
    <n v="4"/>
    <n v="19"/>
    <n v="19"/>
    <n v="6"/>
    <n v="5"/>
    <n v="8"/>
    <n v="10"/>
    <n v="2"/>
    <n v="0"/>
    <n v="0"/>
    <s v="Соревновательной практики достаточно"/>
    <s v="Да"/>
    <s v="Нет"/>
    <n v="2"/>
    <n v="1"/>
    <s v="Сагдатов Рамиль Маратович С-УЕФА, Мубаракшина Екатерина Эдуардовна С-УЕФА."/>
    <n v="2"/>
    <m/>
    <m/>
    <m/>
    <s v="Да"/>
    <s v="Нет"/>
    <s v="ДЮСШ ведет набор девочек 2017 - 2018г.р. Испытываем необходимость в дополнительной ставке тренера-преподавателя."/>
  </r>
  <r>
    <d v="2025-11-20T13:08:28"/>
    <s v="ШСК ЖФК Весна "/>
    <x v="4"/>
    <x v="24"/>
    <s v="Тюлячи"/>
    <s v="Тюлячинский муниципальный район,с.Тюлячи,ул.Школьная дом 3"/>
    <n v="89393959117"/>
    <s v="tuliachi_school@mail.ru"/>
    <s v="клуб"/>
    <s v="Нет"/>
    <n v="170"/>
    <x v="92"/>
    <x v="18"/>
    <x v="11"/>
    <x v="8"/>
    <n v="10"/>
    <n v="10"/>
    <n v="10"/>
    <n v="10"/>
    <n v="10"/>
    <n v="10"/>
    <n v="20"/>
    <n v="20"/>
    <n v="5"/>
    <n v="5"/>
    <n v="5"/>
    <n v="5"/>
    <s v="До 10 лет, До 12 лет, До 13 лет, До 15 лет"/>
    <s v="Нет"/>
    <s v="Да"/>
    <n v="1"/>
    <n v="0"/>
    <s v="Нет"/>
    <m/>
    <m/>
    <m/>
    <m/>
    <s v="Нет"/>
    <s v="Нет"/>
    <m/>
  </r>
  <r>
    <d v="2025-11-20T14:24:23"/>
    <s v="Смена"/>
    <x v="4"/>
    <x v="25"/>
    <s v="Кинель"/>
    <s v="г.Самара, ул.Карла Маркса 4е, кв19"/>
    <n v="89277448319"/>
    <s v="i@ks-d1man.ru"/>
    <s v="Ип"/>
    <s v="Нет"/>
    <n v="350"/>
    <x v="93"/>
    <x v="1"/>
    <x v="0"/>
    <x v="0"/>
    <n v="0"/>
    <n v="0"/>
    <n v="0"/>
    <n v="0"/>
    <n v="0"/>
    <n v="0"/>
    <n v="0"/>
    <n v="0"/>
    <n v="0"/>
    <n v="0"/>
    <n v="1"/>
    <n v="2"/>
    <s v="Соревновательной практики достаточно"/>
    <s v="Да"/>
    <s v="Да"/>
    <n v="3"/>
    <n v="1"/>
    <s v="Понятов Т.А. С-Уефа_x000a_Сахаров М.С. _x000a_Парфенова Н.В."/>
    <n v="1"/>
    <m/>
    <m/>
    <m/>
    <s v="Нет"/>
    <s v="Нет"/>
    <m/>
  </r>
  <r>
    <d v="2025-11-20T09:53:23"/>
    <s v="АНО ФК &quot;Виктория&quot;"/>
    <x v="4"/>
    <x v="25"/>
    <s v="Самара"/>
    <s v="Зои Космодемьянской, 17А"/>
    <n v="89277048140"/>
    <s v="fk_vic@mail.ru"/>
    <s v="ФК &quot;Виктория&quot;"/>
    <s v="ДФЦ"/>
    <n v="386"/>
    <x v="49"/>
    <x v="1"/>
    <x v="0"/>
    <x v="0"/>
    <n v="0"/>
    <n v="0"/>
    <n v="0"/>
    <n v="0"/>
    <n v="11"/>
    <n v="8"/>
    <n v="2"/>
    <n v="3"/>
    <n v="1"/>
    <n v="2"/>
    <n v="3"/>
    <n v="1"/>
    <s v="Соревновательной практики достаточно"/>
    <s v="Да"/>
    <s v="Да"/>
    <n v="3"/>
    <n v="1"/>
    <s v="Янков И.В._x000a_Юдин Д.В._x000a_Макаренкова М.А. С-УЕФА"/>
    <n v="1"/>
    <m/>
    <m/>
    <m/>
    <s v="Нет"/>
    <s v="Нет"/>
    <m/>
  </r>
  <r>
    <d v="2025-11-18T13:24:26"/>
    <s v=" «Центр образования» имени Героя Советского Союза В.Н. Федотова пос. Варламово муниципального района Сызранский Самарской области"/>
    <x v="4"/>
    <x v="25"/>
    <s v="Варламово"/>
    <s v="446073, Самарская область, Сызранский район, п. Варламово, ул. Советская, д.12"/>
    <s v="8(8464)998066"/>
    <s v="zu_varlam_sch@63edu.ru"/>
    <s v="структурное подразделение"/>
    <s v="Нет"/>
    <n v="125"/>
    <x v="15"/>
    <x v="1"/>
    <x v="0"/>
    <x v="0"/>
    <n v="0"/>
    <n v="0"/>
    <n v="0"/>
    <n v="0"/>
    <n v="0"/>
    <n v="7"/>
    <n v="5"/>
    <n v="9"/>
    <n v="4"/>
    <n v="0"/>
    <n v="0"/>
    <n v="0"/>
    <s v="До 10 лет, До 12 лет"/>
    <s v="Да"/>
    <s v="Нет"/>
    <n v="1"/>
    <n v="0"/>
    <n v="0"/>
    <m/>
    <m/>
    <m/>
    <m/>
    <s v="Да"/>
    <s v="Нет"/>
    <s v="нет"/>
  </r>
  <r>
    <d v="2025-11-24T20:15:52"/>
    <s v="ГБОУ СО ДО ОСШ"/>
    <x v="4"/>
    <x v="25"/>
    <s v="Новокуйбышевск"/>
    <s v="Самарская обл. г.Новокуйбышевск. ГБОУ СО ДО &quot; Областная Спортивная Школа"/>
    <n v="88463550466"/>
    <s v="gousportinternat@mail.ru"/>
    <s v="Государственное бюджетное образовательное учреждение Самарской области дополнительного образования Областная спортивная школа"/>
    <s v="Нет"/>
    <n v="120"/>
    <x v="20"/>
    <x v="1"/>
    <x v="0"/>
    <x v="0"/>
    <n v="0"/>
    <n v="0"/>
    <n v="0"/>
    <n v="0"/>
    <n v="0"/>
    <n v="10"/>
    <n v="10"/>
    <n v="5"/>
    <n v="10"/>
    <n v="2"/>
    <n v="1"/>
    <n v="0"/>
    <s v="Соревновательной практики достаточно"/>
    <s v="Да"/>
    <s v="Да"/>
    <n v="2"/>
    <n v="0"/>
    <s v="нет"/>
    <m/>
    <m/>
    <m/>
    <m/>
    <s v="Да"/>
    <s v="Нет"/>
    <m/>
  </r>
  <r>
    <d v="2025-11-18T13:41:07"/>
    <s v="АНО ДО СШ &quot;Акрон-Академия Коноплева&quot; "/>
    <x v="4"/>
    <x v="25"/>
    <s v="Приморский "/>
    <s v="Самарская обл., пос. Приморский, ул. Советская 23Б"/>
    <s v="8 (8482) 55-91-15"/>
    <s v="academia_uk@akron-holding.ru"/>
    <s v="СШ"/>
    <s v="РЦ"/>
    <n v="321"/>
    <x v="53"/>
    <x v="5"/>
    <x v="5"/>
    <x v="9"/>
    <n v="4"/>
    <n v="3"/>
    <n v="1"/>
    <n v="12"/>
    <n v="15"/>
    <n v="16"/>
    <n v="13"/>
    <n v="5"/>
    <n v="1"/>
    <n v="0"/>
    <n v="0"/>
    <n v="0"/>
    <s v="До 17 лет"/>
    <s v="Нет"/>
    <s v="Да"/>
    <n v="5"/>
    <n v="2"/>
    <s v="Богушевич А.Ю. В-УЕФА, Нсанбаева А.Н. В-УЕФА, Благо Р.А. С-УЕФА, Потупалова С-УЕФА."/>
    <n v="2"/>
    <n v="2"/>
    <m/>
    <m/>
    <s v="Да"/>
    <s v="Да"/>
    <m/>
  </r>
  <r>
    <d v="2025-12-01T09:39:32"/>
    <s v="ДФК Маяк"/>
    <x v="4"/>
    <x v="25"/>
    <s v="Резяпкино "/>
    <s v="С.Ст.Резяпкино м.р.Клявлинский"/>
    <n v="89277076354"/>
    <s v="gena."/>
    <s v="СШ"/>
    <s v="Нет"/>
    <n v="40"/>
    <x v="15"/>
    <x v="1"/>
    <x v="12"/>
    <x v="0"/>
    <n v="0"/>
    <n v="0"/>
    <n v="4"/>
    <n v="5"/>
    <n v="5"/>
    <n v="2"/>
    <n v="5"/>
    <n v="0"/>
    <n v="2"/>
    <n v="2"/>
    <n v="0"/>
    <n v="0"/>
    <s v="До 10 лет, До 12 лет"/>
    <s v="Да"/>
    <s v="Да"/>
    <n v="1"/>
    <n v="0"/>
    <n v="0"/>
    <m/>
    <m/>
    <m/>
    <m/>
    <s v="Нет"/>
    <s v="Нет"/>
    <m/>
  </r>
  <r>
    <d v="2025-11-14T11:47:36"/>
    <s v="Автономная некоммерческая организация дополнительного образования &quot;Академия футбола Крылья Советов&quot; (спортивная школа)"/>
    <x v="4"/>
    <x v="25"/>
    <s v="Самара"/>
    <s v="г. Самара, ул. Строителей, 1"/>
    <s v="8(846) 331-17-57"/>
    <s v="academy@kc-academy.ru "/>
    <s v="СШ"/>
    <s v="Футбольная академия"/>
    <n v="292"/>
    <x v="86"/>
    <x v="1"/>
    <x v="0"/>
    <x v="0"/>
    <n v="2"/>
    <n v="12"/>
    <n v="11"/>
    <n v="10"/>
    <n v="12"/>
    <n v="10"/>
    <n v="9"/>
    <n v="9"/>
    <n v="6"/>
    <n v="0"/>
    <n v="0"/>
    <n v="0"/>
    <s v="До 10 лет, До 17 лет"/>
    <s v="Нет"/>
    <s v="Нет"/>
    <n v="7"/>
    <n v="2"/>
    <s v="Комарова Г.В. А-УЕФА_x000a_Никулин А.П. В-УЕФА_x000a_Дементьев А.А. В-УЕФА_x000a_Ганков Р.О. В-УЕФА_x000a_Зайчиков Н.С. С-УЕФА_x000a_Мишин Г.В. С-УЕФА"/>
    <n v="2"/>
    <n v="3"/>
    <n v="1"/>
    <m/>
    <s v="Нет"/>
    <s v="Нет"/>
    <m/>
  </r>
  <r>
    <d v="2025-11-21T10:16:33"/>
    <s v="ГАУ ДО СО &quot;СШОР № 1&quot;"/>
    <x v="4"/>
    <x v="25"/>
    <s v="Самара"/>
    <s v="ул. Демократическая, 57"/>
    <s v="8 (846) 334-53-00"/>
    <s v="sportolimp63@yandex.ru"/>
    <s v="СШОР"/>
    <s v="Нет"/>
    <n v="216"/>
    <x v="27"/>
    <x v="1"/>
    <x v="0"/>
    <x v="0"/>
    <n v="0"/>
    <n v="0"/>
    <n v="0"/>
    <n v="5"/>
    <n v="8"/>
    <n v="7"/>
    <n v="7"/>
    <n v="7"/>
    <n v="0"/>
    <n v="0"/>
    <n v="0"/>
    <n v="0"/>
    <s v="До 10 лет, До 12 лет, До 13 лет, До 15 лет, До 17 лет, До 19 лет"/>
    <s v="Нет"/>
    <s v="Нет"/>
    <n v="1"/>
    <n v="0"/>
    <s v="Кашников М.С. С-УЕФА"/>
    <n v="1"/>
    <m/>
    <m/>
    <m/>
    <s v="Да"/>
    <s v="Да"/>
    <m/>
  </r>
  <r>
    <d v="2025-11-20T13:13:47"/>
    <s v="МБУ ДО СШ№ 12 “Лада&quot;г. о. Тольятти"/>
    <x v="4"/>
    <x v="25"/>
    <s v="Тольятти"/>
    <s v="Революционная, 80"/>
    <n v="88482580923"/>
    <s v="Iadafootball@yandex.ru"/>
    <s v="СШ"/>
    <s v="ДФЦ"/>
    <n v="1182"/>
    <x v="94"/>
    <x v="9"/>
    <x v="3"/>
    <x v="0"/>
    <n v="0"/>
    <n v="3"/>
    <n v="2"/>
    <n v="5"/>
    <n v="11"/>
    <n v="10"/>
    <n v="15"/>
    <n v="23"/>
    <n v="20"/>
    <n v="13"/>
    <n v="12"/>
    <n v="0"/>
    <s v="До 10 лет"/>
    <s v="Да"/>
    <s v="Нет"/>
    <n v="2"/>
    <n v="2"/>
    <s v="Небытова Е. В. С - УЕФА, Мальчикова Н.А. С-УЕФА"/>
    <n v="2"/>
    <m/>
    <m/>
    <m/>
    <s v="Да"/>
    <s v="Да"/>
    <m/>
  </r>
  <r>
    <d v="2025-12-02T14:30:33"/>
    <s v="ФК Бомббар"/>
    <x v="4"/>
    <x v="25"/>
    <s v="Тольятти "/>
    <s v="Тупиковый 18"/>
    <n v="89967244034"/>
    <s v="bombbar9@gmail.com"/>
    <s v="частный клуб"/>
    <s v="Нет"/>
    <n v="50"/>
    <x v="34"/>
    <x v="2"/>
    <x v="1"/>
    <x v="5"/>
    <n v="1"/>
    <n v="0"/>
    <n v="0"/>
    <n v="0"/>
    <n v="0"/>
    <n v="0"/>
    <n v="0"/>
    <n v="0"/>
    <n v="0"/>
    <n v="0"/>
    <n v="0"/>
    <n v="0"/>
    <m/>
    <s v="Нет"/>
    <s v="Нет"/>
    <n v="1"/>
    <n v="0"/>
    <n v="0"/>
    <m/>
    <m/>
    <m/>
    <m/>
    <s v="Нет"/>
    <s v="Нет"/>
    <m/>
  </r>
  <r>
    <d v="2025-12-02T14:45:44"/>
    <s v="ФК «Луч»"/>
    <x v="4"/>
    <x v="25"/>
    <s v="Чапаевск"/>
    <s v="Железнодорожная 14а"/>
    <n v="89376539213"/>
    <s v="sportchap@mail.ru"/>
    <s v="клуб"/>
    <s v="Нет"/>
    <n v="124"/>
    <x v="27"/>
    <x v="1"/>
    <x v="0"/>
    <x v="0"/>
    <n v="0"/>
    <n v="0"/>
    <n v="0"/>
    <n v="0"/>
    <n v="0"/>
    <n v="5"/>
    <n v="5"/>
    <n v="5"/>
    <n v="7"/>
    <n v="3"/>
    <n v="5"/>
    <n v="4"/>
    <m/>
    <s v="Да"/>
    <s v="Нет"/>
    <n v="2"/>
    <n v="1"/>
    <s v="-"/>
    <m/>
    <m/>
    <m/>
    <m/>
    <s v="Нет"/>
    <s v="Нет"/>
    <m/>
  </r>
  <r>
    <d v="2025-12-04T12:47:36"/>
    <s v="МАУ ДО &quot;Спортивная школа г.Аткарска "/>
    <x v="4"/>
    <x v="26"/>
    <s v="Аткарск"/>
    <s v="412421, Саратовская область, г. Аткарск, ул. Гоголя, зд. 11"/>
    <s v="+7 (927) 118-47-78"/>
    <s v="atksport@yandex.ru"/>
    <s v="СШ"/>
    <s v="Нет"/>
    <n v="27"/>
    <x v="19"/>
    <x v="1"/>
    <x v="0"/>
    <x v="0"/>
    <n v="0"/>
    <n v="0"/>
    <n v="0"/>
    <n v="0"/>
    <n v="0"/>
    <n v="2"/>
    <n v="1"/>
    <n v="2"/>
    <n v="1"/>
    <n v="0"/>
    <n v="0"/>
    <n v="0"/>
    <s v="До 10 лет, До 12 лет"/>
    <s v="Да"/>
    <s v="Нет"/>
    <n v="1"/>
    <n v="0"/>
    <n v="0"/>
    <m/>
    <m/>
    <m/>
    <m/>
    <s v="Нет"/>
    <s v="Нет"/>
    <m/>
  </r>
  <r>
    <d v="2025-11-14T10:54:32"/>
    <s v="Муниципальное автономное учреждение дополнительного образования &quot;Спортивная школа &quot;Балаково&quot;"/>
    <x v="4"/>
    <x v="26"/>
    <s v="Балаково"/>
    <s v="413840 Саратовская область, город Балаково, улица Набережная 50 лет ВЛКСМ, дом 5а"/>
    <s v="8(8453)627799"/>
    <s v="shkolabalakovo@mail.ru"/>
    <s v="СШ"/>
    <s v="Нет"/>
    <n v="610"/>
    <x v="15"/>
    <x v="1"/>
    <x v="0"/>
    <x v="0"/>
    <n v="0"/>
    <n v="0"/>
    <n v="0"/>
    <n v="0"/>
    <n v="0"/>
    <n v="6"/>
    <n v="1"/>
    <n v="1"/>
    <n v="14"/>
    <n v="3"/>
    <n v="0"/>
    <n v="0"/>
    <s v="До 10 лет, До 12 лет, До 13 лет, До 15 лет, До 17 лет, До 19 лет"/>
    <s v="Да"/>
    <s v="Нет"/>
    <n v="1"/>
    <n v="0"/>
    <s v="Горелов Александр Сергеевич"/>
    <m/>
    <m/>
    <m/>
    <m/>
    <s v="Да"/>
    <s v="Нет"/>
    <m/>
  </r>
  <r>
    <d v="2025-11-17T12:34:22"/>
    <s v="Муниципальное бюджетное учреждение дополнительного образования &quot;Центр дополнительного образования Балтайского муниципального района Саратовской области&quot;"/>
    <x v="4"/>
    <x v="26"/>
    <s v="Балтай"/>
    <s v="Саратовская область, Балтайский район, с. Балтай, ул. В.И. Ленина, д. 61, пом.8"/>
    <n v="89873072587"/>
    <s v="ddtbaltay@mail.ru"/>
    <s v="Центр дополнительного образования детей"/>
    <s v="Нет"/>
    <n v="78"/>
    <x v="28"/>
    <x v="1"/>
    <x v="0"/>
    <x v="0"/>
    <n v="1"/>
    <n v="3"/>
    <n v="2"/>
    <n v="2"/>
    <n v="4"/>
    <n v="1"/>
    <n v="3"/>
    <n v="6"/>
    <n v="2"/>
    <n v="4"/>
    <n v="3"/>
    <n v="2"/>
    <s v="До 10 лет, До 19 лет"/>
    <s v="Нет"/>
    <s v="Да"/>
    <n v="1"/>
    <n v="0"/>
    <s v="Захаров Вадим Сергеевич "/>
    <m/>
    <m/>
    <m/>
    <m/>
    <s v="Да"/>
    <s v="Да"/>
    <s v="Хочется, чтобы было больше соревнований по футболу регионального и федерального уровней для девочек"/>
  </r>
  <r>
    <d v="2025-12-01T09:20:40"/>
    <s v="МУ ДО СШ р.п. Мокроус Федоровского района "/>
    <x v="4"/>
    <x v="26"/>
    <s v="Мокроус"/>
    <s v="Федоровский район р.п. Мокроус ул. Пионерская 17"/>
    <n v="89271364888"/>
    <s v="chernobuk69@mail.ru"/>
    <s v="ДО"/>
    <s v="Нет"/>
    <n v="90"/>
    <x v="23"/>
    <x v="1"/>
    <x v="0"/>
    <x v="0"/>
    <n v="0"/>
    <n v="0"/>
    <n v="0"/>
    <n v="0"/>
    <n v="0"/>
    <n v="5"/>
    <n v="5"/>
    <n v="5"/>
    <n v="5"/>
    <n v="0"/>
    <n v="0"/>
    <n v="0"/>
    <m/>
    <s v="Да"/>
    <s v="Нет"/>
    <n v="1"/>
    <n v="0"/>
    <n v="0"/>
    <m/>
    <m/>
    <m/>
    <m/>
    <s v="Нет"/>
    <s v="Нет"/>
    <m/>
  </r>
  <r>
    <d v="2025-11-17T11:27:05"/>
    <s v="Спартак с. Моршанка"/>
    <x v="4"/>
    <x v="26"/>
    <s v="Моршанка Питерский район"/>
    <s v="Саратовская область Питерский район с. Питерка ул. Молодёжная д. 12"/>
    <n v="89671413321"/>
    <s v="minkov.and@mail.ru"/>
    <s v="ДЮСШ"/>
    <s v="Нет"/>
    <n v="85"/>
    <x v="29"/>
    <x v="1"/>
    <x v="0"/>
    <x v="0"/>
    <n v="0"/>
    <n v="0"/>
    <n v="0"/>
    <n v="0"/>
    <n v="0"/>
    <n v="5"/>
    <n v="4"/>
    <n v="7"/>
    <n v="3"/>
    <n v="8"/>
    <n v="4"/>
    <n v="9"/>
    <s v="До 10 лет"/>
    <s v="Нет"/>
    <s v="Да"/>
    <n v="1"/>
    <n v="0"/>
    <s v="Миньков Андрей Николаевич"/>
    <m/>
    <m/>
    <m/>
    <m/>
    <s v="Нет"/>
    <s v="Нет"/>
    <s v="Соревнования в нашем регионе проводятся каждый год по чётным возрастам, конкретно 2012 и 2014. Хотелось что года чередовались. В этом году должны по логике быть нечётные года. Тогда мы полноценно как у мальчиков будем вести работу, в плане подготовки девочек. А у нас в области кто-то конкретно протаскивает только 2012 г. р. Так быть не должно ‼️"/>
  </r>
  <r>
    <d v="2025-11-21T14:38:17"/>
    <s v="МБУ ДО СШ рп Озинки"/>
    <x v="4"/>
    <x v="26"/>
    <s v="Озинки"/>
    <s v="Саратовская область, р. п. Озинки, ул. Молодежная, 4"/>
    <n v="88457642263"/>
    <s v="sport.ozinki@mail.ru"/>
    <s v="СШ"/>
    <s v="Нет"/>
    <n v="112"/>
    <x v="36"/>
    <x v="1"/>
    <x v="0"/>
    <x v="12"/>
    <n v="0"/>
    <n v="5"/>
    <n v="7"/>
    <n v="0"/>
    <n v="13"/>
    <n v="0"/>
    <n v="7"/>
    <n v="5"/>
    <n v="17"/>
    <n v="0"/>
    <n v="0"/>
    <n v="0"/>
    <s v="До 10 лет, До 15 лет"/>
    <s v="Нет"/>
    <s v="Нет"/>
    <n v="1"/>
    <n v="0"/>
    <s v="Абуев Серик Утегалиевич"/>
    <m/>
    <m/>
    <m/>
    <m/>
    <s v="Да"/>
    <s v="Нет"/>
    <m/>
  </r>
  <r>
    <d v="2025-11-18T17:38:39"/>
    <s v="&quot;СШ им. М.М. Рудченко с. Перелюб&quot;"/>
    <x v="4"/>
    <x v="26"/>
    <s v="Перелюб"/>
    <s v="Саратовская область Перелюбский район с. Перелюб ул. Чкаловская 59"/>
    <s v="+7 (84575)2-21-66"/>
    <s v="perelub413750@yandex.ru"/>
    <s v="ОУ"/>
    <s v="Нет"/>
    <n v="120"/>
    <x v="43"/>
    <x v="1"/>
    <x v="0"/>
    <x v="0"/>
    <n v="0"/>
    <n v="0"/>
    <n v="0"/>
    <n v="1"/>
    <n v="6"/>
    <n v="6"/>
    <n v="3"/>
    <n v="3"/>
    <n v="18"/>
    <n v="10"/>
    <n v="10"/>
    <n v="0"/>
    <s v="До 10 лет, До 12 лет, До 13 лет"/>
    <s v="Нет"/>
    <s v="Нет"/>
    <n v="1"/>
    <n v="0"/>
    <s v="Нет"/>
    <m/>
    <m/>
    <m/>
    <m/>
    <s v="Нет"/>
    <s v="Нет"/>
    <m/>
  </r>
  <r>
    <d v="2025-11-18T12:24:35"/>
    <s v="ГАУ ДО СО &quot;СШОР по футболу &quot;Сокол&quot;"/>
    <x v="4"/>
    <x v="26"/>
    <s v="Саратов"/>
    <s v="410012 г. Саратов ул. Аткарская, зд.29, стр.1, стадион &quot;Локомотив&quot;"/>
    <s v="8(8452) 418-763 "/>
    <s v="fk-ss@yandex.ru"/>
    <s v="СШОР"/>
    <s v="Нет"/>
    <n v="534"/>
    <x v="16"/>
    <x v="1"/>
    <x v="0"/>
    <x v="0"/>
    <n v="0"/>
    <n v="0"/>
    <n v="0"/>
    <n v="0"/>
    <n v="14"/>
    <n v="0"/>
    <n v="0"/>
    <n v="0"/>
    <n v="0"/>
    <n v="0"/>
    <n v="0"/>
    <n v="0"/>
    <s v="До 10 лет"/>
    <s v="Нет"/>
    <s v="Да"/>
    <n v="1"/>
    <n v="0"/>
    <s v="Сонюшкин С.С."/>
    <m/>
    <m/>
    <m/>
    <m/>
    <s v="Да"/>
    <s v="Да"/>
    <m/>
  </r>
  <r>
    <d v="2025-11-17T11:55:12"/>
    <s v="ФК Волна (МОУ Гимназия 89)"/>
    <x v="4"/>
    <x v="26"/>
    <s v="Саратов"/>
    <s v="г. Саратов, ул. Мало-Елшанская стр., 5 корпус 1"/>
    <s v="8(845) 2 79-42-99"/>
    <s v="mou-school89@yandex.ru"/>
    <s v="СШОР"/>
    <s v="Нет"/>
    <n v="89"/>
    <x v="48"/>
    <x v="1"/>
    <x v="0"/>
    <x v="13"/>
    <n v="0"/>
    <s v="O"/>
    <n v="2"/>
    <n v="3"/>
    <n v="10"/>
    <n v="9"/>
    <n v="6"/>
    <n v="5"/>
    <n v="3"/>
    <n v="0"/>
    <n v="3"/>
    <n v="3"/>
    <s v="До 10 лет, До 12 лет, До 13 лет, До 15 лет"/>
    <s v="Да"/>
    <s v="Да"/>
    <n v="1"/>
    <n v="0"/>
    <s v="Григорьев А. В. нет лицензии"/>
    <m/>
    <m/>
    <m/>
    <m/>
    <s v="Нет"/>
    <s v="Нет"/>
    <s v="В нашем регионе женский футбол развивается благодаря энтузиастам! "/>
  </r>
  <r>
    <d v="2025-11-17T10:16:47"/>
    <s v="МАУ ДО &quot;СШОР №14 &quot;Волга&quot;"/>
    <x v="4"/>
    <x v="26"/>
    <s v="Саратов"/>
    <s v="г. Саратов, ул. площадь Орджоникидзе, д.1"/>
    <n v="78452961123"/>
    <s v="volga.14@mail.ru"/>
    <s v="СШОР"/>
    <s v="Нет"/>
    <n v="1062"/>
    <x v="47"/>
    <x v="13"/>
    <x v="3"/>
    <x v="3"/>
    <n v="4"/>
    <n v="5"/>
    <n v="0"/>
    <n v="0"/>
    <n v="5"/>
    <n v="5"/>
    <n v="10"/>
    <n v="9"/>
    <n v="6"/>
    <n v="1"/>
    <n v="0"/>
    <n v="0"/>
    <s v="До 10 лет, До 12 лет, До 13 лет, До 15 лет, До 17 лет, До 19 лет, для женских команд без ограничения возраста"/>
    <s v="Нет"/>
    <s v="Нет"/>
    <n v="2"/>
    <n v="1"/>
    <s v="нет"/>
    <m/>
    <m/>
    <m/>
    <m/>
    <s v="Да"/>
    <s v="Нет"/>
    <m/>
  </r>
  <r>
    <d v="2025-11-17T20:55:06"/>
    <s v="ЖФК Волжанка"/>
    <x v="4"/>
    <x v="26"/>
    <s v="Саратов"/>
    <s v="Саратовская обл. г. Саратов ул Державинская 10"/>
    <n v="88452433103"/>
    <s v="sor-school107@mail.ru"/>
    <s v=" ШСК Волжанка Лицей 107"/>
    <s v="Нет"/>
    <n v="240"/>
    <x v="82"/>
    <x v="1"/>
    <x v="0"/>
    <x v="0"/>
    <n v="6"/>
    <n v="0"/>
    <n v="10"/>
    <n v="8"/>
    <n v="6"/>
    <n v="8"/>
    <n v="6"/>
    <n v="8"/>
    <n v="7"/>
    <n v="8"/>
    <n v="6"/>
    <n v="5"/>
    <s v="До 10 лет"/>
    <s v="Да"/>
    <s v="Нет"/>
    <n v="2"/>
    <n v="1"/>
    <s v="Семанин Ю.М., Семанина Х.Ш."/>
    <m/>
    <m/>
    <m/>
    <m/>
    <s v="Да"/>
    <s v="Да"/>
    <m/>
  </r>
  <r>
    <d v="2025-11-19T15:31:17"/>
    <s v="ООО &quot;Центр Подготовки футболистов Д. Градиленко&quot;"/>
    <x v="4"/>
    <x v="26"/>
    <s v="Саратов"/>
    <s v="ул.Соборная13/15 оф.3 "/>
    <s v="+7 (8412) 214 014"/>
    <s v=" footballcentrgradilenko@yandex.ru"/>
    <s v="ООО"/>
    <s v="Нет"/>
    <n v="200"/>
    <x v="70"/>
    <x v="1"/>
    <x v="0"/>
    <x v="0"/>
    <n v="0"/>
    <n v="0"/>
    <n v="3"/>
    <n v="7"/>
    <n v="10"/>
    <n v="10"/>
    <n v="4"/>
    <n v="6"/>
    <n v="2"/>
    <n v="2"/>
    <n v="2"/>
    <n v="2"/>
    <s v="До 10 лет, До 12 лет, До 13 лет"/>
    <s v="Да"/>
    <s v="Да"/>
    <n v="8"/>
    <n v="4"/>
    <s v="Симаков А.В. -УЕФА"/>
    <m/>
    <n v="1"/>
    <m/>
    <m/>
    <s v="Да"/>
    <s v="Да"/>
    <s v="Добрый день, женское направление в нашем клубе только развивается, хочется побольше фестивалей для девочек в нашем регионе и адаптированную программу по женский футболе."/>
  </r>
  <r>
    <d v="2025-11-19T16:17:07"/>
    <s v="ФШ УДАР "/>
    <x v="4"/>
    <x v="26"/>
    <s v="Саратов "/>
    <s v="Ул. Вишневый проезд 9, Дельфин "/>
    <n v="79869866206"/>
    <s v="Dfsh.udar23@mail.ru"/>
    <s v="Школа футбола УДАР "/>
    <s v="Нет"/>
    <n v="166"/>
    <x v="95"/>
    <x v="1"/>
    <x v="0"/>
    <x v="0"/>
    <n v="0"/>
    <n v="0"/>
    <n v="0"/>
    <n v="0"/>
    <n v="0"/>
    <n v="0"/>
    <n v="2"/>
    <n v="5"/>
    <n v="1"/>
    <n v="0"/>
    <n v="0"/>
    <n v="1"/>
    <s v="До 15 лет"/>
    <s v="Да"/>
    <s v="Да"/>
    <n v="2"/>
    <n v="0"/>
    <s v="."/>
    <m/>
    <m/>
    <m/>
    <m/>
    <s v="Нет"/>
    <s v="Нет"/>
    <m/>
  </r>
  <r>
    <d v="2025-12-04T12:14:27"/>
    <s v="ТРУДОВИК"/>
    <x v="4"/>
    <x v="26"/>
    <s v="Трудовик"/>
    <s v="улица Ленина, 36, Трудовик"/>
    <s v="+7 (84561) 2-68-49"/>
    <s v="pit-school@yandex.ru"/>
    <s v="СШ"/>
    <s v="Нет"/>
    <n v="56"/>
    <x v="34"/>
    <x v="1"/>
    <x v="0"/>
    <x v="0"/>
    <n v="0"/>
    <n v="0"/>
    <n v="0"/>
    <n v="0"/>
    <n v="5"/>
    <n v="5"/>
    <n v="5"/>
    <n v="6"/>
    <n v="0"/>
    <n v="0"/>
    <n v="0"/>
    <n v="0"/>
    <s v="До 10 лет, До 12 лет, До 13 лет"/>
    <s v="Нет"/>
    <s v="Нет"/>
    <n v="2"/>
    <n v="0"/>
    <n v="0"/>
    <m/>
    <m/>
    <m/>
    <m/>
    <s v="Нет"/>
    <s v="Нет"/>
    <m/>
  </r>
  <r>
    <d v="2025-11-17T22:24:23"/>
    <s v="ШСК ЖФ Девятка"/>
    <x v="4"/>
    <x v="26"/>
    <s v="Энгельс"/>
    <s v="Ул. Ломоносова 7а"/>
    <s v="8 (8453) 74-50-56"/>
    <s v="engschool-9@yandex.ru"/>
    <s v="Общеобразовательная"/>
    <s v="Нет"/>
    <n v="195"/>
    <x v="96"/>
    <x v="1"/>
    <x v="0"/>
    <x v="0"/>
    <n v="0"/>
    <n v="0"/>
    <n v="1"/>
    <n v="1"/>
    <n v="8"/>
    <n v="6"/>
    <n v="9"/>
    <n v="4"/>
    <n v="8"/>
    <n v="8"/>
    <n v="2"/>
    <n v="5"/>
    <s v="До 10 лет, До 12 лет, До 13 лет"/>
    <s v="Да"/>
    <s v="Да"/>
    <n v="2"/>
    <n v="0"/>
    <s v="Бумарсков Алексей Игоревич категория - Е"/>
    <m/>
    <m/>
    <m/>
    <m/>
    <s v="Да"/>
    <s v="Да"/>
    <m/>
  </r>
  <r>
    <d v="2025-11-17T20:27:47"/>
    <s v="МБУ ДО СШОР Юный Динамовец "/>
    <x v="4"/>
    <x v="27"/>
    <s v="Ижевск"/>
    <s v="9 января 231а"/>
    <n v="79225297109"/>
    <s v="chk115@gmail.com"/>
    <s v="СШОР"/>
    <s v="Нет"/>
    <n v="300"/>
    <x v="46"/>
    <x v="5"/>
    <x v="0"/>
    <x v="4"/>
    <n v="3"/>
    <n v="5"/>
    <n v="5"/>
    <n v="4"/>
    <n v="3"/>
    <n v="5"/>
    <n v="7"/>
    <n v="5"/>
    <n v="1"/>
    <n v="0"/>
    <n v="0"/>
    <n v="0"/>
    <s v="Во всех"/>
    <s v="Нет"/>
    <s v="Нет"/>
    <n v="1"/>
    <n v="1"/>
    <s v="Нет"/>
    <m/>
    <m/>
    <m/>
    <m/>
    <s v="Да"/>
    <s v="Нет"/>
    <m/>
  </r>
  <r>
    <d v="2025-11-14T11:08:48"/>
    <s v="МАУ СКК &quot;Прогресс&quot; "/>
    <x v="4"/>
    <x v="27"/>
    <s v="Глазов"/>
    <s v="Удмуртская республика г. Глазов ул. Кирова 38"/>
    <s v="+7 (34141) 3-59-22"/>
    <s v="skkprogress@glazov.udmr.ru"/>
    <s v="СШ"/>
    <s v="Нет"/>
    <n v="179"/>
    <x v="3"/>
    <x v="1"/>
    <x v="0"/>
    <x v="0"/>
    <n v="0"/>
    <n v="0"/>
    <n v="3"/>
    <n v="6"/>
    <n v="1"/>
    <n v="5"/>
    <n v="0"/>
    <n v="0"/>
    <n v="0"/>
    <n v="0"/>
    <n v="0"/>
    <n v="0"/>
    <s v="До 12 лет, До 13 лет, До 15 лет"/>
    <s v="Да"/>
    <s v="Да"/>
    <n v="1"/>
    <n v="0"/>
    <s v="нет"/>
    <m/>
    <m/>
    <m/>
    <m/>
    <s v="Нет"/>
    <s v="Нет"/>
    <s v="Спасибо за опрос."/>
  </r>
  <r>
    <d v="2025-11-18T11:59:39"/>
    <s v="Автономное учреждение дополнительного образования Удмуртской Республики «Спортивная школа олимпийского резерва по футболу «Зенит-Ижевск»"/>
    <x v="4"/>
    <x v="27"/>
    <s v="Ижевск"/>
    <s v=" 426034, Респ. Удмуртская, г. Ижевск, ул. Зенитная, д. 5А"/>
    <s v="8 (3412) 72-47-00"/>
    <s v="fc.zenit-izhevsk@yandex.ru"/>
    <s v="СШОР"/>
    <s v="ДФЦ"/>
    <n v="790"/>
    <x v="78"/>
    <x v="1"/>
    <x v="0"/>
    <x v="0"/>
    <n v="0"/>
    <n v="0"/>
    <n v="0"/>
    <n v="0"/>
    <n v="2"/>
    <n v="9"/>
    <n v="4"/>
    <n v="3"/>
    <n v="1"/>
    <n v="0"/>
    <n v="0"/>
    <n v="0"/>
    <s v="До 10 лет, До 12 лет, До 13 лет"/>
    <s v="Нет"/>
    <s v="Нет"/>
    <n v="1"/>
    <n v="0"/>
    <s v="Ситдиков Б.Р."/>
    <m/>
    <m/>
    <m/>
    <m/>
    <s v="Да"/>
    <s v="Да"/>
    <s v="Для качественной подготовки девочек необходимо улучшение материально-технической базы учреждения, что позволит увеличить кол-во учебно-тренировочного времени для занятий/тренировок."/>
  </r>
  <r>
    <d v="2025-11-17T20:12:28"/>
    <s v="Удмуртский ГАУ"/>
    <x v="4"/>
    <x v="27"/>
    <s v="Ижевск "/>
    <s v="ул. Студенческая , 11"/>
    <n v="89199152465"/>
    <s v="ohotnikova94@mail.ru"/>
    <s v="ФГБОУ ВО"/>
    <s v="Нет"/>
    <n v="35"/>
    <x v="71"/>
    <x v="7"/>
    <x v="0"/>
    <x v="0"/>
    <n v="0"/>
    <n v="0"/>
    <n v="0"/>
    <n v="0"/>
    <n v="0"/>
    <n v="0"/>
    <n v="0"/>
    <n v="0"/>
    <n v="0"/>
    <n v="0"/>
    <n v="0"/>
    <n v="0"/>
    <s v="Старше 19"/>
    <s v="Нет"/>
    <s v="Нет"/>
    <n v="1"/>
    <n v="0"/>
    <s v="Квасов С.В."/>
    <m/>
    <m/>
    <m/>
    <m/>
    <s v="Нет"/>
    <s v="Нет"/>
    <m/>
  </r>
  <r>
    <d v="2025-11-14T10:58:00"/>
    <s v="МКОУДО &quot;Киясовская спортивная школа&quot;"/>
    <x v="4"/>
    <x v="27"/>
    <s v="Киясово"/>
    <s v="ул. Юбилейная д.38А"/>
    <n v="89914562320"/>
    <s v="dujs@kiyas-obr.udmr.ru"/>
    <s v="СШ"/>
    <s v="Нет"/>
    <n v="49"/>
    <x v="54"/>
    <x v="1"/>
    <x v="0"/>
    <x v="0"/>
    <n v="0"/>
    <n v="0"/>
    <n v="0"/>
    <n v="0"/>
    <n v="0"/>
    <n v="1"/>
    <n v="0"/>
    <n v="10"/>
    <n v="7"/>
    <n v="4"/>
    <n v="0"/>
    <n v="0"/>
    <s v="До 10 лет, До 12 лет, До 13 лет, До 15 лет, До 17 лет, До 19 лет"/>
    <s v="Да"/>
    <s v="Да"/>
    <n v="2"/>
    <n v="0"/>
    <s v="Шадрин А.В. Кузнецов Ю.А."/>
    <m/>
    <m/>
    <m/>
    <m/>
    <s v="Да"/>
    <s v="Нет"/>
    <m/>
  </r>
  <r>
    <d v="2025-11-18T02:48:06"/>
    <s v="ЖФК Дубитель"/>
    <x v="4"/>
    <x v="27"/>
    <s v="Можга"/>
    <s v="427791, Удмуртская Республика, город Можга, переулок Водокачный, дом 4"/>
    <s v="+7 (341) 394 14 42"/>
    <s v="shkola9@mozhga.udmr.ru"/>
    <s v="ШСК"/>
    <s v="Нет"/>
    <n v="150"/>
    <x v="84"/>
    <x v="1"/>
    <x v="0"/>
    <x v="0"/>
    <n v="0"/>
    <n v="0"/>
    <n v="0"/>
    <n v="0"/>
    <n v="0"/>
    <n v="10"/>
    <n v="10"/>
    <n v="10"/>
    <n v="10"/>
    <n v="5"/>
    <n v="0"/>
    <n v="0"/>
    <s v="Соревновательной практики достаточно"/>
    <s v="Да"/>
    <s v="Да"/>
    <n v="1"/>
    <n v="0"/>
    <s v="Нет"/>
    <m/>
    <m/>
    <m/>
    <m/>
    <s v="Нет"/>
    <s v="Нет"/>
    <s v="Не хватает тренировочного инвентаря_x000a_Невысокая зарплата тренера"/>
  </r>
  <r>
    <d v="2025-11-19T14:45:09"/>
    <s v="МБУ ДО «СШ УО»"/>
    <x v="4"/>
    <x v="27"/>
    <s v="Сарапул"/>
    <s v="5-й Зеленый проезд, д. 5а"/>
    <n v="83414742299"/>
    <s v="88-eka@mail.ru"/>
    <s v="СШ"/>
    <s v="Нет"/>
    <n v="369"/>
    <x v="34"/>
    <x v="1"/>
    <x v="0"/>
    <x v="0"/>
    <n v="0"/>
    <n v="0"/>
    <n v="0"/>
    <n v="1"/>
    <n v="5"/>
    <n v="5"/>
    <n v="4"/>
    <n v="2"/>
    <n v="2"/>
    <n v="2"/>
    <n v="0"/>
    <n v="0"/>
    <s v="До 10 лет, До 12 лет"/>
    <s v="Да"/>
    <s v="Нет"/>
    <n v="1"/>
    <n v="0"/>
    <s v="Нет"/>
    <m/>
    <m/>
    <m/>
    <m/>
    <s v="Да"/>
    <s v="Нет"/>
    <m/>
  </r>
  <r>
    <d v="2025-11-18T15:50:11"/>
    <s v="Спортивная школа управления образования"/>
    <x v="4"/>
    <x v="27"/>
    <s v="Сарапул"/>
    <s v="427961 Удмуртская республика, г. Сарапул , ул.Фурманова , 1 а"/>
    <n v="3414739500"/>
    <s v="shkola24@sarap-obr.udmr.ru"/>
    <s v="спортивная школа управления образования"/>
    <s v="Нет"/>
    <n v="70"/>
    <x v="30"/>
    <x v="1"/>
    <x v="0"/>
    <x v="0"/>
    <n v="0"/>
    <n v="0"/>
    <n v="0"/>
    <n v="0"/>
    <n v="4"/>
    <n v="4"/>
    <n v="2"/>
    <n v="4"/>
    <n v="5"/>
    <n v="4"/>
    <n v="3"/>
    <n v="4"/>
    <s v="До 15 лет, До 17 лет"/>
    <s v="Да"/>
    <s v="Нет"/>
    <n v="1"/>
    <n v="0"/>
    <s v="Саурин Алексей Евгеньевич"/>
    <m/>
    <m/>
    <m/>
    <m/>
    <s v="Нет"/>
    <s v="Нет"/>
    <s v="Продолжим активно развивать женский футболь, Девочкам очень нравится"/>
  </r>
  <r>
    <d v="2025-11-15T14:43:53"/>
    <s v="МБОУ Базарносызганская СШ1"/>
    <x v="4"/>
    <x v="28"/>
    <s v="Базарный Сызган "/>
    <s v="Советская 64 "/>
    <n v="17705"/>
    <s v="bazschool@yandex.ru"/>
    <s v="СШ"/>
    <s v="Нет"/>
    <n v="75"/>
    <x v="1"/>
    <x v="1"/>
    <x v="0"/>
    <x v="0"/>
    <n v="0"/>
    <n v="0"/>
    <n v="0"/>
    <n v="0"/>
    <n v="0"/>
    <n v="0"/>
    <n v="0"/>
    <n v="0"/>
    <n v="18"/>
    <n v="0"/>
    <n v="0"/>
    <n v="0"/>
    <s v="До 10 лет, До 12 лет, До 13 лет, До 15 лет, До 17 лет, До 19 лет"/>
    <s v="Нет"/>
    <s v="Нет"/>
    <n v="1"/>
    <n v="0"/>
    <s v="Нет"/>
    <m/>
    <m/>
    <m/>
    <m/>
    <s v="Нет"/>
    <s v="Нет"/>
    <m/>
  </r>
  <r>
    <d v="2025-11-14T10:55:09"/>
    <s v="Муниципальное Бюджетное Учреждение Дополительного Образования Спортивная Школа &quot;ЛАДА&quot; г. Димитровград"/>
    <x v="4"/>
    <x v="28"/>
    <s v="Димитровград"/>
    <s v="433504 Ульяновская область, г. Димитровград, пр-т Димитрова, д. 14 А"/>
    <s v="8(84235) 3-13-01"/>
    <s v="lada.dimitrovgrad@mail.ru"/>
    <s v="СШ"/>
    <s v="Нет"/>
    <n v="318"/>
    <x v="13"/>
    <x v="4"/>
    <x v="0"/>
    <x v="0"/>
    <n v="0"/>
    <n v="0"/>
    <n v="0"/>
    <n v="4"/>
    <n v="4"/>
    <n v="1"/>
    <n v="6"/>
    <n v="1"/>
    <n v="0"/>
    <n v="0"/>
    <n v="0"/>
    <n v="0"/>
    <s v="До 15 лет"/>
    <s v="Нет"/>
    <s v="Да"/>
    <n v="1"/>
    <n v="0"/>
    <s v="Степуро А.С. С-УЕФА"/>
    <n v="1"/>
    <m/>
    <m/>
    <m/>
    <s v="Да"/>
    <s v="Нет"/>
    <m/>
  </r>
  <r>
    <d v="2025-11-18T14:33:07"/>
    <s v="АП ФК &quot;Нефтяник&quot;"/>
    <x v="4"/>
    <x v="28"/>
    <s v="Новоспасское"/>
    <s v="Ульяновская область, рп Новоспасское, ул. Терешковой, д.3А, пом. 1"/>
    <n v="-1860"/>
    <s v="abdulin.a@mail.ru"/>
    <s v="Ассоциация партнеров Футбольный клуб"/>
    <s v="Нет"/>
    <n v="180"/>
    <x v="50"/>
    <x v="1"/>
    <x v="0"/>
    <x v="0"/>
    <n v="5"/>
    <n v="5"/>
    <n v="4"/>
    <n v="0"/>
    <n v="0"/>
    <n v="4"/>
    <n v="4"/>
    <n v="5"/>
    <n v="3"/>
    <n v="2"/>
    <n v="0"/>
    <n v="3"/>
    <s v="До 13 лет"/>
    <s v="Да"/>
    <s v="Да"/>
    <n v="2"/>
    <n v="1"/>
    <s v="нет"/>
    <m/>
    <m/>
    <m/>
    <m/>
    <s v="Нет"/>
    <s v="Нет"/>
    <m/>
  </r>
  <r>
    <d v="2025-11-18T15:50:57"/>
    <s v="МОУ СШ г. Сенгилея"/>
    <x v="4"/>
    <x v="28"/>
    <s v="Сенгилей"/>
    <s v="Ульяновская область, г. Сенгилей, пл.1 Мая, д. 1"/>
    <n v="78423321185"/>
    <s v="sengschool_1"/>
    <s v="СШ"/>
    <s v="Нет"/>
    <n v="30"/>
    <x v="71"/>
    <x v="1"/>
    <x v="0"/>
    <x v="0"/>
    <n v="6"/>
    <n v="3"/>
    <n v="3"/>
    <n v="0"/>
    <n v="0"/>
    <n v="0"/>
    <n v="0"/>
    <n v="0"/>
    <n v="0"/>
    <n v="0"/>
    <n v="0"/>
    <n v="0"/>
    <s v="До 15 лет, До 17 лет"/>
    <s v="Да"/>
    <s v="Нет"/>
    <n v="1"/>
    <n v="0"/>
    <s v="Нет"/>
    <m/>
    <m/>
    <m/>
    <m/>
    <s v="Нет"/>
    <s v="Нет"/>
    <m/>
  </r>
  <r>
    <d v="2025-12-04T12:19:42"/>
    <s v="МБУ ДО &quot;ДЮСШ Мелекесского района&quot;"/>
    <x v="4"/>
    <x v="28"/>
    <s v="Тиинск"/>
    <s v="Мелекесский район, Тиинск, Советская ул., д.32"/>
    <s v="+7 (927) 810-82-95"/>
    <s v="dush.melekess@mail.ru"/>
    <s v="ДО СШ"/>
    <s v="Нет"/>
    <n v="46"/>
    <x v="7"/>
    <x v="1"/>
    <x v="0"/>
    <x v="0"/>
    <n v="0"/>
    <n v="0"/>
    <n v="0"/>
    <n v="0"/>
    <n v="4"/>
    <n v="3"/>
    <n v="3"/>
    <n v="5"/>
    <n v="2"/>
    <n v="0"/>
    <n v="0"/>
    <n v="0"/>
    <s v="До 10 лет, До 12 лет, До 13 лет"/>
    <s v="Да"/>
    <s v="Нет"/>
    <n v="1"/>
    <n v="0"/>
    <s v="нет"/>
    <m/>
    <m/>
    <m/>
    <m/>
    <s v="Нет"/>
    <s v="Нет"/>
    <m/>
  </r>
  <r>
    <d v="2025-11-21T09:14:19"/>
    <s v="Платон - Волга"/>
    <x v="4"/>
    <x v="28"/>
    <s v="Ульяновск"/>
    <s v="Варейкиса 22 а "/>
    <n v="89876395777"/>
    <s v="Mihasj89@mail.ru"/>
    <s v="частная "/>
    <s v="Нет"/>
    <n v="250"/>
    <x v="71"/>
    <x v="1"/>
    <x v="0"/>
    <x v="0"/>
    <n v="0"/>
    <n v="0"/>
    <n v="0"/>
    <n v="0"/>
    <n v="0"/>
    <n v="0"/>
    <n v="3"/>
    <n v="6"/>
    <n v="2"/>
    <n v="1"/>
    <n v="0"/>
    <n v="0"/>
    <s v="До 10 лет, До 12 лет, До 13 лет, До 15 лет, До 17 лет"/>
    <s v="Нет"/>
    <s v="Да"/>
    <n v="1"/>
    <n v="0"/>
    <s v="-"/>
    <m/>
    <m/>
    <m/>
    <m/>
    <s v="Да"/>
    <s v="Нет"/>
    <m/>
  </r>
  <r>
    <d v="2025-11-17T14:54:27"/>
    <s v="ОГБУДО &quot;СШ по футболу &quot;Волга&quot; им. Н.П. Старостина&quot;"/>
    <x v="4"/>
    <x v="28"/>
    <s v="Ульяновск"/>
    <s v="г. Ульяновск, ул. Гончарова, 21, стр.1"/>
    <n v="8422735155"/>
    <s v="volgaschool@mail.ru"/>
    <s v="СШ"/>
    <s v="РЦ"/>
    <n v="678"/>
    <x v="97"/>
    <x v="1"/>
    <x v="2"/>
    <x v="5"/>
    <n v="6"/>
    <n v="7"/>
    <n v="10"/>
    <n v="5"/>
    <n v="7"/>
    <n v="10"/>
    <n v="16"/>
    <n v="22"/>
    <n v="26"/>
    <n v="11"/>
    <n v="2"/>
    <n v="0"/>
    <s v="До 10 лет, До 12 лет, До 13 лет, До 15 лет, До 17 лет, До 19 лет"/>
    <s v="Нет"/>
    <s v="Да"/>
    <n v="5"/>
    <n v="1"/>
    <s v="Усачева Е.В., С-УЕФА; Галкин М.Б. - С-УЕФА; Сидякин С.С. - С-УЕФА; Трушин С.Е. - нет, Козлов С.А. - нет"/>
    <n v="3"/>
    <m/>
    <m/>
    <m/>
    <s v="Да"/>
    <s v="Нет"/>
    <m/>
  </r>
  <r>
    <d v="2025-11-17T09:53:19"/>
    <s v="МБУ ДО &quot;Спортивная школа &quot;Старт&quot;"/>
    <x v="4"/>
    <x v="28"/>
    <s v="Ульяновск"/>
    <s v="ул. 40-летия Победы, д.35"/>
    <s v="8(8422)20 28 82"/>
    <s v="ulstart@mail.ru"/>
    <s v="СШ"/>
    <s v="Нет"/>
    <n v="475"/>
    <x v="15"/>
    <x v="1"/>
    <x v="0"/>
    <x v="0"/>
    <n v="0"/>
    <n v="0"/>
    <n v="1"/>
    <n v="3"/>
    <n v="8"/>
    <n v="2"/>
    <n v="5"/>
    <n v="4"/>
    <n v="1"/>
    <n v="1"/>
    <n v="0"/>
    <n v="0"/>
    <s v="До 10 лет"/>
    <s v="Да"/>
    <s v="Да"/>
    <n v="1"/>
    <n v="0"/>
    <n v="0"/>
    <m/>
    <m/>
    <m/>
    <m/>
    <s v="Да"/>
    <s v="Нет"/>
    <s v="нет"/>
  </r>
  <r>
    <d v="2025-12-02T14:36:09"/>
    <s v="СК &quot;Гелиос&quot;"/>
    <x v="4"/>
    <x v="28"/>
    <s v="Ульяновск"/>
    <s v="Улица Камышинская, дом 51"/>
    <n v="89372712790"/>
    <s v="sch61@mo73.ru"/>
    <s v="СК"/>
    <s v="Нет"/>
    <n v="67"/>
    <x v="66"/>
    <x v="1"/>
    <x v="0"/>
    <x v="0"/>
    <n v="0"/>
    <n v="0"/>
    <n v="0"/>
    <n v="0"/>
    <n v="0"/>
    <n v="0"/>
    <n v="0"/>
    <n v="3"/>
    <n v="3"/>
    <n v="1"/>
    <n v="0"/>
    <n v="0"/>
    <m/>
    <s v="Да"/>
    <s v="Да"/>
    <n v="1"/>
    <n v="0"/>
    <n v="0"/>
    <m/>
    <m/>
    <m/>
    <m/>
    <s v="Нет"/>
    <s v="Нет"/>
    <m/>
  </r>
  <r>
    <d v="2025-12-02T14:26:58"/>
    <s v="ДЮСШ Цильнинский район"/>
    <x v="4"/>
    <x v="28"/>
    <s v="Цильна"/>
    <s v="Ул.О.Кошевого д3"/>
    <n v="89084841036"/>
    <s v="Dushcilna@mail.ru"/>
    <s v="ДЮСШ"/>
    <s v="Нет"/>
    <n v="82"/>
    <x v="81"/>
    <x v="1"/>
    <x v="0"/>
    <x v="0"/>
    <n v="0"/>
    <n v="0"/>
    <n v="0"/>
    <n v="0"/>
    <n v="0"/>
    <n v="0"/>
    <n v="7"/>
    <n v="7"/>
    <n v="6"/>
    <n v="5"/>
    <n v="1"/>
    <n v="0"/>
    <m/>
    <s v="Да"/>
    <s v="Нет"/>
    <n v="2"/>
    <n v="0"/>
    <n v="0"/>
    <m/>
    <m/>
    <m/>
    <m/>
    <s v="Нет"/>
    <s v="Нет"/>
    <m/>
  </r>
  <r>
    <d v="2025-11-19T15:16:54"/>
    <s v="АУ ДО &quot;СШ им. Е. Николаевой&quot;"/>
    <x v="4"/>
    <x v="29"/>
    <s v="Мариинский Посад"/>
    <s v="ул. Николаева д.91В"/>
    <n v="8354221776"/>
    <s v="fsk-mariinsky@mail.ru"/>
    <s v="СШ"/>
    <s v="Нет"/>
    <n v="204"/>
    <x v="52"/>
    <x v="1"/>
    <x v="3"/>
    <x v="4"/>
    <n v="0"/>
    <n v="2"/>
    <n v="3"/>
    <n v="1"/>
    <n v="2"/>
    <n v="6"/>
    <n v="11"/>
    <n v="2"/>
    <n v="10"/>
    <n v="21"/>
    <n v="1"/>
    <n v="0"/>
    <s v="До 10 лет"/>
    <s v="Да"/>
    <s v="Да"/>
    <n v="3"/>
    <n v="0"/>
    <n v="0"/>
    <m/>
    <m/>
    <m/>
    <m/>
    <s v="Да"/>
    <s v="Нет"/>
    <m/>
  </r>
  <r>
    <d v="2025-12-05T12:13:22"/>
    <s v="ШСК Восьмерка"/>
    <x v="4"/>
    <x v="29"/>
    <s v="Новочебоксарск"/>
    <s v="Солнечная,14"/>
    <n v="78352770653"/>
    <s v="fcbox2010@rambler.ru"/>
    <s v="ШСК"/>
    <s v="Нет"/>
    <n v="75"/>
    <x v="15"/>
    <x v="1"/>
    <x v="0"/>
    <x v="0"/>
    <n v="0"/>
    <n v="0"/>
    <n v="0"/>
    <n v="10"/>
    <n v="2"/>
    <n v="8"/>
    <n v="2"/>
    <n v="3"/>
    <n v="0"/>
    <n v="0"/>
    <n v="0"/>
    <n v="0"/>
    <s v="До 10 лет, До 12 лет, До 13 лет, До 15 лет"/>
    <s v="Да"/>
    <s v="Да"/>
    <n v="2"/>
    <n v="0"/>
    <s v="Ананьев М.А."/>
    <m/>
    <m/>
    <m/>
    <m/>
    <s v="Нет"/>
    <s v="Нет"/>
    <m/>
  </r>
  <r>
    <d v="2025-11-17T11:55:08"/>
    <s v="МБУ ДО &quot;СШ №1&quot; г. Новочебоксарска"/>
    <x v="4"/>
    <x v="29"/>
    <s v="Новочебоксарск "/>
    <s v="429959, Чувашская Республика, город Новочебоксарск, Пионерская ул., д.1 "/>
    <s v="77-06-42"/>
    <s v="dussh1@yandex.ru"/>
    <s v="СШ"/>
    <s v="Нет"/>
    <n v="209"/>
    <x v="11"/>
    <x v="1"/>
    <x v="0"/>
    <x v="0"/>
    <n v="0"/>
    <n v="0"/>
    <n v="0"/>
    <n v="0"/>
    <n v="0"/>
    <n v="0"/>
    <n v="0"/>
    <n v="1"/>
    <n v="0"/>
    <n v="0"/>
    <n v="0"/>
    <n v="0"/>
    <s v="До 10 лет, До 12 лет, До 13 лет, До 15 лет, До 17 лет, До 19 лет"/>
    <s v="Да"/>
    <s v="Нет"/>
    <n v="1"/>
    <n v="0"/>
    <s v="Цаплин Н.В."/>
    <m/>
    <m/>
    <m/>
    <m/>
    <s v="Да"/>
    <s v="Нет"/>
    <m/>
  </r>
  <r>
    <d v="2025-12-03T12:50:26"/>
    <s v="МКОУ &quot;Забузанская СОШ имени Турченко Э. П.&quot;"/>
    <x v="1"/>
    <x v="5"/>
    <s v="Забухан"/>
    <s v="с. Забузан, улица Свердлова 5"/>
    <n v="8851293263"/>
    <s v="zabuzah scool63@mai.ru"/>
    <s v="СШ"/>
    <s v="Нет"/>
    <n v="70"/>
    <x v="38"/>
    <x v="1"/>
    <x v="0"/>
    <x v="0"/>
    <n v="0"/>
    <n v="0"/>
    <n v="0"/>
    <n v="0"/>
    <n v="6"/>
    <n v="2"/>
    <n v="12"/>
    <n v="8"/>
    <n v="8"/>
    <n v="8"/>
    <n v="8"/>
    <n v="1"/>
    <s v="До 10 лет"/>
    <s v="Да"/>
    <s v="Нет"/>
    <n v="2"/>
    <n v="1"/>
    <s v="Попов В. М., Суханова Д,Ш."/>
    <m/>
    <m/>
    <m/>
    <m/>
    <s v="Нет"/>
    <s v="Нет"/>
    <s v="Проводить почаще встречи с легендами Российского футбола, семинары с тренерами."/>
  </r>
  <r>
    <d v="2025-11-14T11:37:40"/>
    <s v="МБУДо &quot;СШ &quot;Энергия&quot; г. Чебоксары"/>
    <x v="4"/>
    <x v="29"/>
    <s v="Чебоксары"/>
    <s v="г. Чебоксары, ул. Ленинградская 34"/>
    <s v="+7(8352) 50-00-10"/>
    <s v="dussh_energiya@mail.ru"/>
    <s v="СШ"/>
    <s v="Нет"/>
    <n v="126"/>
    <x v="17"/>
    <x v="1"/>
    <x v="0"/>
    <x v="0"/>
    <n v="1"/>
    <n v="2"/>
    <n v="1"/>
    <n v="3"/>
    <n v="2"/>
    <n v="5"/>
    <n v="2"/>
    <n v="0"/>
    <n v="0"/>
    <n v="0"/>
    <n v="0"/>
    <n v="0"/>
    <s v="Соревновательной практики достаточно"/>
    <s v="Нет"/>
    <s v="Да"/>
    <n v="1"/>
    <n v="1"/>
    <s v="Мазякина Е.Г."/>
    <m/>
    <m/>
    <m/>
    <m/>
    <s v="Да"/>
    <s v="Нет"/>
    <m/>
  </r>
  <r>
    <d v="2025-12-05T15:15:42"/>
    <s v="ФК Новый Город"/>
    <x v="4"/>
    <x v="29"/>
    <s v="Чебоксары"/>
    <s v="Новогородская 34"/>
    <n v="89278483626"/>
    <s v="Arteksil@mail.ru"/>
    <s v="ШСК"/>
    <s v="Нет"/>
    <n v="400"/>
    <x v="56"/>
    <x v="1"/>
    <x v="0"/>
    <x v="0"/>
    <n v="0"/>
    <n v="10"/>
    <n v="10"/>
    <n v="60"/>
    <n v="30"/>
    <n v="10"/>
    <n v="10"/>
    <n v="0"/>
    <n v="0"/>
    <n v="0"/>
    <n v="0"/>
    <n v="0"/>
    <s v="Соревновательной практики достаточно"/>
    <s v="Да"/>
    <s v="Нет"/>
    <n v="2"/>
    <n v="0"/>
    <s v="Нет"/>
    <m/>
    <m/>
    <m/>
    <m/>
    <s v="Да"/>
    <s v="Нет"/>
    <m/>
  </r>
  <r>
    <d v="2025-11-14T11:50:52"/>
    <s v="БУ ДО &quot;Спортивная школа по футболу&quot; Чувашской Республики"/>
    <x v="4"/>
    <x v="29"/>
    <s v="Чебоксары"/>
    <s v="ул. Гладкова 8"/>
    <s v="8(8352)25-72-44"/>
    <s v="sh.footboll@mail.ru"/>
    <s v="СШ"/>
    <s v="ДФЦ"/>
    <n v="435"/>
    <x v="98"/>
    <x v="5"/>
    <x v="5"/>
    <x v="4"/>
    <n v="7"/>
    <n v="4"/>
    <n v="1"/>
    <n v="22"/>
    <n v="9"/>
    <n v="15"/>
    <n v="6"/>
    <n v="2"/>
    <n v="0"/>
    <n v="0"/>
    <n v="0"/>
    <n v="0"/>
    <s v="До 10 лет, До 12 лет"/>
    <s v="Да"/>
    <s v="Да"/>
    <n v="2"/>
    <n v="1"/>
    <s v="Лесин Сергей Николаевич_x000a_Мазякина Елена Геннадьевна"/>
    <m/>
    <m/>
    <m/>
    <m/>
    <s v="Да"/>
    <s v="Нет"/>
    <s v="Женский футбол активно развивается, и мы способствуем этому._x000a_При определённой поддержке РФС у нас всё получится."/>
  </r>
  <r>
    <d v="2025-12-02T14:24:19"/>
    <s v="МБУДО &quot;СШ &quot;Спартак&quot; г. Чебоксары"/>
    <x v="4"/>
    <x v="29"/>
    <s v="Чебоксары "/>
    <s v=" г. Чебоксары, ул. К. Маркса, д.36"/>
    <n v="89196657451"/>
    <s v="gcheb_fizcult@cap.ru"/>
    <s v="ДО"/>
    <s v="Нет"/>
    <n v="100"/>
    <x v="34"/>
    <x v="1"/>
    <x v="0"/>
    <x v="0"/>
    <n v="0"/>
    <n v="0"/>
    <n v="0"/>
    <n v="0"/>
    <n v="0"/>
    <n v="10"/>
    <n v="11"/>
    <n v="0"/>
    <n v="0"/>
    <n v="0"/>
    <n v="0"/>
    <n v="0"/>
    <m/>
    <s v="Да"/>
    <s v="Нет"/>
    <n v="1"/>
    <n v="0"/>
    <n v="0"/>
    <m/>
    <m/>
    <m/>
    <m/>
    <s v="Да"/>
    <s v="Нет"/>
    <m/>
  </r>
  <r>
    <d v="2025-11-18T14:54:02"/>
    <s v="МАУ ДО &quot;СШ &quot;Аль&quot; Янтиковского МО ЧР"/>
    <x v="4"/>
    <x v="29"/>
    <s v="Янтиково"/>
    <s v="Чувашская Республика Янтиковский район, с. Янтиково, пр.Ленина 22Б"/>
    <n v="22354821273"/>
    <s v="yan-duz@mail.ru"/>
    <s v="СШ"/>
    <s v="Нет"/>
    <n v="62"/>
    <x v="8"/>
    <x v="1"/>
    <x v="0"/>
    <x v="0"/>
    <n v="0"/>
    <n v="0"/>
    <n v="0"/>
    <n v="1"/>
    <n v="0"/>
    <n v="0"/>
    <n v="1"/>
    <n v="0"/>
    <n v="0"/>
    <n v="0"/>
    <n v="0"/>
    <n v="0"/>
    <s v="Соревновательной практики достаточно"/>
    <s v="Да"/>
    <s v="Да"/>
    <n v="1"/>
    <n v="0"/>
    <n v="0"/>
    <m/>
    <m/>
    <m/>
    <m/>
    <s v="Нет"/>
    <s v="Нет"/>
    <m/>
  </r>
  <r>
    <d v="2025-12-02T09:21:39"/>
    <s v="МБУ ДО СШ имени П.В. Усова"/>
    <x v="5"/>
    <x v="30"/>
    <s v="Архангельск"/>
    <s v="163062, г. Архангельск, ул. Никитова, д. 1"/>
    <n v="78182618818"/>
    <s v="uk0174@mail.ru"/>
    <s v="СШ"/>
    <s v="Нет"/>
    <n v="200"/>
    <x v="14"/>
    <x v="1"/>
    <x v="0"/>
    <x v="0"/>
    <n v="0"/>
    <n v="0"/>
    <n v="0"/>
    <n v="0"/>
    <n v="0"/>
    <n v="3"/>
    <n v="3"/>
    <n v="0"/>
    <n v="2"/>
    <n v="3"/>
    <n v="0"/>
    <n v="0"/>
    <s v="До 10 лет"/>
    <s v="Да"/>
    <s v="Нет"/>
    <n v="2"/>
    <n v="1"/>
    <s v="Дитятева Екатерина Леонидовна"/>
    <m/>
    <m/>
    <m/>
    <m/>
    <s v="Да"/>
    <s v="Нет"/>
    <s v="отдельных групп девочек из-за незначительного спроса нет"/>
  </r>
  <r>
    <d v="2025-12-03T13:51:16"/>
    <s v="ДФК &quot;Барсы&quot;"/>
    <x v="5"/>
    <x v="30"/>
    <s v="Архангельск"/>
    <s v="Гагарина 42"/>
    <n v="79210883588"/>
    <s v="r.evseeff@yandex.ru"/>
    <s v="ДФК"/>
    <s v="Нет"/>
    <n v="300"/>
    <x v="37"/>
    <x v="1"/>
    <x v="0"/>
    <x v="0"/>
    <n v="0"/>
    <n v="0"/>
    <n v="1"/>
    <n v="1"/>
    <n v="1"/>
    <n v="4"/>
    <n v="8"/>
    <n v="6"/>
    <n v="12"/>
    <n v="7"/>
    <n v="3"/>
    <n v="4"/>
    <s v="во всех"/>
    <s v="Да"/>
    <s v="Да"/>
    <n v="1"/>
    <n v="0"/>
    <s v="Евсеев Р.Е"/>
    <m/>
    <m/>
    <m/>
    <m/>
    <s v="Нет"/>
    <s v="Нет"/>
    <s v="Вернуть прежний формат проведения по футзалу"/>
  </r>
  <r>
    <d v="2025-12-05T11:46:44"/>
    <s v="ЖФК «Барсы»"/>
    <x v="5"/>
    <x v="30"/>
    <s v="Архангельск"/>
    <s v="Ул. Гагарина 42"/>
    <n v="89506614203"/>
    <s v="s-polina84@mail.ru"/>
    <s v="ЖФК"/>
    <s v="Нет"/>
    <n v="10"/>
    <x v="0"/>
    <x v="2"/>
    <x v="0"/>
    <x v="0"/>
    <n v="0"/>
    <n v="0"/>
    <n v="0"/>
    <n v="0"/>
    <n v="0"/>
    <n v="0"/>
    <n v="0"/>
    <n v="0"/>
    <n v="0"/>
    <n v="0"/>
    <n v="0"/>
    <n v="0"/>
    <s v="До 15 лет, До 17 лет, До 19 лет, Старше 18 лет"/>
    <s v="Нет"/>
    <s v="Нет"/>
    <n v="1"/>
    <n v="1"/>
    <s v="Нет"/>
    <m/>
    <m/>
    <m/>
    <m/>
    <s v="Нет"/>
    <s v="Нет"/>
    <m/>
  </r>
  <r>
    <d v="2025-11-25T21:39:28"/>
    <s v="ИГРАЙ-ПИНАЙ"/>
    <x v="5"/>
    <x v="30"/>
    <s v="Архангельск и Новодвинск"/>
    <s v="Юр. Адрес: г. Архангельск, пр. Обводный канал, д. 40, кВ. 92 (наши тренировки проходят на выездной основе)"/>
    <n v="89115957663"/>
    <s v="igraypinay@gmail.com"/>
    <s v="ФСК"/>
    <s v="Нет"/>
    <n v="743"/>
    <x v="99"/>
    <x v="1"/>
    <x v="0"/>
    <x v="0"/>
    <n v="0"/>
    <n v="0"/>
    <n v="0"/>
    <n v="0"/>
    <n v="0"/>
    <n v="0"/>
    <n v="0"/>
    <n v="0"/>
    <n v="0"/>
    <n v="3"/>
    <n v="9"/>
    <n v="87"/>
    <s v="До 10 лет"/>
    <s v="Да"/>
    <s v="Да"/>
    <n v="5"/>
    <n v="1"/>
    <s v="-"/>
    <m/>
    <m/>
    <m/>
    <m/>
    <s v="Да"/>
    <s v="Нет"/>
    <m/>
  </r>
  <r>
    <d v="2025-11-25T15:21:31"/>
    <s v="Муниципальное бюджетное учреждение дополнительного образования &quot;Вельская спортивная школа&quot; "/>
    <x v="5"/>
    <x v="30"/>
    <s v="Вельск"/>
    <s v="г.Вельск ул. Первого мая д.51"/>
    <n v="78183661631"/>
    <s v="dushvel@yandex.ru "/>
    <s v="СШ"/>
    <s v="Нет"/>
    <n v="166"/>
    <x v="93"/>
    <x v="1"/>
    <x v="0"/>
    <x v="0"/>
    <n v="0"/>
    <n v="0"/>
    <n v="1"/>
    <n v="0"/>
    <n v="0"/>
    <n v="0"/>
    <n v="0"/>
    <n v="0"/>
    <n v="0"/>
    <n v="0"/>
    <n v="2"/>
    <n v="0"/>
    <s v="Соревнованиц практически не проводятся "/>
    <s v="Да"/>
    <s v="Да"/>
    <n v="0"/>
    <n v="0"/>
    <n v="0"/>
    <m/>
    <m/>
    <m/>
    <m/>
    <s v="Да"/>
    <s v="Нет"/>
    <m/>
  </r>
  <r>
    <d v="2025-12-08T15:45:12"/>
    <s v="МУ ДО &quot;Спортивная школа №1&quot;"/>
    <x v="5"/>
    <x v="30"/>
    <s v="Котлас"/>
    <s v="Архангельская обл., г. Котлас, ул. 28 Невельской Дивизии, д. 1"/>
    <s v="8(81837)2-58-12"/>
    <s v="ksvdysh2016@yandex.ru"/>
    <s v="СШ"/>
    <s v="Нет"/>
    <n v="206"/>
    <x v="65"/>
    <x v="1"/>
    <x v="0"/>
    <x v="0"/>
    <n v="0"/>
    <n v="0"/>
    <n v="0"/>
    <n v="0"/>
    <n v="0"/>
    <n v="3"/>
    <n v="0"/>
    <n v="1"/>
    <n v="0"/>
    <n v="0"/>
    <n v="0"/>
    <n v="0"/>
    <m/>
    <s v="Да"/>
    <s v="Нет"/>
    <n v="1"/>
    <n v="0"/>
    <s v="Тулаев Р.В.; Хромов Ю.В."/>
    <m/>
    <m/>
    <m/>
    <m/>
    <s v="Да"/>
    <s v="Нет"/>
    <m/>
  </r>
  <r>
    <d v="2025-11-18T09:09:04"/>
    <s v="Муниципальное бюджетное учреждение дополнительного образования  «Няндомская спортивная школа»"/>
    <x v="5"/>
    <x v="30"/>
    <s v="Няндома"/>
    <s v="164200, Архангельская область, г. Няндома, ул. Североморская, д. 7А"/>
    <n v="79910537576"/>
    <s v="ndussh29@yandex.ru"/>
    <s v="СШ"/>
    <s v="Нет"/>
    <n v="16"/>
    <x v="11"/>
    <x v="1"/>
    <x v="0"/>
    <x v="0"/>
    <n v="0"/>
    <n v="0"/>
    <n v="0"/>
    <n v="0"/>
    <n v="0"/>
    <n v="0"/>
    <n v="0"/>
    <n v="0"/>
    <n v="0"/>
    <n v="1"/>
    <n v="0"/>
    <n v="0"/>
    <s v="Соревновательной практики достаточно"/>
    <s v="Да"/>
    <s v="Нет"/>
    <n v="1"/>
    <n v="0"/>
    <s v="Стрельцов Юрий Александрович"/>
    <m/>
    <m/>
    <m/>
    <m/>
    <s v="Да"/>
    <s v="Да"/>
    <m/>
  </r>
  <r>
    <d v="2025-11-20T21:45:04"/>
    <s v="МАУ ДО &quot;СШ &quot;Строитель&quot;"/>
    <x v="5"/>
    <x v="30"/>
    <s v="Северодвинск"/>
    <s v="ул. Профсоюзная 25а"/>
    <s v="8 (8184) 566433"/>
    <s v="sport-stroitel@rambler.ru"/>
    <s v="СШ"/>
    <s v="Нет"/>
    <n v="300"/>
    <x v="5"/>
    <x v="1"/>
    <x v="0"/>
    <x v="0"/>
    <n v="0"/>
    <n v="0"/>
    <n v="1"/>
    <n v="0"/>
    <n v="0"/>
    <n v="1"/>
    <n v="2"/>
    <n v="1"/>
    <n v="1"/>
    <n v="0"/>
    <n v="0"/>
    <n v="2"/>
    <s v="во всех категориях нет практики"/>
    <s v="Да"/>
    <s v="Да"/>
    <n v="2"/>
    <n v="0"/>
    <s v="Дружков Н.Н., Дружков Д.Н."/>
    <m/>
    <m/>
    <m/>
    <m/>
    <s v="Да"/>
    <s v="Нет"/>
    <s v="Дополнительных вопросов, комментариев и предложений нет"/>
  </r>
  <r>
    <d v="2025-12-02T17:58:53"/>
    <s v="Муниципальное автономное учреждение дополнительного образования «Спортивная школа города Гусева»"/>
    <x v="5"/>
    <x v="31"/>
    <s v="Гусев"/>
    <s v="238055, Россия, Калининградская обл., г. Гусев, ул. Красноармейская, д. 1 "/>
    <s v="8 (401-43)33537"/>
    <s v="sportgusev2014@mail.ru"/>
    <s v="СШ"/>
    <s v="Нет"/>
    <n v="172"/>
    <x v="3"/>
    <x v="1"/>
    <x v="0"/>
    <x v="0"/>
    <n v="0"/>
    <n v="0"/>
    <n v="3"/>
    <n v="1"/>
    <n v="1"/>
    <n v="0"/>
    <n v="0"/>
    <n v="7"/>
    <n v="0"/>
    <n v="3"/>
    <n v="0"/>
    <n v="0"/>
    <m/>
    <s v="Да"/>
    <s v="Да"/>
    <n v="1"/>
    <n v="1"/>
    <s v="Казлаускене Н.В."/>
    <m/>
    <m/>
    <m/>
    <m/>
    <s v="Да"/>
    <s v="Нет"/>
    <m/>
  </r>
  <r>
    <d v="2025-11-19T14:26:16"/>
    <s v="АО ФК Балтика"/>
    <x v="5"/>
    <x v="31"/>
    <s v="Калининград"/>
    <s v="г. Калининград, Ул. Дм. Донского, 2"/>
    <s v="8(4012)21-65-01"/>
    <s v="info@fc-baltika.ru"/>
    <s v="ПФК"/>
    <s v="Нет"/>
    <n v="100"/>
    <x v="30"/>
    <x v="5"/>
    <x v="1"/>
    <x v="7"/>
    <n v="7"/>
    <n v="6"/>
    <n v="4"/>
    <n v="0"/>
    <n v="0"/>
    <n v="0"/>
    <n v="0"/>
    <n v="0"/>
    <n v="0"/>
    <n v="0"/>
    <n v="0"/>
    <n v="0"/>
    <s v="До 10 лет, До 12 лет, До 13 лет, До 15 лет, До 17 лет, До 19 лет"/>
    <s v="Нет"/>
    <s v="Нет"/>
    <n v="1"/>
    <n v="1"/>
    <s v="Филатова Я.А, В-УЕФА"/>
    <m/>
    <n v="1"/>
    <m/>
    <m/>
    <s v="Да"/>
    <s v="Да"/>
    <m/>
  </r>
  <r>
    <d v="2025-11-14T16:10:08"/>
    <s v="МАУ ДО СШОР № 5 по футболу "/>
    <x v="5"/>
    <x v="31"/>
    <s v="Калининград"/>
    <s v="проспект Мира, 134"/>
    <n v="84012213300"/>
    <s v="moudodsport5@mail.ru"/>
    <s v="СШОР"/>
    <s v="ДФЦ"/>
    <n v="1300"/>
    <x v="30"/>
    <x v="1"/>
    <x v="0"/>
    <x v="2"/>
    <n v="2"/>
    <n v="3"/>
    <n v="0"/>
    <n v="0"/>
    <n v="5"/>
    <n v="1"/>
    <n v="3"/>
    <n v="3"/>
    <n v="3"/>
    <n v="3"/>
    <n v="6"/>
    <n v="0"/>
    <s v="До 10 лет, До 12 лет, До 13 лет"/>
    <s v="Да"/>
    <s v="Да"/>
    <n v="2"/>
    <n v="0"/>
    <s v="Домрачев С.Н. - С-УЕФА; Иванов Г.А. - С-УЕФА"/>
    <n v="2"/>
    <m/>
    <m/>
    <m/>
    <s v="Да"/>
    <s v="Нет"/>
    <s v="Лучшие девочки в своих возрастах переходят тренироваться в АНО &quot;Балтика&quot; Калининград, где в командах принимают участие в соревнованиях ОФФ &quot;Северо-Запад&quot;"/>
  </r>
  <r>
    <d v="2025-12-01T19:43:40"/>
    <s v="МКОУ «Винновская СОШ»"/>
    <x v="1"/>
    <x v="5"/>
    <s v="Винный"/>
    <s v="416174, Астраханская область, Володарский район, поселок Винный, ул. Им.Лати Каримова, зд. 2 "/>
    <s v="8-(85142) 9-11-26"/>
    <s v="vinnoeadm@astrobl.ru"/>
    <s v="ШСК "/>
    <s v="Нет"/>
    <n v="105"/>
    <x v="69"/>
    <x v="1"/>
    <x v="0"/>
    <x v="0"/>
    <n v="1"/>
    <n v="3"/>
    <n v="4"/>
    <n v="6"/>
    <n v="7"/>
    <n v="8"/>
    <n v="6"/>
    <n v="6"/>
    <n v="4"/>
    <n v="4"/>
    <n v="2"/>
    <n v="4"/>
    <s v="До 10 лет, До 12 лет, До 13 лет, До 15 лет, До 17 лет"/>
    <s v="Да"/>
    <s v="Да"/>
    <n v="1"/>
    <n v="0"/>
    <s v="Преонов В.В."/>
    <m/>
    <m/>
    <m/>
    <m/>
    <s v="Нет"/>
    <s v="Нет"/>
    <m/>
  </r>
  <r>
    <d v="2025-12-02T21:58:36"/>
    <s v="АНО ДОСШ ФК &quot;Балтика&quot; "/>
    <x v="5"/>
    <x v="31"/>
    <s v="Калининград "/>
    <s v="236007,г.Калининград, ул. ДМ. Донского, 2"/>
    <n v="89222551996"/>
    <s v="School@fc-baltika.ru"/>
    <s v="СШ"/>
    <s v="Футбольная академия"/>
    <n v="420"/>
    <x v="60"/>
    <x v="1"/>
    <x v="0"/>
    <x v="0"/>
    <n v="0"/>
    <n v="0"/>
    <n v="7"/>
    <n v="15"/>
    <n v="25"/>
    <n v="16"/>
    <n v="7"/>
    <n v="7"/>
    <n v="0"/>
    <n v="0"/>
    <n v="0"/>
    <n v="0"/>
    <s v="До 10 лет, До 17 лет, До 19 лет"/>
    <s v="Нет"/>
    <s v="Нет"/>
    <n v="4"/>
    <n v="2"/>
    <s v="Постнова О.А.- С-УЕФА, Моисеенко О.А., В-УЕФА, Архипов Д.А., С-УЕФА, Ионов Д.С., В-УЕФА тренер вратарей"/>
    <n v="2"/>
    <n v="2"/>
    <m/>
    <m/>
    <s v="Да"/>
    <s v="Да"/>
    <m/>
  </r>
  <r>
    <d v="2025-11-20T18:13:54"/>
    <s v="АНО ФК «Альфа-09 Калининград»"/>
    <x v="5"/>
    <x v="31"/>
    <s v="Калининград "/>
    <s v="Калининград Мариупольская 4-2"/>
    <s v="8-911-472-95-85"/>
    <s v="wiho4ka@mail.ru"/>
    <s v="Футбольный клуб"/>
    <s v="Нет"/>
    <n v="110"/>
    <x v="100"/>
    <x v="16"/>
    <x v="13"/>
    <x v="14"/>
    <n v="10"/>
    <n v="0"/>
    <n v="6"/>
    <n v="5"/>
    <n v="10"/>
    <n v="10"/>
    <n v="10"/>
    <n v="10"/>
    <n v="5"/>
    <n v="5"/>
    <n v="5"/>
    <n v="5"/>
    <s v="До 10 лет, До 19 лет"/>
    <s v="Нет"/>
    <s v="Нет"/>
    <n v="5"/>
    <n v="5"/>
    <s v="Малиновская Н.А. С-УЕФА"/>
    <n v="1"/>
    <m/>
    <m/>
    <m/>
    <s v="Да"/>
    <s v="Да"/>
    <s v="Дать возможность принимать участие в ЮФЛ нашей команде, сейчас такой возможности нет. Основная команда по мини-футболу в формате 7*7 в этом году стала серебряным призером, мужской команды у нас нет, но считаем, что нам необходимо предоставить данную возможность."/>
  </r>
  <r>
    <d v="2025-11-28T12:53:38"/>
    <s v="МАУДО&quot;Центр развития творчества детей и юношества г. Озерска&quot; "/>
    <x v="5"/>
    <x v="31"/>
    <s v="Озерск"/>
    <s v="ул. Черняховского, 15"/>
    <n v="4014232237"/>
    <s v="duts5@mail.ru"/>
    <s v="ЦРТДиЮ"/>
    <s v="Нет"/>
    <n v="142"/>
    <x v="27"/>
    <x v="1"/>
    <x v="0"/>
    <x v="0"/>
    <n v="0"/>
    <n v="0"/>
    <n v="3"/>
    <n v="1"/>
    <n v="7"/>
    <n v="8"/>
    <n v="6"/>
    <n v="1"/>
    <n v="2"/>
    <n v="3"/>
    <n v="3"/>
    <n v="0"/>
    <s v="До 10 лет, До 12 лет"/>
    <s v="Да"/>
    <s v="Да"/>
    <n v="1"/>
    <n v="0"/>
    <s v="Владыевский А.В."/>
    <m/>
    <m/>
    <m/>
    <m/>
    <s v="Нет"/>
    <s v="Нет"/>
    <m/>
  </r>
  <r>
    <d v="2025-11-17T17:02:22"/>
    <s v="МБО ДО ДЮСШ г. Полесска"/>
    <x v="5"/>
    <x v="31"/>
    <s v="Полесск"/>
    <s v="г. Полесск, ул. Калинингралская 38"/>
    <n v="4015830032"/>
    <s v="dysch.polessk@yandex.ru"/>
    <s v="ДЮСШ"/>
    <s v="Нет"/>
    <n v="173"/>
    <x v="49"/>
    <x v="1"/>
    <x v="0"/>
    <x v="0"/>
    <n v="0"/>
    <n v="0"/>
    <n v="0"/>
    <n v="1"/>
    <n v="2"/>
    <n v="3"/>
    <n v="8"/>
    <n v="10"/>
    <n v="1"/>
    <n v="3"/>
    <n v="0"/>
    <n v="3"/>
    <s v="До 10 лет, До 12 лет, До 13 лет"/>
    <s v="Да"/>
    <s v="Да"/>
    <n v="1"/>
    <n v="0"/>
    <s v="нет"/>
    <m/>
    <m/>
    <m/>
    <m/>
    <s v="Нет"/>
    <s v="Нет"/>
    <m/>
  </r>
  <r>
    <d v="2025-11-17T12:40:51"/>
    <s v="МАУ ДО СШ &quot;Вулкан&quot;"/>
    <x v="5"/>
    <x v="31"/>
    <s v="Правдинск"/>
    <s v="238400, г. Правдинск, ул. Комсомольская, зд.34"/>
    <s v="8 401-57 7 10 21"/>
    <s v="dusch12@yandex.ru"/>
    <s v="СШ"/>
    <s v="Нет"/>
    <n v="239"/>
    <x v="40"/>
    <x v="1"/>
    <x v="0"/>
    <x v="0"/>
    <n v="1"/>
    <n v="1"/>
    <n v="0"/>
    <n v="0"/>
    <n v="7"/>
    <n v="3"/>
    <n v="11"/>
    <n v="6"/>
    <n v="8"/>
    <n v="11"/>
    <n v="1"/>
    <n v="0"/>
    <s v="До 10 лет"/>
    <s v="Да"/>
    <s v="Да"/>
    <n v="6"/>
    <n v="0"/>
    <s v="нет"/>
    <m/>
    <m/>
    <m/>
    <m/>
    <s v="Да"/>
    <s v="Нет"/>
    <m/>
  </r>
  <r>
    <d v="2025-12-02T09:50:29"/>
    <s v="МКОУ ЗЕНЗЕЛИНСКАЯ СОШ "/>
    <x v="1"/>
    <x v="5"/>
    <s v="Зензели"/>
    <s v="Астраханская область Лиманский район С.Зензели ул Мира 36"/>
    <n v="88514792333"/>
    <s v="limzenzeli@yandex.ru"/>
    <s v="СШ"/>
    <s v="Нет"/>
    <n v="270"/>
    <x v="101"/>
    <x v="1"/>
    <x v="0"/>
    <x v="0"/>
    <n v="1"/>
    <n v="8"/>
    <n v="15"/>
    <n v="7"/>
    <n v="16"/>
    <n v="8"/>
    <n v="10"/>
    <n v="10"/>
    <n v="10"/>
    <n v="10"/>
    <n v="7"/>
    <n v="0"/>
    <s v="Соревновательной практики достаточно"/>
    <s v="Да"/>
    <s v="Да"/>
    <n v="2"/>
    <n v="1"/>
    <s v="Куркова В.А."/>
    <m/>
    <m/>
    <m/>
    <m/>
    <s v="Нет"/>
    <s v="Нет"/>
    <s v="Всё хорошо спасибо Министерству спорта и Федерации футбола "/>
  </r>
  <r>
    <d v="2025-12-01T16:30:45"/>
    <s v="МАУ ДО &quot;СШ г.Черняховска&quot;"/>
    <x v="5"/>
    <x v="31"/>
    <s v="Черняховск"/>
    <s v="Калининградская область, г.Черняховск, ул.Калинина, 4"/>
    <n v="84014134733"/>
    <s v="instersport@yandex.ru"/>
    <s v="СШ"/>
    <s v="Нет"/>
    <n v="92"/>
    <x v="23"/>
    <x v="1"/>
    <x v="0"/>
    <x v="0"/>
    <n v="0"/>
    <n v="1"/>
    <n v="0"/>
    <n v="4"/>
    <n v="2"/>
    <n v="6"/>
    <n v="5"/>
    <n v="0"/>
    <n v="2"/>
    <n v="0"/>
    <n v="0"/>
    <n v="0"/>
    <s v="Соревновательной практики достаточно"/>
    <s v="Нет"/>
    <s v="Нет"/>
    <n v="1"/>
    <n v="0"/>
    <s v="нет"/>
    <m/>
    <m/>
    <m/>
    <m/>
    <s v="Да"/>
    <s v="Нет"/>
    <m/>
  </r>
  <r>
    <m/>
    <s v="МБУ ДО &quot;СШ&quot; г. Гурьевск "/>
    <x v="5"/>
    <x v="31"/>
    <s v="Гурьевск"/>
    <s v="Калининградская область, г.Гурьевск, ул.Калининградское шоссе, 6"/>
    <n v="84015139502"/>
    <s v="sportygyr@yandex.ru"/>
    <m/>
    <m/>
    <n v="26"/>
    <x v="0"/>
    <x v="12"/>
    <x v="0"/>
    <x v="0"/>
    <n v="0"/>
    <n v="1"/>
    <n v="0"/>
    <n v="0"/>
    <n v="1"/>
    <n v="0"/>
    <n v="0"/>
    <n v="1"/>
    <n v="2"/>
    <n v="0"/>
    <n v="0"/>
    <n v="2"/>
    <m/>
    <m/>
    <m/>
    <m/>
    <m/>
    <m/>
    <m/>
    <m/>
    <m/>
    <m/>
    <m/>
    <m/>
    <m/>
  </r>
  <r>
    <m/>
    <s v="МБУ ДО СШ г.Правдинск"/>
    <x v="5"/>
    <x v="31"/>
    <s v="Правдинск"/>
    <s v="238400, г. Правдинск, ул. Кутузова, д. 14"/>
    <n v="89005651520"/>
    <s v="dusch12@yandex.ru"/>
    <m/>
    <m/>
    <n v="67.600000000000009"/>
    <x v="81"/>
    <x v="1"/>
    <x v="0"/>
    <x v="0"/>
    <n v="1"/>
    <n v="3"/>
    <n v="2"/>
    <n v="4"/>
    <n v="11"/>
    <n v="2"/>
    <n v="2"/>
    <n v="0"/>
    <n v="1"/>
    <n v="0"/>
    <n v="0"/>
    <n v="0"/>
    <m/>
    <m/>
    <m/>
    <m/>
    <m/>
    <m/>
    <m/>
    <m/>
    <m/>
    <m/>
    <m/>
    <m/>
    <m/>
  </r>
  <r>
    <d v="2025-12-03T13:28:47"/>
    <s v="МБОУ - Коржовоголубовская СОШ"/>
    <x v="6"/>
    <x v="9"/>
    <s v="Коржовка - Голубовка"/>
    <s v="243105, Брянская обл, Клинцовский р-н, Коржовка-Голубовка, ул Советская, д 7"/>
    <s v="+7 (483) 363-39-08"/>
    <s v="korgovka_soh@mail.ru"/>
    <s v="ШСК"/>
    <s v="Нет"/>
    <n v="23"/>
    <x v="5"/>
    <x v="1"/>
    <x v="0"/>
    <x v="0"/>
    <n v="0"/>
    <n v="0"/>
    <n v="0"/>
    <n v="0"/>
    <n v="0"/>
    <n v="0"/>
    <n v="0"/>
    <n v="0"/>
    <n v="0"/>
    <n v="4"/>
    <n v="4"/>
    <n v="0"/>
    <m/>
    <s v="Нет"/>
    <s v="Нет"/>
    <n v="0"/>
    <n v="0"/>
    <n v="0"/>
    <m/>
    <m/>
    <m/>
    <m/>
    <s v="Нет"/>
    <s v="Нет"/>
    <m/>
  </r>
  <r>
    <d v="2025-11-27T14:08:44"/>
    <s v="Муниципальное казенное учреждение дополнительного образования &quot;Россошанская спортивная школа&quot;"/>
    <x v="6"/>
    <x v="32"/>
    <s v="Россошь"/>
    <s v="Воронежская обл., г. Россошь, ул. Дзержинского, зд. 66Б"/>
    <s v="+7 (47396) 66-0-45"/>
    <s v="rossoshdussh@mail.ru"/>
    <s v="СШ"/>
    <s v="Нет"/>
    <n v="213"/>
    <x v="78"/>
    <x v="1"/>
    <x v="0"/>
    <x v="5"/>
    <n v="6"/>
    <n v="3"/>
    <n v="2"/>
    <n v="1"/>
    <n v="2"/>
    <n v="0"/>
    <n v="0"/>
    <n v="0"/>
    <n v="0"/>
    <n v="0"/>
    <n v="0"/>
    <n v="0"/>
    <s v="Соревновательной практики достаточно"/>
    <s v="Да"/>
    <s v="Нет"/>
    <n v="1"/>
    <n v="0"/>
    <n v="0"/>
    <m/>
    <m/>
    <m/>
    <m/>
    <s v="Нет"/>
    <s v="Нет"/>
    <m/>
  </r>
  <r>
    <d v="2025-12-04T11:04:10"/>
    <s v="Автономная некоммерческая организация &quot;ДРОЗД-Волхов&quot;"/>
    <x v="5"/>
    <x v="33"/>
    <s v="Волхов"/>
    <s v="Ленинградская область, г. Волхов, ул. Льва Толстого, дом 7"/>
    <s v="8-921-9-532-532"/>
    <s v="drozdvolkhov@mail.ru"/>
    <m/>
    <s v="Нет"/>
    <n v="62"/>
    <x v="2"/>
    <x v="1"/>
    <x v="0"/>
    <x v="0"/>
    <n v="0"/>
    <n v="0"/>
    <n v="0"/>
    <n v="0"/>
    <n v="12"/>
    <n v="10"/>
    <n v="0"/>
    <n v="0"/>
    <n v="6"/>
    <n v="18"/>
    <n v="10"/>
    <n v="6"/>
    <s v="До 10 лет, До 12 лет, До 13 лет, До 15 лет, До 17 лет, До 19 лет"/>
    <s v="Нет"/>
    <s v="Да"/>
    <n v="2"/>
    <n v="0"/>
    <s v="Говди Михаил Иванович, Нерсесян Арсен Каренович"/>
    <m/>
    <m/>
    <m/>
    <m/>
    <s v="Нет"/>
    <s v="Нет"/>
    <s v="Предложение: в этом году регламентом Первенства России по футзалу среди команд спортивных организаций внесены принципиальные изменения, касающиеся определения возрастных категорий участников. Если все предыдущие года возрастная категория определялась просто годом рождения, например: 2011-2012 года рождения, 2013-2014 года рождения и так далее. А теперь с сезона 2025/2026 возрастные категории определены иначе: теперь в соревнованиях среди девочек до 14 лет - могут играть дети, родившиеся с 01 июля 2012 года до 01 июля 2014 года. То есть согласно данным правилам дети, родившиеся в промежуток с 01 января по 30 июня 2012 года рождения не могут играть с 2012-2013 годом, а должны играть в категории девушек, родившихся с 01 июля 2010 года по 30 июня 2012 года - то есть против значительно более старших девочек. В силу чего многие девочки лишаются вообще возможности играть и получать необходимую игровую практику! Данные &quot;нововведения&quot; отрицательно восприняты всеми тренерами команд, играющих в Первенстве России по футзалу. Очень просим отменить данные &quot;новшества&quot; и вернуться к прежней системе проведения соревнований, где возрастные категории участников определяются просто принадлежностью к тому или иному году рождения. Спасибо! "/>
  </r>
  <r>
    <d v="2025-12-02T15:03:43"/>
    <s v="МБУДО &quot;Всеволожская спортивная школа&quot;"/>
    <x v="5"/>
    <x v="33"/>
    <s v="Всвеволожск"/>
    <s v="г Всеволожск ул Приютинская 13"/>
    <n v="88137038383"/>
    <s v="vsevsportscoole@yandex.ru"/>
    <s v="СШ"/>
    <s v="Нет"/>
    <n v="965"/>
    <x v="17"/>
    <x v="1"/>
    <x v="5"/>
    <x v="11"/>
    <n v="3"/>
    <n v="3"/>
    <n v="0"/>
    <n v="0"/>
    <n v="0"/>
    <n v="1"/>
    <n v="0"/>
    <n v="0"/>
    <n v="0"/>
    <n v="0"/>
    <n v="0"/>
    <n v="0"/>
    <s v="До 10 лет, До 12 лет, До 13 лет"/>
    <s v="Да"/>
    <s v="Нет"/>
    <n v="2"/>
    <n v="2"/>
    <n v="0"/>
    <m/>
    <m/>
    <m/>
    <m/>
    <s v="Да"/>
    <s v="Нет"/>
    <m/>
  </r>
  <r>
    <d v="2025-11-17T11:18:14"/>
    <s v="ЖФК Футболика"/>
    <x v="5"/>
    <x v="33"/>
    <s v="Всеволожск"/>
    <s v="Кудрово, Европейский 3"/>
    <n v="89111167842"/>
    <s v="wfcfootbolika@yandex.ru"/>
    <s v="ЖФК"/>
    <s v="Нет"/>
    <n v="100"/>
    <x v="80"/>
    <x v="1"/>
    <x v="0"/>
    <x v="0"/>
    <n v="0"/>
    <n v="0"/>
    <n v="0"/>
    <n v="1"/>
    <n v="9"/>
    <n v="15"/>
    <n v="15"/>
    <n v="15"/>
    <n v="15"/>
    <n v="10"/>
    <n v="10"/>
    <n v="10"/>
    <s v="До 10 лет"/>
    <s v="Нет"/>
    <s v="Нет"/>
    <n v="3"/>
    <n v="1"/>
    <s v="Банатов Кирилл Алексеевич С-УЕФА"/>
    <n v="1"/>
    <m/>
    <m/>
    <m/>
    <s v="Да"/>
    <s v="Да"/>
    <s v="Уважаемый футбольный союз!_x000a__x000a_Пишу от лица тренеров, родителей и, главное, девочек, которые только начинают свой путь в футболе._x000a_Нам катастрофически не хватает соревновательной практики для возрастов 2018/17 и 2015/14._x000a__x000a_У мальчиков в этих возрастах — чемпионаты, кубки, лиги, мини-турниры, товарищеские игры «каждые выходные и через выходные»._x000a_А у девочек?_x000a_Ну… максимум раз в несколько месяцев удаётся что-то найти. И это огромная проблема, потому что девочки хотят играть, растут, тренируются — а соревноваться не могут._x000a__x000a_Просьба №1: расширить соревновательный календарь для младших девочек_x000a__x000a_Любой формат: мини-лиги, туры, фестивали, объединённые возраста — мы за всё._x000a_Главное — чтобы девочки не теряли мотивацию и чувствовали, что их развитие кому-то, кроме их тренеров и родителей, тоже важно._x000a__x000a_Просьба №2: пересмотреть допуск младших участниц в старшие возрастные категории_x000a__x000a_Очень просим доверять решению тренера и родителей, когда речь идёт о переходе в более старшую группу._x000a__x000a_Наш пример:_x000a_Есть команда девочек 2015/14 года рождения. Мы были полностью готовы играть против девочек 2013/12:_x000a_– тренеры поддержали,_x000a_– родители поддержали,_x000a_– девочки сами хотели._x000a_Но нам не разрешили._x000a__x000a_Та же история — когда младшая девочка может усилить старшую команду, и все стороны согласны… но регламент — против._x000a__x000a_Мы не просим нарушать безопасность или логику возрастов. Мы просим гибкости._x000a__x000a_Мы все работаем ради одной цели — развития женского футбола._x000a_И очень хотим, чтобы наши девочки получили тот же шанс, что и мальчики: играть, расти и всегда иметь соревнования по возрасту и уровню._x000a__x000a_Спасибо, что услышали._x000a_Готовы к диалогу, предложениям и совместной работе."/>
  </r>
  <r>
    <d v="2025-11-24T19:20:02"/>
    <s v="СШ Ленинградец"/>
    <x v="5"/>
    <x v="33"/>
    <s v="Гатчина"/>
    <s v="Ленинградская область, г.Гатчина, пр. 25 Октября, д.10."/>
    <s v="8 (812) 679-94-45"/>
    <s v="sport-leningradec@yandex.ru"/>
    <s v="СШ"/>
    <s v="РЦ"/>
    <n v="317"/>
    <x v="52"/>
    <x v="1"/>
    <x v="0"/>
    <x v="0"/>
    <n v="0"/>
    <n v="7"/>
    <n v="13"/>
    <n v="6"/>
    <n v="9"/>
    <n v="8"/>
    <n v="6"/>
    <n v="10"/>
    <n v="4"/>
    <n v="0"/>
    <n v="0"/>
    <n v="0"/>
    <s v="До 10 лет, До 12 лет, До 13 лет, До 15 лет, До 17 лет, До 19 лет"/>
    <s v="Нет"/>
    <s v="Нет"/>
    <n v="3"/>
    <n v="1"/>
    <s v="1. Андреев Николай Александрович (нет лицензии)_x000a_2. Гурьев Дмитрий Николаевич (С-УЕФА)_x000a_3. Гурьева Анна Сергеевна  (С-УЕФА)"/>
    <n v="2"/>
    <m/>
    <m/>
    <m/>
    <s v="Да"/>
    <s v="Да"/>
    <m/>
  </r>
  <r>
    <d v="2025-11-20T18:31:04"/>
    <s v="ФК ГМР"/>
    <x v="5"/>
    <x v="33"/>
    <s v="Гатчина"/>
    <s v="Радищева 18"/>
    <n v="9522078032"/>
    <s v="ed_av1@mail.ru"/>
    <s v="Женский клуб"/>
    <s v="Нет"/>
    <n v="15"/>
    <x v="3"/>
    <x v="2"/>
    <x v="0"/>
    <x v="0"/>
    <n v="0"/>
    <n v="5"/>
    <n v="0"/>
    <n v="0"/>
    <n v="0"/>
    <n v="0"/>
    <n v="0"/>
    <n v="0"/>
    <n v="0"/>
    <n v="0"/>
    <n v="0"/>
    <n v="0"/>
    <s v="До 10 лет, До 12 лет, До 13 лет, До 15 лет, До 17 лет, До 19 лет"/>
    <s v="Нет"/>
    <s v="Нет"/>
    <n v="1"/>
    <n v="0"/>
    <s v="Нет"/>
    <m/>
    <m/>
    <m/>
    <m/>
    <s v="Да"/>
    <s v="Нет"/>
    <m/>
  </r>
  <r>
    <d v="2025-11-24T12:58:30"/>
    <s v="МБУ ДО Кировская СШ"/>
    <x v="5"/>
    <x v="33"/>
    <s v="Кировск"/>
    <s v="Советская д.1"/>
    <n v="8136227603"/>
    <s v="dushfootball-kirovsk@mail.ru"/>
    <s v="СШ"/>
    <s v="Нет"/>
    <n v="686"/>
    <x v="65"/>
    <x v="1"/>
    <x v="0"/>
    <x v="0"/>
    <n v="0"/>
    <n v="0"/>
    <n v="0"/>
    <n v="0"/>
    <n v="0"/>
    <n v="0"/>
    <n v="1"/>
    <n v="0"/>
    <n v="1"/>
    <n v="0"/>
    <n v="2"/>
    <n v="0"/>
    <s v="Соревновательной практики достаточно"/>
    <s v="Да"/>
    <s v="Нет"/>
    <n v="0"/>
    <n v="0"/>
    <s v="нет"/>
    <m/>
    <m/>
    <m/>
    <m/>
    <s v="Да"/>
    <s v="Нет"/>
    <m/>
  </r>
  <r>
    <d v="2025-11-20T10:49:19"/>
    <s v="МОУ Лесколовский ЦО"/>
    <x v="5"/>
    <x v="33"/>
    <s v="Лесколово"/>
    <s v="Красноборская 6"/>
    <n v="89516484730"/>
    <s v="ok-big@mail.ru"/>
    <s v="ШСК"/>
    <s v="Нет"/>
    <n v="160"/>
    <x v="45"/>
    <x v="1"/>
    <x v="0"/>
    <x v="0"/>
    <n v="6"/>
    <n v="0"/>
    <n v="0"/>
    <n v="0"/>
    <n v="6"/>
    <n v="0"/>
    <n v="0"/>
    <n v="8"/>
    <n v="2"/>
    <n v="2"/>
    <n v="0"/>
    <n v="4"/>
    <s v="До 10 лет, До 12 лет, До 13 лет"/>
    <s v="Да"/>
    <s v="Да"/>
    <n v="0"/>
    <n v="1"/>
    <s v="Нет"/>
    <m/>
    <m/>
    <m/>
    <m/>
    <s v="Да"/>
    <s v="Нет"/>
    <s v="Хотелось бы сдать на категорию УЕФА"/>
  </r>
  <r>
    <d v="2025-11-26T12:15:05"/>
    <s v="МАУ ДО «Лодейнопольская СШ»"/>
    <x v="5"/>
    <x v="33"/>
    <s v="Лодейное Поле"/>
    <s v="Ленинградская Обл. Лодейнопольский р-н, г. Лодейное Поле Ул. Титова 45 к.1"/>
    <s v="8-813-64-2-60-85"/>
    <s v="lid.dush@mail.ru"/>
    <s v="СШ"/>
    <s v="Нет"/>
    <n v="190"/>
    <x v="17"/>
    <x v="1"/>
    <x v="0"/>
    <x v="0"/>
    <n v="0"/>
    <n v="0"/>
    <n v="0"/>
    <n v="0"/>
    <n v="0"/>
    <n v="0"/>
    <n v="0"/>
    <n v="0"/>
    <n v="0"/>
    <n v="1"/>
    <n v="10"/>
    <n v="5"/>
    <s v="До 10 лет"/>
    <s v="Нет"/>
    <s v="Да"/>
    <n v="1"/>
    <n v="1"/>
    <s v="Гурьева А.С С-УЕФА"/>
    <n v="1"/>
    <m/>
    <m/>
    <m/>
    <s v="Да"/>
    <s v="Да"/>
    <s v="Сложности набора девочек.Большая конкуренция с другими детскими организациями. Малая рождаемость. Вводим работу с садами. Работаем с группами совместно и с мальчиками и девочками. ( занятия 1 раз в неделю) Так-же предрассудки родителей « футбол-не для девочек» "/>
  </r>
  <r>
    <d v="2025-12-04T10:23:21"/>
    <s v="МОУ «Яльгелевский образовательный центр»"/>
    <x v="5"/>
    <x v="33"/>
    <s v="Ломоносовский район"/>
    <s v="Ленинградская область., Ломоносовский район., деревня Яльгелево дом 47"/>
    <n v="88137674223"/>
    <s v="yalg_sch@lmn.su"/>
    <s v="ШСК"/>
    <s v="Нет"/>
    <n v="50"/>
    <x v="30"/>
    <x v="1"/>
    <x v="0"/>
    <x v="0"/>
    <n v="0"/>
    <n v="0"/>
    <n v="5"/>
    <n v="4"/>
    <n v="2"/>
    <n v="8"/>
    <n v="1"/>
    <n v="5"/>
    <n v="5"/>
    <n v="0"/>
    <n v="0"/>
    <n v="0"/>
    <s v="До 12 лет, До 13 лет, До 15 лет"/>
    <s v="Да"/>
    <s v="Да"/>
    <n v="1"/>
    <n v="0"/>
    <s v="Никитин Никита Анатольевич "/>
    <m/>
    <m/>
    <m/>
    <m/>
    <s v="Нет"/>
    <s v="Нет"/>
    <m/>
  </r>
  <r>
    <d v="2025-12-01T19:48:09"/>
    <s v="МОУ ДО «Лужская спортивная школа»"/>
    <x v="5"/>
    <x v="33"/>
    <s v="Луга "/>
    <s v="Ленинградская область, город Луга, проспект Володарского дом 1"/>
    <n v="88137225740"/>
    <s v="sport-shkola-luga@ya.ru"/>
    <s v="СШ"/>
    <s v="Нет"/>
    <n v="200"/>
    <x v="5"/>
    <x v="1"/>
    <x v="0"/>
    <x v="0"/>
    <n v="0"/>
    <n v="0"/>
    <n v="0"/>
    <n v="0"/>
    <n v="0"/>
    <n v="0"/>
    <n v="0"/>
    <n v="0"/>
    <n v="8"/>
    <n v="0"/>
    <n v="0"/>
    <n v="0"/>
    <s v="До 10 лет"/>
    <s v="Да"/>
    <s v="Да"/>
    <n v="1"/>
    <n v="0"/>
    <s v="Марусев И.С."/>
    <m/>
    <m/>
    <m/>
    <m/>
    <s v="Да"/>
    <s v="Нет"/>
    <m/>
  </r>
  <r>
    <d v="2025-11-24T11:55:50"/>
    <s v="МБОУ ДО &quot;СШ &quot;Юность&quot;"/>
    <x v="5"/>
    <x v="33"/>
    <s v="Новый Свет, Гатчинский округ"/>
    <s v="пос. Новый Свет, дом 82"/>
    <s v="8(81371)68-638"/>
    <s v="raisport_1973@mail.ru"/>
    <s v="СШ"/>
    <s v="Нет"/>
    <n v="364"/>
    <x v="102"/>
    <x v="1"/>
    <x v="0"/>
    <x v="0"/>
    <n v="2"/>
    <n v="0"/>
    <n v="4"/>
    <n v="9"/>
    <n v="8"/>
    <n v="11"/>
    <n v="15"/>
    <n v="16"/>
    <n v="11"/>
    <n v="9"/>
    <n v="12"/>
    <n v="0"/>
    <s v="До 10 лет, До 12 лет, До 13 лет, До 15 лет, До 17 лет, До 19 лет"/>
    <s v="Да"/>
    <s v="Да"/>
    <n v="2"/>
    <n v="0"/>
    <s v="Кузьмин Р.С., Дебёлый В.А."/>
    <m/>
    <m/>
    <m/>
    <m/>
    <s v="Да"/>
    <s v="Нет"/>
    <m/>
  </r>
  <r>
    <d v="2025-11-17T13:22:59"/>
    <s v="Подпорожская ДЮСШ ФК&quot;Русич&quot;"/>
    <x v="5"/>
    <x v="33"/>
    <s v="Подпорожье"/>
    <s v="г.Подпорожье ул.Красноармейская д.5"/>
    <s v="8-(81365)-2-09-17"/>
    <s v="pod.dyussh@yandex.ru"/>
    <s v="ДЮСШ"/>
    <s v="Нет"/>
    <n v="140"/>
    <x v="1"/>
    <x v="1"/>
    <x v="0"/>
    <x v="0"/>
    <n v="0"/>
    <n v="0"/>
    <n v="0"/>
    <n v="0"/>
    <n v="3"/>
    <n v="4"/>
    <n v="0"/>
    <n v="4"/>
    <n v="2"/>
    <n v="1"/>
    <n v="4"/>
    <n v="0"/>
    <s v="До 10 лет, До 12 лет"/>
    <s v="Да"/>
    <s v="Да"/>
    <n v="1"/>
    <n v="0"/>
    <s v="-"/>
    <m/>
    <m/>
    <m/>
    <m/>
    <s v="Нет"/>
    <s v="Нет"/>
    <m/>
  </r>
  <r>
    <d v="2025-12-04T11:00:14"/>
    <s v="МУДО &quot;Ломоносовская СШ&quot;"/>
    <x v="5"/>
    <x v="33"/>
    <s v="Разбегаево "/>
    <s v="д. Разбегаево, д. 61 А"/>
    <n v="88137654403"/>
    <s v="dush@lmn.su"/>
    <s v="СШ"/>
    <s v="Нет"/>
    <n v="96"/>
    <x v="59"/>
    <x v="1"/>
    <x v="0"/>
    <x v="2"/>
    <n v="2"/>
    <n v="3"/>
    <n v="1"/>
    <n v="5"/>
    <n v="1"/>
    <n v="1"/>
    <n v="4"/>
    <n v="2"/>
    <n v="2"/>
    <n v="1"/>
    <n v="1"/>
    <n v="0"/>
    <s v="До 13 лет"/>
    <s v="Да"/>
    <s v="Нет"/>
    <n v="3"/>
    <n v="0"/>
    <s v="Пыжов С.И. С-УЕФА"/>
    <n v="1"/>
    <m/>
    <m/>
    <m/>
    <s v="Да"/>
    <s v="Да"/>
    <m/>
  </r>
  <r>
    <d v="2025-11-21T18:15:10"/>
    <s v="ГАОУ ВО ДО ЛГУ им. А. С. Пушкина "/>
    <x v="5"/>
    <x v="33"/>
    <s v="Санкт-Петербург, Пушкин"/>
    <s v="Санкт-Петербург, Пушкин Петербургское шоссе д. 10"/>
    <n v="9052232147"/>
    <s v="pvetov1@yandex.ru"/>
    <s v="СК"/>
    <s v="Нет"/>
    <n v="53"/>
    <x v="7"/>
    <x v="9"/>
    <x v="8"/>
    <x v="5"/>
    <n v="0"/>
    <n v="0"/>
    <n v="0"/>
    <n v="0"/>
    <n v="0"/>
    <n v="0"/>
    <n v="0"/>
    <n v="0"/>
    <n v="0"/>
    <n v="0"/>
    <n v="0"/>
    <n v="0"/>
    <s v="Соревновательной практики достаточно"/>
    <s v="Да"/>
    <s v="Нет"/>
    <n v="1"/>
    <n v="0"/>
    <s v="Ветов Павел Николаевич "/>
    <m/>
    <m/>
    <m/>
    <m/>
    <s v="Нет"/>
    <s v="Нет"/>
    <m/>
  </r>
  <r>
    <d v="2025-11-28T12:25:53"/>
    <s v="МАУ ЦПС ,,НИКА,,"/>
    <x v="5"/>
    <x v="33"/>
    <s v="Сиверский"/>
    <s v="Гатчинский округ, п. Сиверский ул. Заводская д.2"/>
    <n v="881344879"/>
    <s v="aafe73@mail.ru"/>
    <s v="ЦПС"/>
    <s v="Нет"/>
    <n v="164"/>
    <x v="103"/>
    <x v="1"/>
    <x v="4"/>
    <x v="1"/>
    <n v="3"/>
    <n v="2"/>
    <n v="5"/>
    <n v="5"/>
    <n v="11"/>
    <n v="8"/>
    <n v="8"/>
    <n v="3"/>
    <n v="4"/>
    <n v="4"/>
    <n v="0"/>
    <n v="0"/>
    <s v="До 17 лет, До 19 лет"/>
    <s v="Нет"/>
    <s v="Нет"/>
    <n v="1"/>
    <n v="0"/>
    <s v="Нет"/>
    <m/>
    <m/>
    <m/>
    <m/>
    <s v="Да"/>
    <s v="Нет"/>
    <m/>
  </r>
  <r>
    <d v="2025-12-03T20:29:42"/>
    <s v="ДФК &quot;Смена-ЛАЭС&quot;"/>
    <x v="5"/>
    <x v="33"/>
    <s v="Сосновый Бор"/>
    <s v="д. Новое Калище, 16 А"/>
    <n v="79650668760"/>
    <s v="Belokurov-s@mail.ru"/>
    <s v="ДФК"/>
    <s v="Нет"/>
    <n v="102"/>
    <x v="9"/>
    <x v="1"/>
    <x v="0"/>
    <x v="0"/>
    <n v="0"/>
    <n v="0"/>
    <n v="0"/>
    <n v="0"/>
    <n v="0"/>
    <n v="0"/>
    <n v="0"/>
    <n v="0"/>
    <n v="0"/>
    <n v="0"/>
    <n v="5"/>
    <n v="0"/>
    <s v="До 10 лет"/>
    <s v="Да"/>
    <s v="Да"/>
    <n v="1"/>
    <n v="0"/>
    <s v="Нет "/>
    <m/>
    <m/>
    <m/>
    <m/>
    <s v="Да"/>
    <s v="Да"/>
    <m/>
  </r>
  <r>
    <d v="2025-12-02T11:46:24"/>
    <s v="МУ &quot;Тихвинский городской ФК&quot; Кировец&quot;."/>
    <x v="5"/>
    <x v="33"/>
    <s v="Тихвин"/>
    <s v="187553 Лен. область г. Тихвин ул. Пещёрка д. 1"/>
    <n v="8136775716"/>
    <s v="fckirovec@mail.ru"/>
    <s v="ФК"/>
    <s v="Нет"/>
    <n v="302"/>
    <x v="59"/>
    <x v="5"/>
    <x v="0"/>
    <x v="2"/>
    <n v="3"/>
    <n v="2"/>
    <n v="0"/>
    <n v="1"/>
    <n v="7"/>
    <n v="2"/>
    <n v="1"/>
    <n v="1"/>
    <n v="2"/>
    <n v="1"/>
    <n v="0"/>
    <n v="1"/>
    <s v="До 10 лет, До 19 лет"/>
    <s v="Да"/>
    <s v="Да"/>
    <n v="1"/>
    <n v="1"/>
    <s v="Усанова Татьяна"/>
    <m/>
    <m/>
    <m/>
    <m/>
    <s v="Да"/>
    <s v="Нет"/>
    <m/>
  </r>
  <r>
    <m/>
    <s v="МАУ ДО СШ &quot;Олимп&quot; "/>
    <x v="5"/>
    <x v="34"/>
    <s v="Оленегорск "/>
    <s v="Улица Строительная дом 47 корпус А"/>
    <n v="88155253051"/>
    <s v="Olimp-olen@yandex.ru "/>
    <m/>
    <m/>
    <n v="26"/>
    <x v="0"/>
    <x v="1"/>
    <x v="0"/>
    <x v="0"/>
    <n v="0"/>
    <n v="5"/>
    <n v="2"/>
    <n v="0"/>
    <n v="1"/>
    <n v="0"/>
    <n v="1"/>
    <n v="0"/>
    <n v="0"/>
    <n v="0"/>
    <n v="1"/>
    <n v="0"/>
    <m/>
    <m/>
    <m/>
    <m/>
    <m/>
    <m/>
    <m/>
    <m/>
    <m/>
    <m/>
    <m/>
    <m/>
    <m/>
  </r>
  <r>
    <d v="2025-11-21T12:31:14"/>
    <s v="МАУ ДО &quot;Спортивная школа&quot;"/>
    <x v="5"/>
    <x v="34"/>
    <s v="Мончегорск"/>
    <s v="ул. Нагорная д 17, пр Кирова д.3"/>
    <n v="88153670178"/>
    <s v="dush-3@yandex.ru"/>
    <s v="СШ"/>
    <s v="Нет"/>
    <n v="238"/>
    <x v="28"/>
    <x v="1"/>
    <x v="0"/>
    <x v="0"/>
    <n v="0"/>
    <n v="0"/>
    <n v="2"/>
    <n v="6"/>
    <n v="4"/>
    <n v="3"/>
    <n v="2"/>
    <n v="5"/>
    <n v="2"/>
    <n v="4"/>
    <n v="5"/>
    <n v="0"/>
    <s v="До 10 лет, До 12 лет, До 13 лет, До 15 лет"/>
    <s v="Да"/>
    <s v="Да"/>
    <n v="2"/>
    <n v="0"/>
    <n v="0"/>
    <m/>
    <m/>
    <m/>
    <m/>
    <s v="Да"/>
    <s v="Нет"/>
    <s v="В спортивной школе низкое финансирование спортивно-массовых мероприятий"/>
  </r>
  <r>
    <d v="2025-11-21T17:21:05"/>
    <s v="МАУ ДО СШ № 6"/>
    <x v="5"/>
    <x v="34"/>
    <s v="Мурманск"/>
    <s v="г. Мурманск, ул. Героев Рыбачьего, 8 "/>
    <s v="*(8152)52-86-08"/>
    <s v="football.migun@yandex.ru"/>
    <s v="СШ"/>
    <s v="Нет"/>
    <n v="277"/>
    <x v="31"/>
    <x v="2"/>
    <x v="4"/>
    <x v="2"/>
    <n v="0"/>
    <n v="0"/>
    <n v="3"/>
    <n v="3"/>
    <n v="5"/>
    <n v="4"/>
    <n v="3"/>
    <n v="2"/>
    <n v="1"/>
    <n v="2"/>
    <n v="0"/>
    <n v="0"/>
    <s v="До 10 лет, До 12 лет, До 13 лет, До 15 лет, До 17 лет, До 19 лет"/>
    <s v="Да"/>
    <s v="Да"/>
    <n v="3"/>
    <n v="2"/>
    <s v="нет"/>
    <m/>
    <m/>
    <m/>
    <m/>
    <s v="Нет"/>
    <s v="Нет"/>
    <s v="В таких маленьких городах как наш, спортивная поддержка ничтожная, соревнований очень мало как для мальчиков, так и для девочек, выхода на межрегиональные соревнований практически нет, а теперь с новыми возрастными ограничениями возможности участвовать в официальных соревнованиях закончилась. Теперь маленькие регионы могут закрывать футбольные отделения или уходить на коммерческие турниры. Просим принять во внимание отдаленные, маленькие регионы, мы хотим принимать участие в жизни футбола и просим не закрывать перед нами дверь. "/>
  </r>
  <r>
    <d v="2025-11-25T12:46:39"/>
    <s v="Муниципальное автономное учреждение дополнительного образования спортивная школа &quot;Юность&quot; город Апатиты"/>
    <x v="5"/>
    <x v="34"/>
    <s v="Апатиты"/>
    <s v="улица Ленина дом 34, город Апатиты, Мурманская область"/>
    <s v="(81555)-66847"/>
    <s v="ledovyi2015@yandex.ru"/>
    <s v="СШ"/>
    <s v="Нет"/>
    <n v="155"/>
    <x v="71"/>
    <x v="1"/>
    <x v="0"/>
    <x v="0"/>
    <n v="0"/>
    <n v="0"/>
    <n v="0"/>
    <n v="0"/>
    <n v="1"/>
    <n v="1"/>
    <n v="5"/>
    <n v="5"/>
    <n v="0"/>
    <n v="0"/>
    <n v="0"/>
    <n v="0"/>
    <s v="До 10 лет, До 12 лет, До 13 лет, До 15 лет, До 17 лет, До 19 лет"/>
    <s v="Да"/>
    <s v="Да"/>
    <n v="1"/>
    <n v="0"/>
    <s v="нет"/>
    <m/>
    <m/>
    <m/>
    <m/>
    <s v="Да"/>
    <s v="Нет"/>
    <s v=" Тренер -преподаватель Владимир Саввич Зубков(без лицензии). Женский футбол мало кого интересует в г. Апатиты и Мурманской области целом. Было бы хорошо провести в Апатитах ФЕСТИВАЛЬ для девочек с приглашением профессиональных футболисток. Моя воспитанница Щербина София сейчас выступает за молодёжную команду  &quot;СПАРТАК&quot; г. Москва. Информацию подготовил В.С. Зубков(тел. 921 734 36 17), "/>
  </r>
  <r>
    <d v="2025-11-28T11:33:26"/>
    <s v="Муниципальное автономное учреждение дополнительного образования &quot;Спортивная школа&quot; Кандалакшского муниципального округа"/>
    <x v="5"/>
    <x v="34"/>
    <s v="Кандалакша"/>
    <s v="Спекова 32 а "/>
    <n v="88153355250"/>
    <s v="kandasport51@yandex.ru"/>
    <s v="СШ"/>
    <s v="Нет"/>
    <n v="223"/>
    <x v="5"/>
    <x v="1"/>
    <x v="0"/>
    <x v="0"/>
    <n v="0"/>
    <n v="0"/>
    <n v="0"/>
    <n v="0"/>
    <n v="0"/>
    <n v="0"/>
    <n v="0"/>
    <n v="1"/>
    <n v="4"/>
    <n v="2"/>
    <n v="0"/>
    <n v="1"/>
    <s v="В соревнованиях среди команд девочек мы не участвуем, добавляем девочек в команду мальчиков."/>
    <s v="Да"/>
    <s v="Да"/>
    <n v="3"/>
    <n v="0"/>
    <s v="Лопатюк Михаил Александрович_x000a_Рыжонков  Иван Андреевич_x000a_Матьола Денис Николаевич"/>
    <m/>
    <m/>
    <m/>
    <m/>
    <s v="Да"/>
    <s v="Нет"/>
    <m/>
  </r>
  <r>
    <d v="2025-11-21T12:14:19"/>
    <s v="МБУ ДО ЗАТО Г. СЕВЕРОМОРСК &quot;ДЮСШ №3&quot;"/>
    <x v="5"/>
    <x v="34"/>
    <s v="Североморск"/>
    <s v="Ул. Саши Ковалева 7"/>
    <n v="88153745264"/>
    <s v="sports-school3sever@yandex.ru "/>
    <s v="ДЮСШ"/>
    <s v="Нет"/>
    <n v="312"/>
    <x v="65"/>
    <x v="1"/>
    <x v="0"/>
    <x v="0"/>
    <n v="0"/>
    <n v="0"/>
    <n v="0"/>
    <n v="0"/>
    <n v="0"/>
    <n v="0"/>
    <n v="2"/>
    <n v="0"/>
    <n v="2"/>
    <n v="0"/>
    <n v="0"/>
    <n v="0"/>
    <s v="До 10 лет, До 12 лет, До 13 лет, До 15 лет, До 17 лет, До 19 лет"/>
    <s v="Да"/>
    <s v="Нет"/>
    <n v="0"/>
    <n v="0"/>
    <s v="Нет"/>
    <m/>
    <m/>
    <m/>
    <m/>
    <s v="Да"/>
    <s v="Нет"/>
    <s v="Нет"/>
  </r>
  <r>
    <m/>
    <s v="Муниципальное автономное учреждение дополнительного образования города Апатиты Спортивная школа &quot;Олимп&quot;"/>
    <x v="5"/>
    <x v="34"/>
    <s v="Апатиты"/>
    <s v="ул. Фестивальная, 10а"/>
    <s v="8(81555)65610"/>
    <s v="schoololympus@mail.ru"/>
    <m/>
    <m/>
    <n v="26"/>
    <x v="0"/>
    <x v="1"/>
    <x v="5"/>
    <x v="0"/>
    <n v="0"/>
    <n v="0"/>
    <n v="0"/>
    <n v="0"/>
    <n v="1"/>
    <n v="0"/>
    <n v="5"/>
    <n v="2"/>
    <n v="1"/>
    <n v="0"/>
    <n v="0"/>
    <n v="0"/>
    <m/>
    <m/>
    <m/>
    <m/>
    <m/>
    <m/>
    <m/>
    <m/>
    <m/>
    <m/>
    <m/>
    <m/>
    <m/>
  </r>
  <r>
    <m/>
    <s v="Академия футбольного мастерства &quot;Арктика&quot;"/>
    <x v="5"/>
    <x v="34"/>
    <s v="Мурманск"/>
    <s v="г. Мурманск, пр-кт Кольский, д. 53, пом. 23"/>
    <s v="±79508955545"/>
    <s v="afm. arctic. buh@gmail.com"/>
    <m/>
    <m/>
    <n v="182"/>
    <x v="85"/>
    <x v="12"/>
    <x v="1"/>
    <x v="1"/>
    <n v="0"/>
    <n v="0"/>
    <n v="2"/>
    <n v="2"/>
    <n v="3"/>
    <n v="2"/>
    <n v="6"/>
    <n v="15"/>
    <n v="10"/>
    <n v="4"/>
    <n v="10"/>
    <n v="5"/>
    <m/>
    <m/>
    <m/>
    <m/>
    <m/>
    <m/>
    <m/>
    <m/>
    <m/>
    <m/>
    <m/>
    <m/>
    <m/>
  </r>
  <r>
    <m/>
    <s v="МБУ ДО г. Мурманска ДЮСШ № 10"/>
    <x v="5"/>
    <x v="34"/>
    <s v="Мурманск"/>
    <s v="г. Мурманск, ул. Карла Либкнехта, дом 50"/>
    <s v="8(8152)421889"/>
    <s v="football.migun@yandex.ru "/>
    <m/>
    <m/>
    <n v="78"/>
    <x v="30"/>
    <x v="1"/>
    <x v="0"/>
    <x v="0"/>
    <n v="0"/>
    <n v="0"/>
    <n v="2"/>
    <n v="5"/>
    <n v="8"/>
    <n v="4"/>
    <n v="5"/>
    <n v="4"/>
    <n v="0"/>
    <n v="2"/>
    <n v="0"/>
    <n v="0"/>
    <m/>
    <m/>
    <m/>
    <m/>
    <m/>
    <m/>
    <m/>
    <m/>
    <m/>
    <m/>
    <m/>
    <m/>
    <m/>
  </r>
  <r>
    <m/>
    <s v="МБУДО ДЮСШ -1"/>
    <x v="5"/>
    <x v="34"/>
    <s v="Североморск"/>
    <s v="Мурманская обл., г. Североморск, ул. Саши Ковалева, 4"/>
    <s v="8 (815) 374-52-64"/>
    <s v=" dusch-1@severomorsk-edu.ru"/>
    <m/>
    <m/>
    <n v="26"/>
    <x v="0"/>
    <x v="1"/>
    <x v="0"/>
    <x v="0"/>
    <n v="0"/>
    <n v="0"/>
    <n v="0"/>
    <n v="0"/>
    <n v="2"/>
    <n v="2"/>
    <n v="1"/>
    <n v="2"/>
    <n v="2"/>
    <n v="1"/>
    <n v="0"/>
    <n v="0"/>
    <m/>
    <m/>
    <m/>
    <m/>
    <m/>
    <m/>
    <m/>
    <m/>
    <m/>
    <m/>
    <m/>
    <m/>
    <m/>
  </r>
  <r>
    <d v="2025-12-01T16:37:24"/>
    <s v="ДЮЦ Лидер"/>
    <x v="5"/>
    <x v="35"/>
    <s v="Нарьян-Мар"/>
    <s v="Ул. Выучейского 30"/>
    <n v="88185343905"/>
    <s v="igorluzgin69@yandex.ru"/>
    <s v="ДЮЦ"/>
    <s v="Нет"/>
    <n v="146"/>
    <x v="65"/>
    <x v="1"/>
    <x v="0"/>
    <x v="0"/>
    <n v="0"/>
    <n v="0"/>
    <n v="0"/>
    <n v="0"/>
    <n v="0"/>
    <n v="0"/>
    <n v="1"/>
    <n v="0"/>
    <n v="3"/>
    <n v="0"/>
    <n v="0"/>
    <n v="0"/>
    <m/>
    <s v="Да"/>
    <s v="Да"/>
    <n v="1"/>
    <n v="0"/>
    <n v="0"/>
    <m/>
    <m/>
    <m/>
    <m/>
    <s v="Да"/>
    <s v="Нет"/>
    <s v="Увеличить оплату работы тренера. "/>
  </r>
  <r>
    <d v="2025-12-08T16:17:25"/>
    <s v="Муниципальное бюджетное учреждение дополнительного образования &quot;Спортивная школа г. Валдай&quot;"/>
    <x v="5"/>
    <x v="36"/>
    <s v="Валдай"/>
    <s v="175400, Новгородская область, Валдайский округ, город Валдай, ул. Гагарина, зд. 42А"/>
    <s v="8-816-66-2-02-39"/>
    <s v="valday-sport@mail.ru"/>
    <s v="СШ"/>
    <s v="Нет"/>
    <n v="104"/>
    <x v="65"/>
    <x v="1"/>
    <x v="0"/>
    <x v="0"/>
    <n v="0"/>
    <n v="0"/>
    <n v="0"/>
    <n v="0"/>
    <n v="0"/>
    <n v="0"/>
    <n v="4"/>
    <n v="0"/>
    <n v="0"/>
    <n v="0"/>
    <n v="0"/>
    <n v="0"/>
    <s v="Соревновательной практики достаточно"/>
    <s v="Да"/>
    <s v="Нет"/>
    <n v="1"/>
    <n v="0"/>
    <n v="0"/>
    <m/>
    <m/>
    <m/>
    <m/>
    <s v="Да"/>
    <s v="Нет"/>
    <n v="0"/>
  </r>
  <r>
    <d v="2025-11-24T15:14:14"/>
    <s v="Спортивная школа 2"/>
    <x v="5"/>
    <x v="36"/>
    <s v="Великий Новгород "/>
    <s v="Великий Новгород ул. Чудовская д. 7"/>
    <n v="88162280570"/>
    <s v="sdushor-2@bk.ru"/>
    <s v="СШ"/>
    <s v="Нет"/>
    <n v="272"/>
    <x v="11"/>
    <x v="1"/>
    <x v="0"/>
    <x v="0"/>
    <n v="0"/>
    <n v="0"/>
    <n v="0"/>
    <n v="0"/>
    <n v="0"/>
    <n v="0"/>
    <n v="1"/>
    <n v="0"/>
    <n v="0"/>
    <n v="0"/>
    <n v="0"/>
    <n v="0"/>
    <s v="До 10 лет, До 12 лет, До 13 лет, До 15 лет, До 17 лет, До 19 лет"/>
    <s v="Да"/>
    <s v="Да"/>
    <n v="5"/>
    <n v="1"/>
    <s v="-"/>
    <m/>
    <m/>
    <m/>
    <m/>
    <s v="Да"/>
    <s v="Нет"/>
    <m/>
  </r>
  <r>
    <d v="2025-11-17T13:28:11"/>
    <s v="Школьный спортивный клуб &quot;ОЛИМП-37&quot;"/>
    <x v="5"/>
    <x v="36"/>
    <s v="Великий Новгород "/>
    <s v="Ул.Озерная 13"/>
    <n v="89082251518"/>
    <s v="listovv4@gmail.com"/>
    <s v="СШ"/>
    <s v="Нет"/>
    <n v="32"/>
    <x v="4"/>
    <x v="1"/>
    <x v="0"/>
    <x v="0"/>
    <n v="0"/>
    <n v="0"/>
    <n v="0"/>
    <n v="11"/>
    <n v="0"/>
    <n v="1"/>
    <n v="8"/>
    <n v="3"/>
    <n v="0"/>
    <n v="0"/>
    <n v="0"/>
    <n v="0"/>
    <s v="До 10 лет, До 12 лет, До 13 лет"/>
    <s v="Да"/>
    <s v="Да"/>
    <n v="2"/>
    <n v="0"/>
    <s v="Листов В.В., Егоров А.Г."/>
    <m/>
    <m/>
    <m/>
    <m/>
    <s v="Нет"/>
    <s v="Нет"/>
    <s v="Проводить в области соревнования Школьной Лиги проекта &quot;Футбол в школе&quot;."/>
  </r>
  <r>
    <d v="2025-11-28T11:36:40"/>
    <s v="Муниципальное автономное образовательное учреждение дополнительного образования &quot;Детско-юношеская спортивная школа&quot;"/>
    <x v="5"/>
    <x v="36"/>
    <s v="Хвойная"/>
    <s v="174580, Новгородская область, Хвойнинский округ, р.п. Хвойная, ул. Комсомольская, д. 30"/>
    <n v="88166750487"/>
    <s v="kfp205@mail.ru"/>
    <s v="ДЮСШ"/>
    <s v="Нет"/>
    <n v="112"/>
    <x v="71"/>
    <x v="1"/>
    <x v="0"/>
    <x v="0"/>
    <n v="0"/>
    <n v="0"/>
    <n v="0"/>
    <n v="1"/>
    <n v="10"/>
    <n v="1"/>
    <n v="0"/>
    <n v="0"/>
    <n v="0"/>
    <n v="0"/>
    <n v="0"/>
    <n v="0"/>
    <s v="Соревновательной практики достаточно"/>
    <s v="Да"/>
    <s v="Да"/>
    <n v="1"/>
    <n v="1"/>
    <s v="Трескунова Майя Александровна"/>
    <m/>
    <m/>
    <m/>
    <m/>
    <s v="Нет"/>
    <s v="Нет"/>
    <m/>
  </r>
  <r>
    <d v="2025-11-28T09:28:06"/>
    <s v="МБУ ДО &quot;Бежаницкий центр развития творчества детей и юношества&quot;"/>
    <x v="5"/>
    <x v="37"/>
    <s v="Бежаницы"/>
    <s v="ул.Советская, д.51"/>
    <n v="88114122402"/>
    <s v="org618@pskovedu.ru"/>
    <s v="ЦРТДиЮ"/>
    <s v="Нет"/>
    <n v="136"/>
    <x v="38"/>
    <x v="1"/>
    <x v="0"/>
    <x v="0"/>
    <n v="3"/>
    <n v="5"/>
    <n v="5"/>
    <n v="2"/>
    <n v="8"/>
    <n v="8"/>
    <n v="8"/>
    <n v="8"/>
    <n v="3"/>
    <n v="3"/>
    <n v="0"/>
    <n v="0"/>
    <s v="До 10 лет, До 12 лет, До 13 лет, До 15 лет, До 17 лет"/>
    <s v="Да"/>
    <s v="Да"/>
    <n v="2"/>
    <n v="1"/>
    <s v="нет"/>
    <m/>
    <m/>
    <m/>
    <m/>
    <s v="Да"/>
    <s v="Нет"/>
    <m/>
  </r>
  <r>
    <d v="2025-11-18T16:51:53"/>
    <s v="ФГБОУ ВО &quot;ВЛГАФК&quot;"/>
    <x v="5"/>
    <x v="37"/>
    <s v="Великие Луки"/>
    <s v="г. Великие Луки пл. Юбилейная д.4"/>
    <n v="88115333869"/>
    <s v="rektorat@vlgafc.ru"/>
    <s v="СК"/>
    <s v="Нет"/>
    <n v="40"/>
    <x v="5"/>
    <x v="12"/>
    <x v="2"/>
    <x v="0"/>
    <n v="1"/>
    <n v="0"/>
    <n v="0"/>
    <n v="0"/>
    <n v="0"/>
    <n v="0"/>
    <n v="0"/>
    <n v="0"/>
    <n v="0"/>
    <n v="0"/>
    <n v="0"/>
    <n v="0"/>
    <s v="До 19 лет"/>
    <s v="Да"/>
    <s v="Нет"/>
    <n v="1"/>
    <n v="0"/>
    <s v="Примак И.С. В-УЕФА"/>
    <m/>
    <n v="1"/>
    <m/>
    <m/>
    <s v="Нет"/>
    <s v="Нет"/>
    <m/>
  </r>
  <r>
    <d v="2025-12-02T12:14:39"/>
    <s v="МАУ ДО &quot;СШОР &quot;Экспресс&quot;"/>
    <x v="5"/>
    <x v="37"/>
    <s v="Великие Луки "/>
    <s v="182113 Псковская область г. ВЕликие Луки ул. Пушкина д. 12"/>
    <n v="8811237787"/>
    <s v="fkexpress@mail.ru"/>
    <s v="СШОР"/>
    <s v="ДФЦ"/>
    <n v="362"/>
    <x v="31"/>
    <x v="1"/>
    <x v="0"/>
    <x v="0"/>
    <n v="0"/>
    <n v="0"/>
    <n v="7"/>
    <n v="5"/>
    <n v="3"/>
    <n v="7"/>
    <n v="1"/>
    <n v="8"/>
    <n v="3"/>
    <n v="3"/>
    <n v="0"/>
    <n v="0"/>
    <m/>
    <s v="Да"/>
    <s v="Да"/>
    <n v="2"/>
    <n v="1"/>
    <s v="нет"/>
    <m/>
    <m/>
    <m/>
    <m/>
    <s v="Да"/>
    <s v="Нет"/>
    <s v="нет"/>
  </r>
  <r>
    <d v="2025-11-24T18:10:35"/>
    <s v="МБУДО &quot;Детско-юношеская спортивная школа&quot;"/>
    <x v="5"/>
    <x v="37"/>
    <s v="Дедовичи"/>
    <s v="рп Дедовичи, пл. Советов, д.19"/>
    <n v="88113693580"/>
    <s v="org557@pskovedu.ru"/>
    <s v="ДЮСШ"/>
    <s v="Нет"/>
    <n v="274"/>
    <x v="1"/>
    <x v="1"/>
    <x v="0"/>
    <x v="0"/>
    <n v="0"/>
    <n v="0"/>
    <n v="4"/>
    <n v="3"/>
    <n v="0"/>
    <n v="0"/>
    <n v="5"/>
    <n v="4"/>
    <n v="2"/>
    <n v="0"/>
    <n v="0"/>
    <n v="0"/>
    <s v="Соревновательной практики достаточно"/>
    <s v="Да"/>
    <s v="Нет"/>
    <n v="1"/>
    <n v="0"/>
    <s v="Кириллов Виталий Иванович"/>
    <m/>
    <m/>
    <m/>
    <m/>
    <s v="Да"/>
    <s v="Нет"/>
    <m/>
  </r>
  <r>
    <d v="2025-12-07T18:43:17"/>
    <s v="МБОУ &quot; СОШ №44&quot;"/>
    <x v="7"/>
    <x v="38"/>
    <s v="Курган"/>
    <s v="Ул. Бородина , д. 41"/>
    <s v="+7(3522) 25-03-49"/>
    <s v="school-44-kurgan@yandex.ru"/>
    <s v="СШ"/>
    <s v="Нет"/>
    <n v="63"/>
    <x v="49"/>
    <x v="1"/>
    <x v="0"/>
    <x v="0"/>
    <n v="0"/>
    <n v="0"/>
    <n v="0"/>
    <n v="0"/>
    <n v="0"/>
    <n v="0"/>
    <n v="0"/>
    <n v="15"/>
    <n v="10"/>
    <n v="4"/>
    <n v="2"/>
    <n v="0"/>
    <s v="До 10 лет"/>
    <s v="Да"/>
    <s v="Да"/>
    <n v="1"/>
    <n v="1"/>
    <s v="Горбачевская Оксана Олеговна"/>
    <m/>
    <m/>
    <m/>
    <m/>
    <s v="Нет"/>
    <s v="Нет"/>
    <s v="Дополнительное количество тренеров нужно. "/>
  </r>
  <r>
    <d v="2025-12-03T11:18:50"/>
    <s v="Муниципальное бюджетное учреждение дополнительного образования &quot;Детско-юношеская спортивная школа&quot; г.Невеля Псковской области"/>
    <x v="5"/>
    <x v="37"/>
    <s v="Невель"/>
    <s v="Псковская область г.Невель ул.Урицкого д.36"/>
    <n v="8115121321"/>
    <s v="org537@pskovedu.ru"/>
    <s v="ДЮСШ"/>
    <s v="Нет"/>
    <n v="100"/>
    <x v="17"/>
    <x v="1"/>
    <x v="0"/>
    <x v="1"/>
    <n v="0"/>
    <n v="1"/>
    <n v="3"/>
    <n v="4"/>
    <n v="4"/>
    <n v="1"/>
    <n v="0"/>
    <n v="0"/>
    <n v="0"/>
    <n v="0"/>
    <n v="0"/>
    <n v="0"/>
    <s v="Соревновательной практики достаточно"/>
    <s v="Да"/>
    <s v="Нет"/>
    <n v="1"/>
    <n v="0"/>
    <s v="Дмитриев А.Н."/>
    <m/>
    <m/>
    <m/>
    <m/>
    <s v="Да"/>
    <s v="Нет"/>
    <m/>
  </r>
  <r>
    <d v="2025-11-16T16:37:26"/>
    <s v="МБУДО &quot;ДЮСШ г. Порхова&quot;"/>
    <x v="5"/>
    <x v="37"/>
    <s v="Порхов"/>
    <s v="Псковская обл., г. Порхов, пер. Великолукский, л.13"/>
    <n v="88113421584"/>
    <s v="org550@pskovedu.ru"/>
    <s v="ДЮСШ"/>
    <s v="Нет"/>
    <n v="157"/>
    <x v="87"/>
    <x v="1"/>
    <x v="0"/>
    <x v="0"/>
    <n v="0"/>
    <n v="0"/>
    <n v="11"/>
    <n v="5"/>
    <n v="8"/>
    <n v="7"/>
    <n v="9"/>
    <n v="9"/>
    <n v="7"/>
    <n v="0"/>
    <n v="0"/>
    <n v="0"/>
    <s v="До 10 лет, До 12 лет, До 13 лет, До 15 лет"/>
    <s v="Да"/>
    <s v="Да"/>
    <n v="1"/>
    <n v="0"/>
    <n v="0"/>
    <m/>
    <m/>
    <m/>
    <m/>
    <s v="Нет"/>
    <s v="Нет"/>
    <m/>
  </r>
  <r>
    <d v="2025-11-24T10:42:45"/>
    <s v="Муниципальное бюджетное учреждение дополнительного образования &quot;Спортивная школа по футболу &quot;Стрела&quot;"/>
    <x v="5"/>
    <x v="37"/>
    <s v="Псков"/>
    <s v="180025, г. Псков, ул. Байкова, 6"/>
    <n v="78112540020"/>
    <s v="fkstrela@yandex.ru"/>
    <s v="СШ"/>
    <s v="Нет"/>
    <n v="494"/>
    <x v="59"/>
    <x v="1"/>
    <x v="0"/>
    <x v="0"/>
    <n v="0"/>
    <n v="0"/>
    <n v="6"/>
    <n v="6"/>
    <n v="5"/>
    <n v="5"/>
    <n v="2"/>
    <n v="0"/>
    <n v="0"/>
    <n v="0"/>
    <n v="0"/>
    <n v="0"/>
    <s v="До 10 лет, До 12 лет, До 13 лет"/>
    <s v="Нет"/>
    <s v="Да"/>
    <n v="1"/>
    <n v="1"/>
    <s v="Горобец Е.А."/>
    <m/>
    <m/>
    <m/>
    <m/>
    <s v="Да"/>
    <s v="Нет"/>
    <m/>
  </r>
  <r>
    <d v="2025-11-21T09:41:00"/>
    <s v="МБОУ&quot;ЦО&quot; Псковский педагогический комплекс&quot;"/>
    <x v="5"/>
    <x v="37"/>
    <s v="Псков"/>
    <s v="Г. Псков ул. Байкова д. 6"/>
    <n v="89112557828"/>
    <s v="orq21.pskovedu.ru"/>
    <s v="ШСК"/>
    <s v="Нет"/>
    <n v="59"/>
    <x v="103"/>
    <x v="1"/>
    <x v="0"/>
    <x v="0"/>
    <n v="0"/>
    <n v="2"/>
    <n v="7"/>
    <n v="13"/>
    <n v="3"/>
    <n v="10"/>
    <n v="11"/>
    <n v="9"/>
    <n v="4"/>
    <n v="0"/>
    <n v="0"/>
    <n v="0"/>
    <s v="До 12 лет, До 13 лет"/>
    <s v="Нет"/>
    <s v="Да"/>
    <n v="1"/>
    <n v="1"/>
    <s v="Горобец Е. А."/>
    <m/>
    <m/>
    <m/>
    <m/>
    <s v="Нет"/>
    <s v="Нет"/>
    <s v="В школе нет базы для работы с детьми. Мало инвентаря и оборудования. Вообще нет даже стадиона."/>
  </r>
  <r>
    <d v="2025-11-20T15:21:20"/>
    <s v="АНО ДО «Спортивная школа «ФК «Псков»"/>
    <x v="5"/>
    <x v="37"/>
    <s v="Псков "/>
    <s v="180004, г. Псков, ул. Яна Фабрициуса, д. 18"/>
    <s v="(8112)669111"/>
    <s v="clubpskov@fc-pskov.ru"/>
    <s v="СШ"/>
    <s v="ДФЦ"/>
    <n v="300"/>
    <x v="24"/>
    <x v="1"/>
    <x v="0"/>
    <x v="0"/>
    <n v="0"/>
    <n v="1"/>
    <n v="6"/>
    <n v="4"/>
    <n v="10"/>
    <n v="5"/>
    <n v="8"/>
    <n v="2"/>
    <n v="0"/>
    <n v="0"/>
    <n v="0"/>
    <n v="0"/>
    <s v="До 12 лет, До 13 лет, До 15 лет, До 17 лет, До 19 лет"/>
    <s v="Нет"/>
    <s v="Да"/>
    <n v="3"/>
    <n v="1"/>
    <s v="Колышева ЕМ - С-УЕФА, Колышев А.М.- С-УЕФА"/>
    <n v="2"/>
    <m/>
    <m/>
    <m/>
    <s v="Нет"/>
    <s v="Нет"/>
    <m/>
  </r>
  <r>
    <d v="2025-11-28T14:50:36"/>
    <s v="АНО ФК «Россиянка»"/>
    <x v="5"/>
    <x v="37"/>
    <s v="Псков "/>
    <s v="Псковская область, Печорский район, деревня Ястребье, дом 7"/>
    <n v="89113513977"/>
    <s v="fk-rossiyanka@mail.ru"/>
    <s v="ФК"/>
    <s v="Нет"/>
    <n v="102"/>
    <x v="101"/>
    <x v="16"/>
    <x v="5"/>
    <x v="4"/>
    <n v="4"/>
    <n v="1"/>
    <n v="2"/>
    <n v="0"/>
    <n v="5"/>
    <n v="5"/>
    <n v="15"/>
    <n v="15"/>
    <n v="12"/>
    <n v="10"/>
    <n v="8"/>
    <n v="7"/>
    <s v="До 10 лет, До 12 лет, До 13 лет, До 15 лет, До 17 лет, До 19 лет"/>
    <s v="Нет"/>
    <s v="Да"/>
    <n v="5"/>
    <n v="2"/>
    <s v="Казаченко Д.В С-УЕФА"/>
    <n v="1"/>
    <m/>
    <m/>
    <m/>
    <s v="Нет"/>
    <s v="Нет"/>
    <m/>
  </r>
  <r>
    <d v="2025-11-17T10:15:00"/>
    <s v="Муниципальное бюджетное учреждение дополнительного образования &quot;Центр дополнительного образования для детей&quot;"/>
    <x v="5"/>
    <x v="37"/>
    <s v="Пустошка"/>
    <s v="г.Пустошка ул.Октябрьская д.34-а"/>
    <n v="88114221696"/>
    <s v="org566@pskovedu.ru "/>
    <s v="ЦДО "/>
    <s v="Нет"/>
    <n v="77"/>
    <x v="23"/>
    <x v="1"/>
    <x v="0"/>
    <x v="0"/>
    <n v="0"/>
    <n v="1"/>
    <n v="1"/>
    <n v="2"/>
    <n v="0"/>
    <n v="2"/>
    <n v="5"/>
    <n v="4"/>
    <n v="0"/>
    <n v="4"/>
    <n v="1"/>
    <n v="0"/>
    <s v="Соревновательной практики достаточно"/>
    <s v="Да"/>
    <s v="Да"/>
    <n v="2"/>
    <n v="0"/>
    <s v="Прохоров С.И., Сафронов А.М."/>
    <m/>
    <m/>
    <m/>
    <m/>
    <s v="Да"/>
    <s v="Нет"/>
    <m/>
  </r>
  <r>
    <m/>
    <s v="МБУ ДО&quot;Пыталовская ДЮСШ&quot;"/>
    <x v="5"/>
    <x v="37"/>
    <s v="Пыталово"/>
    <s v="Белорусская, д. 18а"/>
    <s v="8(81147) 2-10-30"/>
    <s v="    org568@pskovedu.ru  "/>
    <m/>
    <m/>
    <n v="39"/>
    <x v="3"/>
    <x v="1"/>
    <x v="0"/>
    <x v="0"/>
    <n v="0"/>
    <n v="0"/>
    <n v="0"/>
    <n v="0"/>
    <n v="7"/>
    <n v="8"/>
    <n v="0"/>
    <n v="0"/>
    <n v="0"/>
    <n v="0"/>
    <n v="0"/>
    <n v="0"/>
    <m/>
    <m/>
    <m/>
    <m/>
    <m/>
    <m/>
    <m/>
    <m/>
    <m/>
    <m/>
    <m/>
    <m/>
    <m/>
  </r>
  <r>
    <d v="2025-11-17T12:18:20"/>
    <s v="МБУ ДО Кемская СШ"/>
    <x v="5"/>
    <x v="39"/>
    <s v="Кемь"/>
    <s v="Республика Карелия, г.Кемь, ул. Каменева, 20а"/>
    <n v="88145872072"/>
    <s v=" sportschool-kem@mail.ru"/>
    <s v="СШ"/>
    <s v="Нет"/>
    <n v="87"/>
    <x v="95"/>
    <x v="1"/>
    <x v="0"/>
    <x v="0"/>
    <n v="0"/>
    <n v="4"/>
    <n v="0"/>
    <n v="0"/>
    <n v="0"/>
    <n v="1"/>
    <n v="0"/>
    <n v="1"/>
    <n v="1"/>
    <n v="0"/>
    <n v="2"/>
    <n v="0"/>
    <m/>
    <s v="Да"/>
    <s v="Да"/>
    <n v="2"/>
    <n v="1"/>
    <s v="Губар М.В., Югова С.Н."/>
    <m/>
    <m/>
    <m/>
    <m/>
    <s v="Нет"/>
    <s v="Нет"/>
    <m/>
  </r>
  <r>
    <d v="2025-11-17T08:09:00"/>
    <s v="МОУДО &quot;Олонецкая ДЮСШ&quot;"/>
    <x v="5"/>
    <x v="39"/>
    <s v="Олонец"/>
    <s v="РК Олонец Красноармейская 19"/>
    <n v="89602193111"/>
    <s v="sportolonets@mail.ru"/>
    <s v="ДЮСШ"/>
    <s v="Нет"/>
    <n v="215"/>
    <x v="72"/>
    <x v="1"/>
    <x v="0"/>
    <x v="0"/>
    <n v="0"/>
    <n v="0"/>
    <n v="15"/>
    <n v="14"/>
    <n v="16"/>
    <n v="0"/>
    <n v="16"/>
    <n v="14"/>
    <n v="8"/>
    <n v="7"/>
    <n v="0"/>
    <n v="0"/>
    <s v="До 10 лет, До 12 лет"/>
    <s v="Да"/>
    <s v="Да"/>
    <n v="2"/>
    <n v="1"/>
    <n v="0"/>
    <m/>
    <m/>
    <m/>
    <m/>
    <s v="Да"/>
    <s v="Нет"/>
    <m/>
  </r>
  <r>
    <d v="2025-11-18T09:51:11"/>
    <s v="МУ ДО &quot;СШ-7&quot;"/>
    <x v="5"/>
    <x v="39"/>
    <s v="Петрозаводск"/>
    <s v="пл. Кирова, д.2"/>
    <n v="8142764429"/>
    <s v="moydodush7@mail.ru"/>
    <s v="СШ"/>
    <s v="ДФЦ"/>
    <n v="750"/>
    <x v="104"/>
    <x v="24"/>
    <x v="4"/>
    <x v="3"/>
    <n v="2"/>
    <n v="2"/>
    <n v="2"/>
    <n v="6"/>
    <n v="6"/>
    <n v="16"/>
    <n v="11"/>
    <n v="12"/>
    <n v="8"/>
    <n v="5"/>
    <n v="3"/>
    <n v="9"/>
    <s v="До 12 лет, До 13 лет, До 15 лет, До 17 лет"/>
    <s v="Да"/>
    <s v="Да"/>
    <n v="4"/>
    <n v="2"/>
    <s v="Григорьева А.И. С-УЕФА, Ершов С.В. С-УЕФА, Колышев С.К. С-УЕФА, Круглова К.Я."/>
    <n v="3"/>
    <m/>
    <m/>
    <m/>
    <s v="Да"/>
    <s v="Нет"/>
    <m/>
  </r>
  <r>
    <d v="2025-12-09T01:11:51"/>
    <s v="мбоу сегежская спортивная школа"/>
    <x v="5"/>
    <x v="39"/>
    <s v="Сегежа"/>
    <s v="186420, Р. Карелия,г. Сегежа, ул. Мира, д.18"/>
    <n v="79658175905"/>
    <s v="com-nastart@yandex.ru"/>
    <s v="СШ"/>
    <s v="Нет"/>
    <n v="110"/>
    <x v="21"/>
    <x v="1"/>
    <x v="0"/>
    <x v="0"/>
    <n v="1"/>
    <n v="0"/>
    <n v="1"/>
    <n v="0"/>
    <n v="0"/>
    <n v="0"/>
    <n v="0"/>
    <n v="0"/>
    <n v="10"/>
    <n v="1"/>
    <n v="0"/>
    <n v="0"/>
    <s v="До 10 лет, До 12 лет"/>
    <s v="Да"/>
    <s v="Да"/>
    <n v="2"/>
    <n v="1"/>
    <s v="Никитин Андрей Владимирович, Зайцева Ольга Римгаудас"/>
    <m/>
    <m/>
    <m/>
    <m/>
    <s v="Нет"/>
    <s v="Нет"/>
    <s v="...."/>
  </r>
  <r>
    <d v="2025-11-24T15:47:22"/>
    <s v="Муниципальное бюджетное учреждение дополнительного образования Сортавальского муниципального округа Спортивная школа"/>
    <x v="5"/>
    <x v="39"/>
    <s v="Сортавала"/>
    <s v="Респ. Карелия, г. Сортавала, пл. Кирова, 11"/>
    <n v="898140000000"/>
    <s v="sport-sort1@yandex.ru"/>
    <s v="СШ"/>
    <s v="Нет"/>
    <n v="116"/>
    <x v="1"/>
    <x v="1"/>
    <x v="0"/>
    <x v="0"/>
    <n v="0"/>
    <n v="1"/>
    <n v="1"/>
    <n v="1"/>
    <n v="1"/>
    <n v="5"/>
    <n v="3"/>
    <n v="0"/>
    <n v="4"/>
    <n v="1"/>
    <n v="0"/>
    <n v="1"/>
    <m/>
    <s v="Да"/>
    <s v="Да"/>
    <n v="1"/>
    <n v="0"/>
    <s v="Сахатаров А.А."/>
    <m/>
    <m/>
    <m/>
    <m/>
    <s v="Да"/>
    <s v="Нет"/>
    <m/>
  </r>
  <r>
    <d v="2025-11-17T08:52:17"/>
    <s v="Муниципальное бюджетное учреждение &quot;Спортивная школа Усть-Вымского района&quot;"/>
    <x v="5"/>
    <x v="40"/>
    <s v="Жешарт, Айкино"/>
    <s v="Республика Коми, Усть-Вымский район, с. Айкино, ул. Школьная 10 &quot;а&quot;"/>
    <n v="88213421359"/>
    <s v="sport-shool2016@yandex.ru"/>
    <s v="СШ"/>
    <s v="Нет"/>
    <n v="160"/>
    <x v="4"/>
    <x v="1"/>
    <x v="0"/>
    <x v="0"/>
    <n v="2"/>
    <n v="3"/>
    <n v="0"/>
    <n v="1"/>
    <n v="2"/>
    <n v="4"/>
    <n v="2"/>
    <n v="1"/>
    <n v="6"/>
    <n v="2"/>
    <n v="0"/>
    <n v="0"/>
    <s v="Соревновательной практики достаточно"/>
    <s v="Да"/>
    <s v="Да"/>
    <n v="3"/>
    <n v="0"/>
    <s v="Пушней Н.Д., Кызродев Р.Н., Матвеев С.Г."/>
    <m/>
    <m/>
    <m/>
    <m/>
    <s v="Да"/>
    <s v="Нет"/>
    <m/>
  </r>
  <r>
    <d v="2025-11-17T12:52:49"/>
    <s v="МБУДО &quot;КДЮСШ Корткерос&quot;"/>
    <x v="5"/>
    <x v="40"/>
    <s v="Корткерос"/>
    <s v="с.Корткерос, ул.Советская д.157А"/>
    <n v="88213699595"/>
    <s v="sport.unior@mail.ru"/>
    <s v="ДЮСШ"/>
    <s v="Нет"/>
    <n v="68"/>
    <x v="81"/>
    <x v="1"/>
    <x v="0"/>
    <x v="0"/>
    <n v="3"/>
    <n v="2"/>
    <n v="2"/>
    <n v="5"/>
    <n v="2"/>
    <n v="2"/>
    <n v="1"/>
    <n v="2"/>
    <n v="0"/>
    <n v="3"/>
    <n v="2"/>
    <n v="2"/>
    <s v="Соревновательной практики достаточно"/>
    <s v="Да"/>
    <s v="Нет"/>
    <n v="2"/>
    <n v="2"/>
    <s v="Бутикова О.И._x000a_Зубец К.С."/>
    <m/>
    <m/>
    <m/>
    <m/>
    <s v="Да"/>
    <s v="Нет"/>
    <s v="нет комментариев"/>
  </r>
  <r>
    <d v="2025-11-21T16:20:14"/>
    <s v="МБУ ДО «СШОР г. Сосногорска»"/>
    <x v="5"/>
    <x v="40"/>
    <s v="Сосногорск"/>
    <s v="Республика Коми, г. Сосногорск, ул. Спортивная, д. 6 "/>
    <s v="+7 (82149) 5-46-78"/>
    <s v="1108013102@sport.rkomi.ru"/>
    <s v="СШОР"/>
    <s v="Нет"/>
    <n v="176"/>
    <x v="65"/>
    <x v="1"/>
    <x v="0"/>
    <x v="0"/>
    <n v="0"/>
    <n v="0"/>
    <n v="0"/>
    <n v="0"/>
    <n v="0"/>
    <n v="1"/>
    <n v="2"/>
    <n v="0"/>
    <n v="0"/>
    <n v="0"/>
    <n v="1"/>
    <n v="0"/>
    <s v="Соревновательной практики достаточно"/>
    <s v="Да"/>
    <s v="Да"/>
    <n v="2"/>
    <n v="0"/>
    <s v="Куликов Д.В. С-УЕФА"/>
    <n v="1"/>
    <m/>
    <m/>
    <m/>
    <s v="Да"/>
    <s v="Нет"/>
    <m/>
  </r>
  <r>
    <d v="2025-11-21T09:13:45"/>
    <s v="Государственное бюджетное учреждение дополнительного образования Республики Коми &quot;Спортивная школа по футболу&quot;"/>
    <x v="5"/>
    <x v="40"/>
    <s v="Сыктывкар"/>
    <s v="Школьная 13"/>
    <n v="88212286460"/>
    <s v="fschkomi@mail.ru"/>
    <s v="СШ"/>
    <s v="Нет"/>
    <n v="611"/>
    <x v="34"/>
    <x v="1"/>
    <x v="0"/>
    <x v="0"/>
    <n v="0"/>
    <n v="0"/>
    <n v="0"/>
    <n v="3"/>
    <n v="7"/>
    <n v="3"/>
    <n v="5"/>
    <n v="3"/>
    <n v="0"/>
    <n v="0"/>
    <n v="0"/>
    <n v="0"/>
    <s v="Соревновательной практики достаточно"/>
    <s v="Нет"/>
    <s v="Нет"/>
    <n v="1"/>
    <n v="0"/>
    <s v="Ьатаев А.Н. С-УЕФА"/>
    <n v="1"/>
    <m/>
    <m/>
    <m/>
    <s v="Да"/>
    <s v="Нет"/>
    <m/>
  </r>
  <r>
    <d v="2025-11-21T13:05:37"/>
    <s v="Академия Новая генерация "/>
    <x v="5"/>
    <x v="40"/>
    <s v="Сыктывкар "/>
    <s v="РК, г. Сыктывкар, ул. Малышева, 6/1"/>
    <n v="79222722822"/>
    <s v="akademiya-ng@yandex.ru"/>
    <s v="СШ"/>
    <s v="Нет"/>
    <n v="650"/>
    <x v="27"/>
    <x v="1"/>
    <x v="0"/>
    <x v="0"/>
    <n v="0"/>
    <n v="2"/>
    <n v="0"/>
    <n v="1"/>
    <n v="0"/>
    <n v="0"/>
    <n v="4"/>
    <n v="6"/>
    <n v="10"/>
    <n v="5"/>
    <n v="2"/>
    <n v="4"/>
    <s v="Соревновательной практики достаточно"/>
    <s v="Да"/>
    <s v="Да"/>
    <n v="2"/>
    <n v="0"/>
    <s v="Нет"/>
    <m/>
    <m/>
    <m/>
    <m/>
    <s v="Да"/>
    <s v="Нет"/>
    <m/>
  </r>
  <r>
    <d v="2025-11-17T10:21:10"/>
    <s v="Муниципальное бюджетное образовательное учреждение дополнительного образования &quot;Спортивная школа № 2&quot;"/>
    <x v="5"/>
    <x v="40"/>
    <s v="Ухта"/>
    <s v="169300, Республика Коми, г. Ухта, ул. Сенюкова, д. 47/1"/>
    <s v="8(8216)780203"/>
    <s v="dyussh2uchta@mail.ru"/>
    <s v="СШ"/>
    <s v="Нет"/>
    <n v="120"/>
    <x v="11"/>
    <x v="1"/>
    <x v="0"/>
    <x v="0"/>
    <n v="0"/>
    <n v="0"/>
    <n v="0"/>
    <n v="1"/>
    <n v="0"/>
    <n v="0"/>
    <n v="0"/>
    <n v="0"/>
    <n v="0"/>
    <n v="0"/>
    <n v="0"/>
    <n v="0"/>
    <s v="в учреждении нет группы девочек, поэтому этот вопрос не прпорабатывался"/>
    <s v="Да"/>
    <s v="Да"/>
    <n v="0"/>
    <n v="0"/>
    <n v="0"/>
    <m/>
    <m/>
    <m/>
    <m/>
    <s v="Да"/>
    <s v="Нет"/>
    <m/>
  </r>
  <r>
    <d v="2025-11-28T15:32:49"/>
    <s v="ВОЕНМЕХ"/>
    <x v="5"/>
    <x v="41"/>
    <s v="Санкт-Петербург"/>
    <s v="1-Красноармейская ул.д1 /21 "/>
    <n v="78123162394"/>
    <s v="sportclub@voenmeh.ru"/>
    <s v="СК"/>
    <s v="Нет"/>
    <n v="80"/>
    <x v="32"/>
    <x v="20"/>
    <x v="13"/>
    <x v="15"/>
    <n v="13"/>
    <n v="2"/>
    <n v="1"/>
    <n v="0"/>
    <n v="0"/>
    <n v="0"/>
    <n v="0"/>
    <n v="0"/>
    <n v="0"/>
    <n v="0"/>
    <n v="0"/>
    <n v="0"/>
    <s v="Соревновательной практики достаточно"/>
    <s v="Нет"/>
    <s v="Нет"/>
    <n v="1"/>
    <n v="1"/>
    <s v="Кобелева С.В"/>
    <m/>
    <m/>
    <m/>
    <m/>
    <s v="Нет"/>
    <s v="Нет"/>
    <m/>
  </r>
  <r>
    <d v="2025-12-03T11:09:10"/>
    <s v="СПб ГБУ ДО СШ КРОНШТАДТСКОГО РАЙОНА "/>
    <x v="5"/>
    <x v="41"/>
    <s v="Кронштадт "/>
    <s v="КРОНШТАДТСКИЙ РАЙОН"/>
    <n v="89818488068"/>
    <s v="sensei1971vital@mail.ru"/>
    <s v="СШ"/>
    <s v="Нет"/>
    <n v="35"/>
    <x v="9"/>
    <x v="1"/>
    <x v="0"/>
    <x v="0"/>
    <n v="0"/>
    <n v="0"/>
    <n v="0"/>
    <n v="0"/>
    <n v="0"/>
    <n v="0"/>
    <n v="1"/>
    <n v="1"/>
    <n v="3"/>
    <n v="0"/>
    <n v="0"/>
    <n v="0"/>
    <s v="Соревновательной практики достаточно"/>
    <s v="Да"/>
    <s v="Да"/>
    <n v="0"/>
    <n v="0"/>
    <s v="нет"/>
    <m/>
    <m/>
    <m/>
    <m/>
    <s v="Да"/>
    <s v="Нет"/>
    <s v="нет"/>
  </r>
  <r>
    <d v="2025-12-05T14:43:17"/>
    <s v="СПб ГБУ ДО СШОР &quot;Невские звезды&quot;"/>
    <x v="5"/>
    <x v="41"/>
    <s v="Петергоф"/>
    <s v="Петергоф, ул. Аврова д. 22"/>
    <s v="8 (812)748-94-06"/>
    <s v="sportotdel@starsspb.ru"/>
    <s v="СШОР"/>
    <s v="Нет"/>
    <n v="18"/>
    <x v="95"/>
    <x v="25"/>
    <x v="0"/>
    <x v="0"/>
    <n v="0"/>
    <n v="0"/>
    <n v="0"/>
    <n v="0"/>
    <n v="0"/>
    <n v="0"/>
    <n v="0"/>
    <n v="0"/>
    <n v="0"/>
    <n v="0"/>
    <n v="0"/>
    <n v="0"/>
    <m/>
    <s v="Нет"/>
    <s v="Нет"/>
    <n v="1"/>
    <n v="1"/>
    <s v="Кузнецова Марина Сергеевна"/>
    <m/>
    <m/>
    <m/>
    <m/>
    <s v="Да"/>
    <s v="Да"/>
    <m/>
  </r>
  <r>
    <d v="2025-11-18T18:30:33"/>
    <s v="ЖФК Царское Село"/>
    <x v="5"/>
    <x v="41"/>
    <s v="Пушкин"/>
    <s v="Шушары, тер. Славянка, ш. Колпинское д.40"/>
    <n v="79110001193"/>
    <s v="wfc@cs-pushkin.ru"/>
    <s v="ЖФК "/>
    <s v="Нет"/>
    <n v="105"/>
    <x v="105"/>
    <x v="16"/>
    <x v="8"/>
    <x v="15"/>
    <n v="11"/>
    <n v="6"/>
    <n v="6"/>
    <n v="4"/>
    <n v="3"/>
    <n v="3"/>
    <n v="2"/>
    <n v="3"/>
    <n v="10"/>
    <n v="10"/>
    <n v="10"/>
    <n v="5"/>
    <s v="До 10 лет"/>
    <s v="Нет"/>
    <s v="Нет"/>
    <n v="3"/>
    <n v="0"/>
    <s v="Лущик Е.А. С-УЕФА"/>
    <n v="1"/>
    <m/>
    <m/>
    <m/>
    <s v="Нет"/>
    <s v="Нет"/>
    <m/>
  </r>
  <r>
    <d v="2025-11-17T17:21:31"/>
    <s v="СПб ГБУ ДО СШОР по футболу &quot;Зенит&quot;"/>
    <x v="5"/>
    <x v="41"/>
    <s v="Санк-Петербург"/>
    <s v="пр. Металлистов, 28"/>
    <n v="2468788"/>
    <s v="zenith-school@yandex.ru"/>
    <s v="СШОР"/>
    <s v="РЦ"/>
    <n v="527"/>
    <x v="20"/>
    <x v="1"/>
    <x v="0"/>
    <x v="0"/>
    <n v="0"/>
    <n v="0"/>
    <n v="0"/>
    <n v="3"/>
    <n v="6"/>
    <n v="7"/>
    <n v="5"/>
    <n v="10"/>
    <n v="7"/>
    <n v="0"/>
    <n v="0"/>
    <n v="0"/>
    <s v="До 10 лет, До 12 лет, До 13 лет"/>
    <s v="Нет"/>
    <s v="Нет"/>
    <n v="2"/>
    <n v="2"/>
    <s v="Семенова М.А. - С-УЕФА (футзал), Сузарева А.А. - нет"/>
    <n v="1"/>
    <m/>
    <m/>
    <m/>
    <s v="Да"/>
    <s v="Нет"/>
    <m/>
  </r>
  <r>
    <d v="2025-11-24T12:32:13"/>
    <s v=" Государственное бюджетное учреждение дополнительного образования               спортивная школа олимпийского резерва «Лидер» Фрунзенского района   Санкт-Петербурга"/>
    <x v="5"/>
    <x v="41"/>
    <s v="Санкт-Петербург"/>
    <s v="192236, Санкт-Петербург, ул. Софийская, д. 33, к. 1, литер А "/>
    <s v="(812) 268-31-86  "/>
    <s v="lider-sof33@mail.ru "/>
    <s v="СШОР"/>
    <s v="Нет"/>
    <n v="641"/>
    <x v="106"/>
    <x v="1"/>
    <x v="0"/>
    <x v="0"/>
    <n v="0"/>
    <n v="9"/>
    <n v="7"/>
    <n v="9"/>
    <n v="23"/>
    <n v="15"/>
    <n v="30"/>
    <n v="23"/>
    <n v="14"/>
    <n v="8"/>
    <n v="5"/>
    <n v="0"/>
    <s v="До 10 лет, До 12 лет, До 13 лет, До 15 лет, До 17 лет, До 19 лет"/>
    <s v="Нет"/>
    <s v="Да"/>
    <n v="4"/>
    <n v="2"/>
    <s v="Великанова С.Г. -B-УЕФА, Аксентьев О.Е.-С-УЕФА"/>
    <n v="1"/>
    <n v="1"/>
    <m/>
    <m/>
    <s v="Да"/>
    <s v="Да"/>
    <m/>
  </r>
  <r>
    <d v="2025-11-16T15:40:45"/>
    <s v="АНО &quot;Футбольный клуб &quot;Коломяги&quot;"/>
    <x v="5"/>
    <x v="41"/>
    <s v="Санкт-Петербург"/>
    <s v="194214, Санкт-Петербург, Скобелевский пр. 5-83"/>
    <n v="79219322469"/>
    <s v="k-sport@mail.ru"/>
    <s v="ФК"/>
    <s v="ДФЦ"/>
    <n v="330"/>
    <x v="34"/>
    <x v="1"/>
    <x v="0"/>
    <x v="0"/>
    <n v="0"/>
    <n v="0"/>
    <n v="0"/>
    <n v="0"/>
    <n v="0"/>
    <n v="2"/>
    <n v="3"/>
    <n v="1"/>
    <n v="12"/>
    <n v="3"/>
    <n v="0"/>
    <n v="0"/>
    <m/>
    <s v="Да"/>
    <s v="Нет"/>
    <n v="1"/>
    <n v="0"/>
    <s v="Арифуллин Д.А."/>
    <m/>
    <m/>
    <m/>
    <m/>
    <s v="Да"/>
    <s v="Нет"/>
    <m/>
  </r>
  <r>
    <d v="2025-11-17T11:36:52"/>
    <s v="СПб ГБУ ДО СШ &quot;Локомотив&quot;"/>
    <x v="5"/>
    <x v="41"/>
    <s v="санкт-петербург"/>
    <s v="194361, Санкт-Петербург, п. Левашово, ул. Первомайская, 37, литера А"/>
    <n v="8124097427"/>
    <s v="lokomotiv_spb@mail.ru"/>
    <s v="СШ"/>
    <s v="Нет"/>
    <n v="288"/>
    <x v="39"/>
    <x v="4"/>
    <x v="3"/>
    <x v="2"/>
    <n v="3"/>
    <n v="4"/>
    <n v="5"/>
    <n v="5"/>
    <n v="6"/>
    <n v="3"/>
    <n v="1"/>
    <n v="0"/>
    <n v="0"/>
    <n v="0"/>
    <n v="0"/>
    <n v="0"/>
    <s v="До 17 лет, До 19 лет"/>
    <s v="Нет"/>
    <s v="Нет"/>
    <n v="3"/>
    <n v="0"/>
    <s v="Евграфов М. В. С-УЕФА_x000a_Константинов А.А. нет лицензии_x000a_Челебадзе М.И. С-УЕФА"/>
    <n v="2"/>
    <m/>
    <m/>
    <m/>
    <s v="Да"/>
    <s v="Нет"/>
    <m/>
  </r>
  <r>
    <d v="2025-11-20T18:14:38"/>
    <s v="ГБУ «СПб ЦФКиС» (СШ &quot;Кировец-Восхождение&quot;)"/>
    <x v="5"/>
    <x v="41"/>
    <s v="Санкт-Петербург"/>
    <s v="198152, город Санкт-Петербург, Краснопутиловская ул., д. 2 литер а "/>
    <s v="8 (812) 409-84-92"/>
    <s v="tsfkis@sport.gugov.spb.ru"/>
    <s v="СШ"/>
    <s v="РЦ"/>
    <n v="467"/>
    <x v="103"/>
    <x v="1"/>
    <x v="0"/>
    <x v="0"/>
    <n v="0"/>
    <n v="0"/>
    <n v="0"/>
    <n v="5"/>
    <n v="6"/>
    <n v="15"/>
    <n v="9"/>
    <n v="8"/>
    <n v="7"/>
    <n v="6"/>
    <n v="3"/>
    <n v="0"/>
    <s v="До 10 лет, До 12 лет, До 13 лет, До 15 лет"/>
    <s v="Да"/>
    <s v="Да"/>
    <n v="2"/>
    <n v="0"/>
    <s v="Щечилин Д.С. С-УЕФА"/>
    <n v="1"/>
    <m/>
    <m/>
    <m/>
    <s v="Да"/>
    <s v="Да"/>
    <m/>
  </r>
  <r>
    <d v="2025-12-01T18:52:04"/>
    <s v="Региональная общественная организация по развитию физической культуры и спорта «Мини-футбольный клуб «АВРОРА»"/>
    <x v="5"/>
    <x v="41"/>
    <s v="Санкт-Петербург"/>
    <s v="198188, г. Санкт-Петербург, ул. Васи Алексеева д. 9 к.1 лит. А офис 107"/>
    <n v="89500287103"/>
    <s v="roo_aurora@mail.ru"/>
    <s v="МФК"/>
    <s v="Нет"/>
    <n v="19"/>
    <x v="78"/>
    <x v="22"/>
    <x v="5"/>
    <x v="4"/>
    <n v="2"/>
    <n v="0"/>
    <n v="0"/>
    <n v="0"/>
    <n v="0"/>
    <n v="0"/>
    <n v="0"/>
    <n v="0"/>
    <n v="0"/>
    <n v="0"/>
    <n v="0"/>
    <n v="0"/>
    <s v="Соревновательной практики достаточно"/>
    <s v="Нет"/>
    <s v="Нет"/>
    <n v="2"/>
    <n v="2"/>
    <s v="Николаева Анастасия Юрьевна-С-УЕФА,B-УЕФА_x000a_Хайрулин Юрий Эдикаевич-С-УЕФА"/>
    <n v="2"/>
    <n v="1"/>
    <m/>
    <m/>
    <s v="Нет"/>
    <s v="Нет"/>
    <m/>
  </r>
  <r>
    <d v="2025-11-17T12:39:03"/>
    <s v="ГБУ ДО СШОР№ 2 Невского района"/>
    <x v="5"/>
    <x v="41"/>
    <s v="Санкт-Петербург"/>
    <s v="г.Санкт-Петербург, ул. Подвойского д.31, корп.3"/>
    <s v="+7(812)319-55-48"/>
    <s v="nevasport2@mail.ru"/>
    <s v="СШОР"/>
    <s v="Нет"/>
    <n v="585"/>
    <x v="107"/>
    <x v="1"/>
    <x v="0"/>
    <x v="8"/>
    <n v="17"/>
    <n v="16"/>
    <n v="20"/>
    <n v="21"/>
    <n v="25"/>
    <n v="20"/>
    <n v="21"/>
    <n v="21"/>
    <n v="20"/>
    <n v="33"/>
    <n v="10"/>
    <n v="0"/>
    <s v="Соревновательной практики достаточно"/>
    <s v="Нет"/>
    <s v="Нет"/>
    <n v="10"/>
    <n v="5"/>
    <s v="Прорвина С.А-  С-УЕФА_x000a_Соловьев А.В- С-УЕФА_x000a_Ахметова П.М- С-УЕФА_x000a_Митрофанова Е.В- С-УЕФА"/>
    <n v="4"/>
    <m/>
    <m/>
    <m/>
    <s v="Да"/>
    <s v="Да"/>
    <m/>
  </r>
  <r>
    <d v="2025-11-17T14:43:02"/>
    <s v="АО ФК Зенит"/>
    <x v="5"/>
    <x v="41"/>
    <s v="Санкт-Петербург"/>
    <s v="Профессора Попова 37щ"/>
    <n v="79310000654"/>
    <s v="office@fc-zenit.ru"/>
    <s v="ФК"/>
    <m/>
    <n v="700"/>
    <x v="108"/>
    <x v="26"/>
    <x v="1"/>
    <x v="11"/>
    <n v="10"/>
    <n v="12"/>
    <n v="14"/>
    <n v="16"/>
    <n v="14"/>
    <n v="20"/>
    <n v="10"/>
    <n v="15"/>
    <n v="24"/>
    <n v="22"/>
    <n v="22"/>
    <n v="28"/>
    <s v="До 10 лет, До 12 лет, До 13 лет, До 15 лет"/>
    <s v="Да"/>
    <s v="Да"/>
    <n v="24"/>
    <n v="2"/>
    <s v="У всех есть различные лицензии от (B-UEFA) и выше"/>
    <m/>
    <n v="10"/>
    <n v="9"/>
    <n v="5"/>
    <s v="Да"/>
    <s v="Нет"/>
    <m/>
  </r>
  <r>
    <d v="2025-12-08T15:18:44"/>
    <s v="СПбГУТ"/>
    <x v="5"/>
    <x v="41"/>
    <s v="Санкт-Петербург"/>
    <s v="Россия, 193232, Санкт-Петербург, пр. Большевиков д.22, к.1"/>
    <n v="78123263163"/>
    <s v="rector@sut.ru"/>
    <s v="СК"/>
    <s v="Нет"/>
    <n v="60"/>
    <x v="23"/>
    <x v="18"/>
    <x v="0"/>
    <x v="0"/>
    <n v="0"/>
    <n v="0"/>
    <n v="0"/>
    <n v="0"/>
    <n v="0"/>
    <n v="0"/>
    <n v="0"/>
    <n v="0"/>
    <n v="0"/>
    <n v="0"/>
    <n v="0"/>
    <n v="0"/>
    <s v="Соревновательной практики достаточно"/>
    <s v="Нет"/>
    <s v="Нет"/>
    <n v="2"/>
    <n v="1"/>
    <s v="нет"/>
    <m/>
    <m/>
    <m/>
    <m/>
    <s v="Да"/>
    <s v="Да"/>
    <m/>
  </r>
  <r>
    <d v="2025-11-17T11:37:17"/>
    <s v="Кристалл"/>
    <x v="5"/>
    <x v="41"/>
    <s v="Санкт-Петербург"/>
    <s v="Санкт-Петербург, Гражданский пр-кт 100"/>
    <n v="79531662376"/>
    <s v="manager@kristall-fc.ru"/>
    <s v="ФК"/>
    <s v="Нет"/>
    <n v="12"/>
    <x v="71"/>
    <x v="7"/>
    <x v="0"/>
    <x v="0"/>
    <n v="0"/>
    <n v="0"/>
    <n v="0"/>
    <n v="0"/>
    <n v="0"/>
    <n v="0"/>
    <n v="0"/>
    <n v="0"/>
    <n v="0"/>
    <n v="0"/>
    <n v="0"/>
    <n v="0"/>
    <s v="До 19 лет, Соревновательной практики достаточно"/>
    <s v="Нет"/>
    <s v="Нет"/>
    <n v="3"/>
    <n v="1"/>
    <s v="Соловьев А.В. С-УЕФА, Прорвина С.А. С-УЕФА"/>
    <n v="2"/>
    <m/>
    <m/>
    <m/>
    <s v="Нет"/>
    <s v="Нет"/>
    <m/>
  </r>
  <r>
    <d v="2025-12-05T13:47:31"/>
    <s v="АНО &quot;ФК &quot;ЗВЕЗДА&quot;"/>
    <x v="5"/>
    <x v="41"/>
    <s v="Санкт-Петербург"/>
    <s v="Санкт-Петербург, ул. Полевая Сабировская, д. 52"/>
    <s v="+7 (966) 877-99-30"/>
    <s v="fczvezda@t-vvk.ru"/>
    <s v="ФК"/>
    <s v="РЦ"/>
    <n v="600"/>
    <x v="109"/>
    <x v="27"/>
    <x v="3"/>
    <x v="1"/>
    <n v="2"/>
    <n v="8"/>
    <n v="11"/>
    <n v="16"/>
    <n v="11"/>
    <n v="11"/>
    <n v="5"/>
    <n v="5"/>
    <n v="6"/>
    <n v="3"/>
    <n v="2"/>
    <n v="1"/>
    <s v="До 17 лет, До 19 лет"/>
    <s v="Нет"/>
    <s v="Нет"/>
    <n v="5"/>
    <n v="4"/>
    <s v="Чернякова А.А. C-УЕФА"/>
    <n v="1"/>
    <m/>
    <m/>
    <m/>
    <s v="Да"/>
    <s v="Нет"/>
    <m/>
  </r>
  <r>
    <d v="2025-11-24T11:32:08"/>
    <s v="&quot;Центр физической культуры , спорта и здоровья Калининского района&quot;"/>
    <x v="5"/>
    <x v="41"/>
    <s v="Санкт-Петербург"/>
    <s v="Санкт-Петербург, ул.Натальи Грудининой 2, стр.1"/>
    <n v="5977264"/>
    <s v="fok-sport@mail.ru"/>
    <s v="ЦС"/>
    <s v="Нет"/>
    <n v="200"/>
    <x v="4"/>
    <x v="1"/>
    <x v="0"/>
    <x v="0"/>
    <n v="0"/>
    <n v="0"/>
    <n v="0"/>
    <n v="1"/>
    <n v="3"/>
    <n v="1"/>
    <n v="7"/>
    <n v="4"/>
    <n v="3"/>
    <n v="3"/>
    <n v="1"/>
    <n v="0"/>
    <s v="Мы практически не участвуем в соревнованиях. У нас секция, в которой занимаются разновозрастные девочки."/>
    <s v="Нет"/>
    <s v="Нет"/>
    <n v="2"/>
    <n v="0"/>
    <s v="Нет "/>
    <m/>
    <m/>
    <m/>
    <m/>
    <s v="Нет"/>
    <s v="Нет"/>
    <m/>
  </r>
  <r>
    <d v="2025-11-28T12:44:00"/>
    <s v="СПбГБУ Центр ФКСиЗ Центрального района "/>
    <x v="5"/>
    <x v="41"/>
    <s v="Санкт-Петербург"/>
    <s v="СПб ул. Кирочная 50 литер А"/>
    <s v="8(960)232-80-10"/>
    <s v="fk@sport.gugov.spb.ru"/>
    <s v="Центр спорта "/>
    <s v="Нет"/>
    <n v="150"/>
    <x v="18"/>
    <x v="28"/>
    <x v="1"/>
    <x v="5"/>
    <n v="0"/>
    <n v="0"/>
    <n v="0"/>
    <n v="0"/>
    <n v="0"/>
    <n v="0"/>
    <n v="0"/>
    <n v="0"/>
    <n v="0"/>
    <n v="0"/>
    <n v="0"/>
    <n v="0"/>
    <s v="До 10 лет, До 12 лет, До 13 лет, До 15 лет, Хорошо было бы сделать турниры для любительских женских команд с 18 и старше "/>
    <s v="Да"/>
    <s v="Да"/>
    <n v="1"/>
    <n v="1"/>
    <s v="Нет"/>
    <m/>
    <m/>
    <m/>
    <m/>
    <s v="Да"/>
    <s v="Да"/>
    <s v="Хотелось бы побольше турниров для девушек и женщин которые занимаются футболом в любительском формате. И что бы были не дорогие "/>
  </r>
  <r>
    <d v="2025-11-17T11:24:08"/>
    <s v="ЖФК Феникс"/>
    <x v="5"/>
    <x v="41"/>
    <s v="Санкт-Петербург"/>
    <s v="ул. Ординарная, д.5"/>
    <n v="79500011224"/>
    <s v="Serstar@list.ru"/>
    <s v="ЖФК"/>
    <s v="Нет"/>
    <n v="24"/>
    <x v="59"/>
    <x v="23"/>
    <x v="0"/>
    <x v="0"/>
    <n v="0"/>
    <n v="0"/>
    <n v="0"/>
    <n v="0"/>
    <n v="0"/>
    <n v="0"/>
    <n v="0"/>
    <n v="0"/>
    <n v="0"/>
    <n v="0"/>
    <n v="0"/>
    <n v="0"/>
    <s v="До 19 лет"/>
    <s v="Нет"/>
    <s v="Нет"/>
    <n v="1"/>
    <n v="0"/>
    <s v="Старыгин С.В. (С)"/>
    <n v="1"/>
    <m/>
    <m/>
    <m/>
    <s v="Нет"/>
    <s v="Нет"/>
    <m/>
  </r>
  <r>
    <d v="2025-11-27T16:25:59"/>
    <s v="ГБУ ДО СШ по футболу Пушкинского района Санкт-Петербурга "/>
    <x v="5"/>
    <x v="41"/>
    <s v="Санкт-Петербург "/>
    <s v="г. Павловск, ул. Госпитальная д. 24"/>
    <n v="78126303336"/>
    <s v="pushfootball@yandex.ru"/>
    <s v="СШ"/>
    <s v="РЦ"/>
    <n v="378"/>
    <x v="84"/>
    <x v="1"/>
    <x v="0"/>
    <x v="0"/>
    <n v="0"/>
    <n v="2"/>
    <n v="10"/>
    <n v="9"/>
    <n v="7"/>
    <n v="3"/>
    <n v="8"/>
    <n v="2"/>
    <n v="4"/>
    <n v="0"/>
    <n v="0"/>
    <n v="0"/>
    <s v="До 10 лет, До 12 лет, До 19 лет"/>
    <s v="Нет"/>
    <s v="Нет"/>
    <n v="1"/>
    <n v="1"/>
    <s v="Рыженкова Т.В. С-УЕФА"/>
    <n v="1"/>
    <m/>
    <m/>
    <m/>
    <s v="Да"/>
    <s v="Да"/>
    <m/>
  </r>
  <r>
    <d v="2025-11-29T19:45:19"/>
    <s v="РГПУ им. А.И. Герцена "/>
    <x v="5"/>
    <x v="41"/>
    <s v="Санкт-Петербург "/>
    <s v="Набережная реки Мойки д.48"/>
    <s v="+7 (812) 312-44-92"/>
    <s v="mail@herzen.spb.ru"/>
    <s v="СК"/>
    <s v="Нет"/>
    <n v="60"/>
    <x v="15"/>
    <x v="29"/>
    <x v="0"/>
    <x v="0"/>
    <n v="0"/>
    <n v="0"/>
    <n v="0"/>
    <n v="0"/>
    <n v="0"/>
    <n v="0"/>
    <n v="0"/>
    <n v="0"/>
    <n v="0"/>
    <n v="0"/>
    <n v="0"/>
    <n v="0"/>
    <s v="До 25 лет "/>
    <s v="Нет"/>
    <s v="Нет"/>
    <n v="2"/>
    <n v="0"/>
    <s v="Нет"/>
    <m/>
    <m/>
    <m/>
    <m/>
    <s v="Нет"/>
    <s v="Нет"/>
    <m/>
  </r>
  <r>
    <d v="2025-11-17T18:31:03"/>
    <s v="Любительская команда БУТСА"/>
    <x v="5"/>
    <x v="41"/>
    <s v="Санкт-Петербург "/>
    <s v="Нет"/>
    <s v="Нет"/>
    <s v="Нет"/>
    <s v="ФК"/>
    <s v="Нет"/>
    <n v="20"/>
    <x v="23"/>
    <x v="18"/>
    <x v="0"/>
    <x v="0"/>
    <n v="0"/>
    <n v="0"/>
    <n v="0"/>
    <n v="0"/>
    <n v="0"/>
    <n v="0"/>
    <n v="0"/>
    <n v="0"/>
    <n v="0"/>
    <n v="0"/>
    <n v="0"/>
    <n v="0"/>
    <s v="Соревновательной практики достаточно"/>
    <s v="Нет"/>
    <s v="Нет"/>
    <n v="2"/>
    <n v="1"/>
    <s v="Нет"/>
    <m/>
    <m/>
    <m/>
    <m/>
    <s v="Нет"/>
    <s v="Нет"/>
    <m/>
  </r>
  <r>
    <d v="2025-11-25T08:14:54"/>
    <s v="СПб ГБ ПОУ «Малоохтинский колледж»"/>
    <x v="5"/>
    <x v="41"/>
    <s v="Санкт-Петербург "/>
    <s v="Новочеркасский проспект, д. 12 корп.2"/>
    <s v="(812) 246-91-20"/>
    <s v="mplspb@yandex.ru"/>
    <s v="СК"/>
    <s v="Нет"/>
    <n v="30"/>
    <x v="3"/>
    <x v="1"/>
    <x v="1"/>
    <x v="1"/>
    <n v="6"/>
    <n v="1"/>
    <n v="0"/>
    <n v="0"/>
    <n v="0"/>
    <n v="0"/>
    <n v="0"/>
    <n v="0"/>
    <n v="0"/>
    <n v="0"/>
    <n v="0"/>
    <n v="0"/>
    <s v="Соревновательной практики достаточно"/>
    <s v="Нет"/>
    <s v="Да"/>
    <n v="1"/>
    <n v="1"/>
    <s v="Лобанова Анастасия Сергеевна"/>
    <m/>
    <m/>
    <m/>
    <m/>
    <s v="Да"/>
    <s v="Нет"/>
    <s v="Рассмотрите , пожалуйста, возможность организации и проведения региональных и всероссийских соревнований среди женских команд средних профессиональных учебных заведений. Мы убеждены , что почти в каждом регионе страны есть 2 и более женские футбольные команды в колледжах и техникумах , которым сложно достойно соревноваться с командами Вузов и получать путевки на всероссийские финалы футбольных проектов (Общероссийский дивизион, Футзал в ВУЗы). "/>
  </r>
  <r>
    <d v="2025-11-19T14:31:52"/>
    <s v="Государственное бюджетное учреждение «Санкт-Петербургский центр физической культуры и спорта»"/>
    <x v="5"/>
    <x v="41"/>
    <s v="Санкт-Петербург "/>
    <s v="Санкт-Петербург, Ул. Краснопутиловская, д. 2, лит. А"/>
    <n v="88124098492"/>
    <s v="sekretar@cfkis.spbu.ru"/>
    <s v="ЦФКиС"/>
    <s v="РЦ"/>
    <n v="467"/>
    <x v="103"/>
    <x v="1"/>
    <x v="0"/>
    <x v="0"/>
    <n v="0"/>
    <n v="0"/>
    <n v="0"/>
    <n v="5"/>
    <n v="6"/>
    <n v="14"/>
    <n v="8"/>
    <n v="10"/>
    <n v="7"/>
    <n v="6"/>
    <n v="3"/>
    <n v="0"/>
    <s v="До 10 лет, До 12 лет, До 13 лет, До 15 лет, До 17 лет, До 19 лет"/>
    <s v="Нет"/>
    <s v="Да"/>
    <n v="2"/>
    <n v="0"/>
    <s v="Щечилин Д.А. - С-УЕФА"/>
    <n v="1"/>
    <m/>
    <m/>
    <m/>
    <s v="Да"/>
    <s v="Да"/>
    <m/>
  </r>
  <r>
    <d v="2025-12-02T11:54:27"/>
    <s v="ГБУ ДО СШОР имени Владимира Кореньковп"/>
    <x v="5"/>
    <x v="41"/>
    <s v="Сестрорецк"/>
    <s v="Пр.Красных Командиров 9"/>
    <n v="4373816"/>
    <s v="4373816@mail.ru"/>
    <s v="СШОР"/>
    <s v="Нет"/>
    <n v="260"/>
    <x v="48"/>
    <x v="1"/>
    <x v="0"/>
    <x v="0"/>
    <n v="0"/>
    <n v="0"/>
    <n v="0"/>
    <n v="5"/>
    <n v="10"/>
    <n v="5"/>
    <n v="5"/>
    <n v="5"/>
    <n v="5"/>
    <n v="2"/>
    <n v="3"/>
    <n v="4"/>
    <s v="До 10 лет, До 13 лет, До 15 лет, До 17 лет, До 19 лет"/>
    <s v="Нет"/>
    <s v="Нет"/>
    <n v="1"/>
    <n v="0"/>
    <s v="Парухин Олег Николаевич, В-УЕФА"/>
    <m/>
    <n v="1"/>
    <m/>
    <m/>
    <s v="Да"/>
    <s v="Да"/>
    <s v="Нет"/>
  </r>
  <r>
    <m/>
    <s v="ГБУ ДО СШОР Петродворцового района Санкт-Петербурга"/>
    <x v="5"/>
    <x v="41"/>
    <s v="Санкт-Петербург"/>
    <s v="г. Петергоф, ул. Озерковая., д. 23а"/>
    <n v="88124273496"/>
    <s v="olimpus78@rambler.ru"/>
    <m/>
    <m/>
    <n v="46.800000000000004"/>
    <x v="1"/>
    <x v="1"/>
    <x v="0"/>
    <x v="0"/>
    <n v="0"/>
    <n v="0"/>
    <n v="5"/>
    <n v="6"/>
    <n v="2"/>
    <n v="3"/>
    <n v="2"/>
    <n v="0"/>
    <n v="0"/>
    <n v="0"/>
    <n v="0"/>
    <n v="0"/>
    <m/>
    <m/>
    <m/>
    <m/>
    <m/>
    <m/>
    <m/>
    <m/>
    <m/>
    <m/>
    <m/>
    <m/>
    <m/>
  </r>
  <r>
    <m/>
    <s v="Центр физической культуры, спорта и здоровья Василеостровского района. ФК Нева."/>
    <x v="5"/>
    <x v="41"/>
    <s v="Санкт-Петербург"/>
    <s v="Малый проспект Васильевского острова, 66"/>
    <s v="8 (812) 322-68-15"/>
    <s v="cfkszvo@mail.ru"/>
    <m/>
    <m/>
    <n v="104"/>
    <x v="29"/>
    <x v="1"/>
    <x v="0"/>
    <x v="0"/>
    <n v="0"/>
    <n v="4"/>
    <n v="6"/>
    <n v="5"/>
    <n v="15"/>
    <n v="0"/>
    <n v="4"/>
    <n v="0"/>
    <n v="6"/>
    <n v="0"/>
    <n v="0"/>
    <n v="0"/>
    <m/>
    <m/>
    <m/>
    <m/>
    <m/>
    <m/>
    <m/>
    <m/>
    <m/>
    <m/>
    <m/>
    <m/>
    <m/>
  </r>
  <r>
    <m/>
    <s v="СПб РМОО &quot;Спортивный клуб СПбГУ &quot;Балтийские орланы&quot;"/>
    <x v="5"/>
    <x v="41"/>
    <s v="Санкт-Петербург"/>
    <s v="Университетская наб., 7-9"/>
    <n v="-1362"/>
    <s v="sport.spbu@gmail.com"/>
    <m/>
    <m/>
    <n v="49.4"/>
    <x v="78"/>
    <x v="20"/>
    <x v="2"/>
    <x v="3"/>
    <n v="6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</r>
  <r>
    <m/>
    <s v="МФК Форсаж"/>
    <x v="5"/>
    <x v="41"/>
    <s v="Санкт-Петербург "/>
    <s v="Санкт-Петербург "/>
    <n v="89052228602"/>
    <s v="komnicole@gmail.com"/>
    <m/>
    <m/>
    <n v="78"/>
    <x v="30"/>
    <x v="26"/>
    <x v="0"/>
    <x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</r>
  <r>
    <d v="2025-11-25T11:00:02"/>
    <s v="Муниципальное автономное учреждение дополнительного образования &quot;Спортивная школа &quot;Полиммер&quot;"/>
    <x v="8"/>
    <x v="42"/>
    <s v="Барнаул"/>
    <s v="Барнаул, улица Малахова 177 Б"/>
    <n v="83852538493"/>
    <s v="fc.polimer@mail.ru"/>
    <s v="СШ"/>
    <s v="ДФЦ"/>
    <n v="835"/>
    <x v="4"/>
    <x v="1"/>
    <x v="0"/>
    <x v="0"/>
    <n v="0"/>
    <n v="0"/>
    <n v="0"/>
    <n v="0"/>
    <n v="0"/>
    <n v="0"/>
    <n v="1"/>
    <n v="1"/>
    <n v="3"/>
    <n v="4"/>
    <n v="1"/>
    <n v="13"/>
    <s v="До 10 лет"/>
    <s v="Да"/>
    <s v="Да"/>
    <n v="2"/>
    <n v="0"/>
    <n v="1"/>
    <m/>
    <m/>
    <m/>
    <m/>
    <s v="Да"/>
    <s v="Нет"/>
    <m/>
  </r>
  <r>
    <d v="2025-12-02T10:48:00"/>
    <s v="МАУ ДО &quot;Спортивная школа № 7&quot;"/>
    <x v="8"/>
    <x v="42"/>
    <s v="Барнаул"/>
    <s v="ул. Юрина, 197"/>
    <s v="8-385-255-31-96"/>
    <s v="sshkola7@yandex.ru"/>
    <s v="СШ"/>
    <s v="Нет"/>
    <n v="385"/>
    <x v="78"/>
    <x v="3"/>
    <x v="5"/>
    <x v="0"/>
    <n v="2"/>
    <n v="0"/>
    <n v="0"/>
    <n v="1"/>
    <n v="0"/>
    <n v="0"/>
    <n v="1"/>
    <n v="1"/>
    <n v="3"/>
    <n v="2"/>
    <n v="0"/>
    <n v="0"/>
    <s v="Соревновательной практики достаточно"/>
    <s v="Да"/>
    <s v="Да"/>
    <n v="4"/>
    <n v="0"/>
    <s v="В соответствии с 152-ФЗ &quot;О персональных данных&quot; сведения предоставить невозможно."/>
    <m/>
    <m/>
    <m/>
    <m/>
    <s v="Да"/>
    <s v="Да"/>
    <m/>
  </r>
  <r>
    <d v="2025-12-04T07:30:10"/>
    <s v="КГБУ ДО &quot;СШОР по футболу А.Смертина&quot;"/>
    <x v="8"/>
    <x v="42"/>
    <s v="Барнаул"/>
    <s v="ул.Энтузиастов 12 в"/>
    <s v="8 (3852) 47-43-42"/>
    <s v="shkola_smert@mail.ru"/>
    <s v="СШОР"/>
    <s v="РЦ"/>
    <n v="655"/>
    <x v="110"/>
    <x v="1"/>
    <x v="0"/>
    <x v="0"/>
    <n v="0"/>
    <n v="3"/>
    <n v="11"/>
    <n v="13"/>
    <n v="22"/>
    <n v="17"/>
    <n v="17"/>
    <n v="24"/>
    <n v="8"/>
    <n v="8"/>
    <n v="2"/>
    <n v="2"/>
    <s v="Соревновательной практики достаточно"/>
    <s v="Да"/>
    <s v="Да"/>
    <n v="3"/>
    <n v="1"/>
    <s v="Жбанникова Оксана Николаевна В-УЕФА, Булавин Евгений Викторович С-УЕФА, Кукавицин Константин Вадимович С-УЕФА"/>
    <n v="2"/>
    <n v="1"/>
    <m/>
    <m/>
    <s v="Да"/>
    <s v="Нет"/>
    <s v="Необходимы семинары и конференции по женскому футболу от Академии РФС. Необходима дополнительная поддержка от РФС в виде инвентаря и экипировки для команд девочек."/>
  </r>
  <r>
    <d v="2025-11-24T07:48:55"/>
    <s v="МБУ ДО &quot;Спортивная школа №2&quot;"/>
    <x v="8"/>
    <x v="42"/>
    <s v="Бийск"/>
    <s v="Алтайский край, г. Бийск, ул. Ленина 149/1"/>
    <s v="8 (3854)329422"/>
    <s v="ssport2@mail.ru"/>
    <s v="СШ"/>
    <s v="ДФЦ"/>
    <n v="200"/>
    <x v="30"/>
    <x v="1"/>
    <x v="0"/>
    <x v="4"/>
    <n v="1"/>
    <n v="1"/>
    <n v="1"/>
    <n v="10"/>
    <n v="7"/>
    <n v="7"/>
    <n v="1"/>
    <n v="0"/>
    <n v="0"/>
    <n v="0"/>
    <n v="0"/>
    <n v="0"/>
    <s v="До 17 лет"/>
    <s v="Да"/>
    <s v="Нет"/>
    <n v="1"/>
    <n v="0"/>
    <s v="Дремов Д.Е., лицензии УЕФА нет"/>
    <m/>
    <m/>
    <m/>
    <m/>
    <s v="Да"/>
    <s v="Нет"/>
    <m/>
  </r>
  <r>
    <d v="2025-12-08T14:24:51"/>
    <s v="Сш Ннр"/>
    <x v="8"/>
    <x v="42"/>
    <s v="Николаевка"/>
    <s v="С.  Гальбштадте"/>
    <n v="83853922111"/>
    <s v="malek1812@mail.ru"/>
    <s v="СШ"/>
    <s v="Нет"/>
    <n v="45"/>
    <x v="3"/>
    <x v="1"/>
    <x v="0"/>
    <x v="0"/>
    <n v="0"/>
    <n v="0"/>
    <n v="2"/>
    <n v="6"/>
    <n v="2"/>
    <n v="5"/>
    <n v="0"/>
    <n v="0"/>
    <n v="0"/>
    <n v="0"/>
    <n v="0"/>
    <n v="0"/>
    <s v="Соревновательной практики достаточно"/>
    <s v="Да"/>
    <s v="Да"/>
    <n v="1"/>
    <n v="0"/>
    <s v="Нет"/>
    <m/>
    <m/>
    <m/>
    <m/>
    <s v="Нет"/>
    <s v="Нет"/>
    <m/>
  </r>
  <r>
    <d v="2025-12-04T05:17:26"/>
    <s v="МБУ ДО &quot;СШ &quot;Рубцовск&quot;"/>
    <x v="8"/>
    <x v="42"/>
    <s v="Рубцовск"/>
    <s v="ул.Калинина,21"/>
    <s v="8 (38557)77334"/>
    <s v="dush_rubtsovsk@mail.ru"/>
    <s v="СШ"/>
    <s v="ДФЦ"/>
    <n v="580"/>
    <x v="32"/>
    <x v="1"/>
    <x v="0"/>
    <x v="2"/>
    <n v="4"/>
    <n v="5"/>
    <n v="9"/>
    <n v="4"/>
    <n v="6"/>
    <n v="4"/>
    <n v="5"/>
    <n v="0"/>
    <n v="1"/>
    <n v="0"/>
    <n v="0"/>
    <n v="0"/>
    <s v="До 10 лет, До 12 лет, До 13 лет, До 15 лет, До 17 лет, До 19 лет"/>
    <s v="Да"/>
    <s v="Да"/>
    <n v="1"/>
    <n v="0"/>
    <n v="0"/>
    <m/>
    <m/>
    <m/>
    <m/>
    <s v="Да"/>
    <s v="Да"/>
    <m/>
  </r>
  <r>
    <m/>
    <s v="СШ#7"/>
    <x v="8"/>
    <x v="42"/>
    <s v="Барнаул"/>
    <s v="40лет Октября2 -136"/>
    <n v="89166593934"/>
    <s v="club217168695@yandex.ru"/>
    <m/>
    <m/>
    <n v="127.4"/>
    <x v="40"/>
    <x v="1"/>
    <x v="0"/>
    <x v="0"/>
    <n v="6"/>
    <n v="7"/>
    <n v="11"/>
    <n v="12"/>
    <n v="7"/>
    <n v="2"/>
    <n v="3"/>
    <n v="1"/>
    <n v="0"/>
    <n v="0"/>
    <n v="0"/>
    <n v="0"/>
    <m/>
    <m/>
    <m/>
    <m/>
    <m/>
    <m/>
    <m/>
    <m/>
    <m/>
    <m/>
    <m/>
    <m/>
    <m/>
  </r>
  <r>
    <m/>
    <s v="МБУ ДО &quot;Ребрихинская СШ&quot; "/>
    <x v="8"/>
    <x v="42"/>
    <s v="Ребриха"/>
    <s v="с. Ребриха, ул. Партизанская 68"/>
    <n v="83858221488"/>
    <s v="rebriha.dyssh@mail.ru"/>
    <m/>
    <m/>
    <n v="62.400000000000006"/>
    <x v="59"/>
    <x v="1"/>
    <x v="0"/>
    <x v="0"/>
    <n v="0"/>
    <n v="0"/>
    <n v="3"/>
    <n v="2"/>
    <n v="1"/>
    <n v="4"/>
    <n v="6"/>
    <n v="5"/>
    <n v="2"/>
    <n v="1"/>
    <n v="0"/>
    <n v="0"/>
    <m/>
    <m/>
    <m/>
    <m/>
    <m/>
    <m/>
    <m/>
    <m/>
    <m/>
    <m/>
    <m/>
    <m/>
    <m/>
  </r>
  <r>
    <m/>
    <s v="Шелаболихинская спортивная школа"/>
    <x v="8"/>
    <x v="42"/>
    <s v="Шелаболиза"/>
    <s v="659059 Алтайский край Шелаболихинский район Шелаболиха ул. Солнечная, 17"/>
    <s v="8(385)58000000"/>
    <s v="   shelsport@mail.ru"/>
    <m/>
    <m/>
    <n v="111.8"/>
    <x v="111"/>
    <x v="1"/>
    <x v="0"/>
    <x v="0"/>
    <n v="0"/>
    <n v="0"/>
    <n v="1"/>
    <n v="7"/>
    <n v="11"/>
    <n v="6"/>
    <n v="5"/>
    <n v="5"/>
    <n v="5"/>
    <n v="3"/>
    <n v="0"/>
    <n v="0"/>
    <m/>
    <m/>
    <m/>
    <m/>
    <m/>
    <m/>
    <m/>
    <m/>
    <m/>
    <m/>
    <m/>
    <m/>
    <m/>
  </r>
  <r>
    <d v="2025-12-09T06:52:00"/>
    <s v="Муниципальное бюджетное учреждение дополнительного образования &quot;Спортивная школа №7&quot; городского округа &quot;Город Чита&quot;"/>
    <x v="8"/>
    <x v="43"/>
    <s v="Чита"/>
    <s v="5 мкр, д.4"/>
    <n v="89144721265"/>
    <s v="sport7.chita@mail.ru"/>
    <s v="СШ"/>
    <s v="Нет"/>
    <n v="588"/>
    <x v="52"/>
    <x v="1"/>
    <x v="0"/>
    <x v="0"/>
    <n v="0"/>
    <n v="2"/>
    <n v="2"/>
    <n v="0"/>
    <n v="11"/>
    <n v="17"/>
    <n v="15"/>
    <n v="10"/>
    <n v="2"/>
    <n v="1"/>
    <n v="3"/>
    <n v="0"/>
    <m/>
    <s v="Да"/>
    <s v="Нет"/>
    <n v="4"/>
    <n v="1"/>
    <s v="нет"/>
    <m/>
    <m/>
    <m/>
    <m/>
    <s v="Да"/>
    <s v="Нет"/>
    <m/>
  </r>
  <r>
    <d v="2025-12-09T04:54:13"/>
    <s v="Государственное автономное учреждение дополнительного образования «Спортивная школа по футболу» Забайкальского края"/>
    <x v="8"/>
    <x v="43"/>
    <s v="Чита"/>
    <s v="г. Чита, ул. Генерала Белика, д. 33"/>
    <n v="89144715005"/>
    <s v="chita.2006@mail.ru"/>
    <s v="СШ"/>
    <s v="ДФЦ"/>
    <n v="298"/>
    <x v="18"/>
    <x v="1"/>
    <x v="0"/>
    <x v="0"/>
    <n v="0"/>
    <n v="0"/>
    <n v="6"/>
    <n v="8"/>
    <n v="9"/>
    <n v="5"/>
    <n v="2"/>
    <n v="10"/>
    <n v="10"/>
    <n v="0"/>
    <n v="0"/>
    <n v="0"/>
    <s v="До 10 лет, До 12 лет, До 13 лет, До 15 лет, До 17 лет"/>
    <s v="Да"/>
    <s v="Да"/>
    <n v="2"/>
    <n v="2"/>
    <s v="Доценко Татьяна Владимировна"/>
    <m/>
    <m/>
    <m/>
    <m/>
    <s v="Да"/>
    <s v="Нет"/>
    <m/>
  </r>
  <r>
    <d v="2025-12-10T05:31:10"/>
    <s v="ГУ ДО ЗКСШ «Олимпиец»"/>
    <x v="8"/>
    <x v="43"/>
    <s v="Чита"/>
    <s v="Чита, Ул Ленинградская д 106"/>
    <s v="(8-3022)32-01-27"/>
    <s v="Olimp-chita@yandex.ru"/>
    <s v="СШ"/>
    <s v="Нет"/>
    <n v="91"/>
    <x v="24"/>
    <x v="1"/>
    <x v="0"/>
    <x v="0"/>
    <n v="0"/>
    <n v="1"/>
    <n v="1"/>
    <n v="2"/>
    <n v="0"/>
    <n v="0"/>
    <n v="12"/>
    <n v="11"/>
    <n v="0"/>
    <n v="0"/>
    <n v="0"/>
    <n v="9"/>
    <s v="До 10 лет, До 12 лет"/>
    <s v="Да"/>
    <s v="Да"/>
    <n v="2"/>
    <n v="2"/>
    <s v="Нет "/>
    <m/>
    <m/>
    <m/>
    <m/>
    <s v="Да"/>
    <s v="Нет"/>
    <m/>
  </r>
  <r>
    <d v="2025-12-09T03:13:33"/>
    <s v="Муниципальное бюджетное учреждение дополнительного образования Спортивная школа 5  городского округа Город Чита "/>
    <x v="8"/>
    <x v="43"/>
    <s v="Чита "/>
    <s v="672027 Забайкальский край , город Чита улица Токмакова 1, пом. пом 2"/>
    <s v="8(3022) 31-09-64"/>
    <s v="dyussh.5chita@yanbex.ru"/>
    <s v="СШ"/>
    <s v="Нет"/>
    <n v="250"/>
    <x v="112"/>
    <x v="1"/>
    <x v="0"/>
    <x v="2"/>
    <n v="2"/>
    <n v="5"/>
    <n v="3"/>
    <n v="17"/>
    <n v="25"/>
    <n v="25"/>
    <n v="25"/>
    <n v="25"/>
    <n v="11"/>
    <n v="11"/>
    <n v="0"/>
    <n v="0"/>
    <s v="До 12 лет, До 13 лет, До 15 лет"/>
    <s v="Да"/>
    <s v="Да"/>
    <n v="5"/>
    <n v="3"/>
    <s v="Козелкова ЕН С-УЕФА_x000a_Казанов КВ - С- УЕФА_x000a_Борисов ЛЕ - С- УЕФА _x000a_Векварт ВФ - на обучении "/>
    <n v="4"/>
    <m/>
    <m/>
    <m/>
    <s v="Да"/>
    <s v="Нет"/>
    <s v="Ждём поддержки для участия в новом сезоне команды девочек от нашего региона Забайкальский край на ЮФЛ девочки ( до 14 лет ) "/>
  </r>
  <r>
    <d v="2025-12-09T05:20:00"/>
    <s v="МБУ ДО &quot;ЯУСЦ&quot;"/>
    <x v="8"/>
    <x v="43"/>
    <s v="Ясногорск"/>
    <s v="Забайкальский край Оловяннинский муниципальный округ п. Ясногорск ул Строителей 12"/>
    <n v="79144745254"/>
    <s v="as_logvinenko@mail.ru"/>
    <s v="Дополнительное образование"/>
    <s v="ДФЦ"/>
    <n v="41"/>
    <x v="34"/>
    <x v="1"/>
    <x v="5"/>
    <x v="5"/>
    <n v="1"/>
    <n v="0"/>
    <n v="0"/>
    <n v="2"/>
    <n v="1"/>
    <n v="2"/>
    <n v="5"/>
    <n v="3"/>
    <n v="1"/>
    <n v="0"/>
    <n v="0"/>
    <n v="0"/>
    <s v="Соревновательной практики достаточно"/>
    <s v="Да"/>
    <s v="Да"/>
    <n v="1"/>
    <n v="0"/>
    <s v="Логвиненко А. С."/>
    <m/>
    <m/>
    <m/>
    <m/>
    <s v="Нет"/>
    <s v="Нет"/>
    <m/>
  </r>
  <r>
    <m/>
    <s v="МУ ДО &quot;ДЮСШ Красночикойского района&quot; "/>
    <x v="8"/>
    <x v="43"/>
    <s v="Красный Чикой"/>
    <s v="Красночикойский район с. Красный Чикой, ул. Советская, 69б"/>
    <n v="89141253456"/>
    <s v="DUSH.CHIKOY@yandex.ru"/>
    <m/>
    <m/>
    <n v="124.80000000000001"/>
    <x v="70"/>
    <x v="1"/>
    <x v="0"/>
    <x v="7"/>
    <n v="7"/>
    <n v="4"/>
    <n v="8"/>
    <n v="11"/>
    <n v="7"/>
    <n v="5"/>
    <n v="0"/>
    <n v="0"/>
    <n v="0"/>
    <n v="0"/>
    <n v="0"/>
    <n v="0"/>
    <m/>
    <m/>
    <m/>
    <m/>
    <m/>
    <m/>
    <m/>
    <m/>
    <m/>
    <m/>
    <m/>
    <m/>
    <m/>
  </r>
  <r>
    <m/>
    <s v="МУДО ,,Сретенская ДЮСШ&quot;"/>
    <x v="8"/>
    <x v="43"/>
    <s v="Сретенск"/>
    <s v="Забайкальский край,г.Сретенск ул. Балябина 14"/>
    <n v="89144417900"/>
    <s v="sretdush@mail.ru"/>
    <m/>
    <m/>
    <n v="101.4"/>
    <x v="32"/>
    <x v="1"/>
    <x v="0"/>
    <x v="0"/>
    <n v="0"/>
    <n v="0"/>
    <n v="0"/>
    <n v="0"/>
    <n v="0"/>
    <n v="0"/>
    <n v="0"/>
    <n v="11"/>
    <n v="12"/>
    <n v="16"/>
    <n v="0"/>
    <n v="0"/>
    <m/>
    <m/>
    <m/>
    <m/>
    <m/>
    <m/>
    <m/>
    <m/>
    <m/>
    <m/>
    <m/>
    <m/>
    <m/>
  </r>
  <r>
    <m/>
    <s v="Мбудо &quot;Спортивная школа&quot; г. о. Стрежквой"/>
    <x v="8"/>
    <x v="43"/>
    <s v="Стрежевой"/>
    <s v="209а"/>
    <s v="8(38259)53046"/>
    <s v="dussh-str@yandex.ru"/>
    <m/>
    <m/>
    <n v="26"/>
    <x v="0"/>
    <x v="1"/>
    <x v="0"/>
    <x v="0"/>
    <n v="0"/>
    <n v="0"/>
    <n v="0"/>
    <n v="0"/>
    <n v="0"/>
    <n v="0"/>
    <n v="4"/>
    <n v="2"/>
    <n v="2"/>
    <n v="2"/>
    <n v="0"/>
    <n v="0"/>
    <m/>
    <m/>
    <m/>
    <m/>
    <m/>
    <m/>
    <m/>
    <m/>
    <m/>
    <m/>
    <m/>
    <m/>
    <m/>
  </r>
  <r>
    <d v="2025-11-24T05:12:52"/>
    <s v="МБУ ДО &quot;ДЮСШ&quot; "/>
    <x v="8"/>
    <x v="43"/>
    <s v="Балей"/>
    <s v="673450, Забайкальский край, г. Балей, ул. Ведерникова, 8"/>
    <n v="83023251265"/>
    <s v="sportdush77@mail.ru"/>
    <s v="ДЮСШ"/>
    <s v="Нет"/>
    <n v="49"/>
    <x v="5"/>
    <x v="1"/>
    <x v="0"/>
    <x v="0"/>
    <n v="0"/>
    <n v="0"/>
    <n v="0"/>
    <n v="0"/>
    <n v="0"/>
    <n v="1"/>
    <n v="4"/>
    <n v="0"/>
    <n v="2"/>
    <n v="1"/>
    <n v="0"/>
    <n v="0"/>
    <s v="До 13 лет"/>
    <s v="Да"/>
    <s v="Нет"/>
    <n v="1"/>
    <n v="0"/>
    <s v="Тихоньких Геннадий Леонидович"/>
    <m/>
    <m/>
    <m/>
    <m/>
    <s v="Да"/>
    <s v="Нет"/>
    <m/>
  </r>
  <r>
    <d v="2025-11-21T13:56:50"/>
    <s v="Спортивная школа города Зимы"/>
    <x v="8"/>
    <x v="44"/>
    <s v="Зима"/>
    <s v="Садовая 1"/>
    <s v="8(3952)43-55-73"/>
    <s v="sport.zima@mail.ru"/>
    <s v="СШ"/>
    <s v="Нет"/>
    <n v="65"/>
    <x v="79"/>
    <x v="1"/>
    <x v="0"/>
    <x v="0"/>
    <n v="0"/>
    <n v="0"/>
    <n v="0"/>
    <n v="2"/>
    <n v="8"/>
    <n v="14"/>
    <n v="13"/>
    <n v="8"/>
    <n v="7"/>
    <n v="10"/>
    <n v="3"/>
    <n v="0"/>
    <s v="До 10 лет, До 12 лет, До 13 лет, Очень мало серевнований"/>
    <s v="Нет"/>
    <s v="Да"/>
    <n v="2"/>
    <n v="0"/>
    <s v="Нет"/>
    <m/>
    <m/>
    <m/>
    <m/>
    <s v="Да"/>
    <s v="Нет"/>
    <s v="Очень мало соревнований в нашем регионе среди девочек, просьба содействию!!!"/>
  </r>
  <r>
    <d v="2025-11-25T06:15:50"/>
    <s v="ОГКУ ДО СШ по футболу &quot;Байкал&quot;"/>
    <x v="8"/>
    <x v="44"/>
    <s v="Иркутск"/>
    <s v="г. Иркутск, ул. Боткина,1"/>
    <s v="+7(3952) 604785"/>
    <s v="fsio.irk@yandex.ru"/>
    <s v="СШ"/>
    <s v="ДФЦ"/>
    <n v="952"/>
    <x v="73"/>
    <x v="12"/>
    <x v="3"/>
    <x v="3"/>
    <n v="4"/>
    <n v="12"/>
    <n v="8"/>
    <n v="14"/>
    <n v="13"/>
    <n v="18"/>
    <n v="12"/>
    <n v="4"/>
    <n v="6"/>
    <n v="5"/>
    <n v="2"/>
    <n v="0"/>
    <s v="Соревновательной практики достаточно"/>
    <s v="Нет"/>
    <s v="Да"/>
    <n v="4"/>
    <n v="2"/>
    <s v="Надежкина С.Н. С-УЕФА, Фатин И.В. С-УЕФА, Хликова Е.Д. С-УЕФА, Суров В.В."/>
    <n v="3"/>
    <m/>
    <m/>
    <m/>
    <s v="Да"/>
    <s v="Да"/>
    <m/>
  </r>
  <r>
    <m/>
    <s v="Муниципальное бюджетное учреждение дополнительного образования Куйтунская районная детская юношеская спортивная школа"/>
    <x v="8"/>
    <x v="44"/>
    <s v="Куйтун"/>
    <s v="665302, Иркутская область, Куйтунский район, р.п. Куйтун, ул. Карла Маркса, 36А"/>
    <n v="89025425095"/>
    <s v="sportkn@mail.ru"/>
    <m/>
    <m/>
    <n v="96.2"/>
    <x v="31"/>
    <x v="1"/>
    <x v="0"/>
    <x v="0"/>
    <n v="1"/>
    <n v="1"/>
    <n v="3"/>
    <n v="5"/>
    <n v="8"/>
    <n v="10"/>
    <n v="3"/>
    <n v="1"/>
    <n v="4"/>
    <n v="1"/>
    <n v="0"/>
    <n v="0"/>
    <m/>
    <m/>
    <m/>
    <m/>
    <m/>
    <m/>
    <m/>
    <m/>
    <m/>
    <m/>
    <m/>
    <m/>
    <m/>
  </r>
  <r>
    <d v="2025-11-24T06:56:10"/>
    <s v="муниципальное бюджетное учреждение дополнительного образования &quot;Спортивная школа&quot;"/>
    <x v="8"/>
    <x v="45"/>
    <s v="Киселевский городской округ"/>
    <s v="г.Киселевск, ул.Советская, 1"/>
    <n v="83846420656"/>
    <s v="dushkisl@bk.ru"/>
    <s v="СШ"/>
    <s v="Нет"/>
    <n v="200"/>
    <x v="0"/>
    <x v="1"/>
    <x v="0"/>
    <x v="0"/>
    <n v="0"/>
    <n v="0"/>
    <n v="0"/>
    <n v="0"/>
    <n v="2"/>
    <n v="4"/>
    <n v="1"/>
    <n v="1"/>
    <n v="2"/>
    <n v="0"/>
    <n v="0"/>
    <n v="0"/>
    <s v="До 13 лет"/>
    <s v="Да"/>
    <s v="Нет"/>
    <n v="1"/>
    <n v="0"/>
    <s v="Белов Михаил Юрьевич"/>
    <m/>
    <m/>
    <m/>
    <m/>
    <s v="Да"/>
    <s v="Нет"/>
    <m/>
  </r>
  <r>
    <d v="2025-11-24T07:29:55"/>
    <s v="МБУДО СШ"/>
    <x v="8"/>
    <x v="45"/>
    <s v="Ленинск-Кузнецкий"/>
    <s v="пл.Мазикина 6"/>
    <n v="83845628073"/>
    <s v="sh1-lk@yandex.ru"/>
    <s v="СШ"/>
    <s v="Нет"/>
    <n v="331"/>
    <x v="13"/>
    <x v="1"/>
    <x v="0"/>
    <x v="0"/>
    <n v="1"/>
    <n v="1"/>
    <n v="3"/>
    <n v="4"/>
    <n v="6"/>
    <n v="6"/>
    <n v="6"/>
    <n v="2"/>
    <n v="2"/>
    <n v="1"/>
    <n v="0"/>
    <n v="0"/>
    <s v="До 15 лет"/>
    <s v="Нет"/>
    <s v="Нет"/>
    <n v="1"/>
    <n v="0"/>
    <s v="нет"/>
    <m/>
    <m/>
    <m/>
    <m/>
    <s v="Да"/>
    <s v="Нет"/>
    <s v="Побольше массового футбола среди команд девочек в регионе"/>
  </r>
  <r>
    <d v="2025-11-24T07:40:44"/>
    <s v="МБУ ДО СШ &quot;Сибиряк&quot;"/>
    <x v="8"/>
    <x v="45"/>
    <s v="Анжеро-Судженск"/>
    <s v="Анжеро-Судженск"/>
    <n v="83845367055"/>
    <s v="dyusshsibiryak@yandex.ru"/>
    <s v="СШ"/>
    <s v="Нет"/>
    <n v="151"/>
    <x v="93"/>
    <x v="1"/>
    <x v="0"/>
    <x v="0"/>
    <n v="0"/>
    <n v="0"/>
    <n v="0"/>
    <n v="0"/>
    <n v="0"/>
    <n v="1"/>
    <n v="0"/>
    <n v="1"/>
    <n v="0"/>
    <n v="0"/>
    <n v="1"/>
    <n v="0"/>
    <m/>
    <s v="Да"/>
    <s v="Да"/>
    <n v="2"/>
    <n v="0"/>
    <n v="0"/>
    <m/>
    <m/>
    <m/>
    <m/>
    <s v="Да"/>
    <s v="Нет"/>
    <m/>
  </r>
  <r>
    <d v="2025-12-10T08:26:31"/>
    <s v="АНО Футбольный Клуб &quot;Импульс Кузбасс&quot;"/>
    <x v="8"/>
    <x v="45"/>
    <s v="Весь Кузбасс "/>
    <s v="Г. Кемерово, б-р Кедровый, 4-40"/>
    <n v="89236086754"/>
    <s v="Impuls-kuzbass@yandex.ru"/>
    <s v="АНО"/>
    <s v="Нет"/>
    <n v="1500"/>
    <x v="113"/>
    <x v="1"/>
    <x v="0"/>
    <x v="0"/>
    <n v="0"/>
    <n v="3"/>
    <n v="3"/>
    <n v="4"/>
    <n v="5"/>
    <n v="5"/>
    <n v="10"/>
    <n v="10"/>
    <n v="20"/>
    <n v="20"/>
    <n v="30"/>
    <n v="90"/>
    <s v="До 10 лет, До 12 лет, До 13 лет"/>
    <s v="Да"/>
    <s v="Да"/>
    <n v="7"/>
    <n v="0"/>
    <s v="Бахтина К.А B-УЕФА, Пеняжин В.И.С-УЕФА, Миронов Д.И. - С-УЕФА, Мамедов Т.Д. С-УЕФА, Пименов С.А. В-УЕФА, Новицкий А.А. С-УЕФА, Чекменев Р.С. - С-УЕФА "/>
    <n v="5"/>
    <n v="2"/>
    <m/>
    <m/>
    <s v="Нет"/>
    <s v="Нет"/>
    <s v="Выделить финансирование за каждую занимающуюся девочку в размере 2000 рублей. "/>
  </r>
  <r>
    <d v="2025-11-24T11:02:17"/>
    <s v="МАУДО &quot;СШОР по футболу&quot;"/>
    <x v="8"/>
    <x v="45"/>
    <s v="Кемерово"/>
    <s v="пр.Кузнецкий, 2"/>
    <n v="89234886519"/>
    <s v="futball@bk.ru"/>
    <s v="СШОР"/>
    <s v="ДФЦ"/>
    <n v="515"/>
    <x v="102"/>
    <x v="15"/>
    <x v="3"/>
    <x v="16"/>
    <n v="0"/>
    <n v="0"/>
    <n v="0"/>
    <n v="6"/>
    <n v="9"/>
    <n v="14"/>
    <n v="24"/>
    <n v="10"/>
    <n v="5"/>
    <n v="0"/>
    <n v="6"/>
    <n v="1"/>
    <s v="Соревновательной практики достаточно"/>
    <s v="Да"/>
    <s v="Да"/>
    <n v="2"/>
    <n v="2"/>
    <s v="Кузнецова И.М. С-УЕФА"/>
    <n v="1"/>
    <m/>
    <m/>
    <m/>
    <s v="Да"/>
    <s v="Нет"/>
    <s v="Для сохранения старшей женской команды необходима финансовая помощь РФС в плане софинансирования при проведении официальных турниров (первая Лига, вторая Лига)"/>
  </r>
  <r>
    <d v="2025-11-25T12:30:44"/>
    <s v="Муниципальное бюджетное учреждение дополнительного образования &quot;Центр физического воспитания&quot;"/>
    <x v="8"/>
    <x v="45"/>
    <s v="Ленинск-Кузнецкий муниципальный округ"/>
    <s v="652590 Кемеровская область-Кузбасс, Ленинск-Кузнецкий муниципальный округ, п. Демьяновка, ул. Чкаова, домовладение 7, помещение 14"/>
    <s v="8 (384 56) 6-83-38"/>
    <s v="demsport2000@mail.ru"/>
    <s v="Центр физического воспитания&quot;"/>
    <s v="Нет"/>
    <n v="389"/>
    <x v="104"/>
    <x v="1"/>
    <x v="0"/>
    <x v="0"/>
    <n v="0"/>
    <n v="0"/>
    <n v="10"/>
    <n v="12"/>
    <n v="12"/>
    <n v="13"/>
    <n v="15"/>
    <n v="15"/>
    <n v="14"/>
    <n v="9"/>
    <n v="8"/>
    <n v="4"/>
    <s v="До 10 лет, До 12 лет, До 13 лет, До 15 лет"/>
    <s v="Да"/>
    <s v="Да"/>
    <n v="4"/>
    <n v="0"/>
    <s v="Заглядин Д.П.,Терещенко А.И., Верчук А.Д."/>
    <m/>
    <m/>
    <m/>
    <m/>
    <s v="Нет"/>
    <s v="Нет"/>
    <s v="Нашей организации необходимо укрепление материально-технической базы, увеличение количества ставок тренеров-преподавателей и повышение их квалификации"/>
  </r>
  <r>
    <d v="2025-11-24T06:27:22"/>
    <s v="МБУ ДО &quot;Спортивная школа № 1&quot;"/>
    <x v="8"/>
    <x v="45"/>
    <s v="Лесосибирск"/>
    <s v="г. Лесосибирск, ул. Победы, 31"/>
    <s v="8-39145-6-24-96"/>
    <s v="dyss1@mail.ru"/>
    <s v="СШ"/>
    <s v="Нет"/>
    <n v="203"/>
    <x v="13"/>
    <x v="1"/>
    <x v="0"/>
    <x v="0"/>
    <n v="0"/>
    <n v="7"/>
    <n v="4"/>
    <n v="2"/>
    <n v="7"/>
    <n v="8"/>
    <n v="2"/>
    <n v="2"/>
    <n v="0"/>
    <n v="0"/>
    <n v="0"/>
    <n v="0"/>
    <s v="Соревновательной практики достаточно"/>
    <s v="Нет"/>
    <s v="Нет"/>
    <n v="1"/>
    <n v="0"/>
    <s v="-"/>
    <m/>
    <m/>
    <m/>
    <m/>
    <s v="Да"/>
    <s v="Да"/>
    <m/>
  </r>
  <r>
    <d v="2025-12-03T11:46:15"/>
    <s v="МБУДО &quot;СШ по футболу&quot;"/>
    <x v="8"/>
    <x v="45"/>
    <s v="Междуреченск"/>
    <s v="50 лет Комсомола 23-46"/>
    <s v="8 38475 4-21-36 "/>
    <s v="futbool-94@mail.ru"/>
    <s v="СШ"/>
    <s v="ДФЦ"/>
    <n v="524"/>
    <x v="54"/>
    <x v="1"/>
    <x v="0"/>
    <x v="0"/>
    <n v="0"/>
    <n v="0"/>
    <n v="0"/>
    <n v="1"/>
    <n v="7"/>
    <n v="7"/>
    <n v="5"/>
    <n v="1"/>
    <n v="1"/>
    <n v="0"/>
    <n v="0"/>
    <n v="0"/>
    <s v="Соревновательной практики достаточно"/>
    <s v="Нет"/>
    <s v="Да"/>
    <n v="1"/>
    <n v="0"/>
    <s v="Бутковский Р.В. С-УЕФА"/>
    <n v="1"/>
    <m/>
    <m/>
    <m/>
    <s v="Да"/>
    <s v="Да"/>
    <m/>
  </r>
  <r>
    <d v="2025-11-24T04:46:25"/>
    <s v="МАУ ДО &quot;СШ по футболу &quot;Металлург&quot;"/>
    <x v="8"/>
    <x v="45"/>
    <s v="Новокузнецк"/>
    <s v="г.Новокузнецк, пр. Советской Армии, 48А"/>
    <n v="73843324088"/>
    <s v="metallurg-zapsib@mail.ru"/>
    <s v="СШ"/>
    <s v="ДФЦ"/>
    <n v="743"/>
    <x v="85"/>
    <x v="1"/>
    <x v="0"/>
    <x v="0"/>
    <n v="3"/>
    <n v="0"/>
    <n v="5"/>
    <n v="10"/>
    <n v="14"/>
    <n v="13"/>
    <n v="7"/>
    <n v="8"/>
    <n v="1"/>
    <n v="6"/>
    <n v="3"/>
    <n v="0"/>
    <s v="Соревновательной практики достаточно"/>
    <s v="Нет"/>
    <s v="Нет"/>
    <n v="2"/>
    <n v="1"/>
    <s v="нет"/>
    <m/>
    <m/>
    <m/>
    <m/>
    <s v="Да"/>
    <s v="Нет"/>
    <m/>
  </r>
  <r>
    <d v="2025-11-24T05:25:49"/>
    <s v="Муниципальное автономное учреждение дополнительного образования &quot;Спортивная школа № 1&quot;"/>
    <x v="8"/>
    <x v="45"/>
    <s v="Прокопьевск"/>
    <s v="Прокопьевский г.о, г.Прокопьевск, ул.Институтская, зд.21"/>
    <n v="83846625054"/>
    <s v="dush_1_prk@mail.ru"/>
    <s v="СШ"/>
    <s v="Нет"/>
    <n v="72"/>
    <x v="68"/>
    <x v="1"/>
    <x v="10"/>
    <x v="8"/>
    <n v="3"/>
    <n v="4"/>
    <n v="7"/>
    <n v="10"/>
    <n v="18"/>
    <n v="6"/>
    <n v="9"/>
    <n v="3"/>
    <n v="0"/>
    <n v="0"/>
    <n v="0"/>
    <n v="0"/>
    <s v="До 15 лет, До 17 лет"/>
    <s v="Нет"/>
    <s v="Нет"/>
    <n v="1"/>
    <n v="0"/>
    <s v="нет"/>
    <m/>
    <m/>
    <m/>
    <m/>
    <s v="Да"/>
    <s v="Нет"/>
    <s v="Увеличить количество соревнований межрегиональных среди девочек от 10 до 14 лет. "/>
  </r>
  <r>
    <d v="2025-12-04T04:44:33"/>
    <s v="МУ ДО Тисульская ДЮСШ"/>
    <x v="8"/>
    <x v="45"/>
    <s v="Тисуль"/>
    <s v="Кемеровская область, Тисульский район, пгт Тисуль, ул. Фрунзе, д.11"/>
    <s v="8(38447)2-14-30"/>
    <s v=" tisdush@yandex.ru"/>
    <s v="ДЮСШ"/>
    <s v="Нет"/>
    <n v="72"/>
    <x v="9"/>
    <x v="1"/>
    <x v="0"/>
    <x v="0"/>
    <n v="0"/>
    <n v="0"/>
    <n v="0"/>
    <n v="0"/>
    <n v="0"/>
    <n v="1"/>
    <n v="2"/>
    <n v="2"/>
    <n v="0"/>
    <n v="0"/>
    <n v="0"/>
    <n v="0"/>
    <m/>
    <s v="Да"/>
    <s v="Нет"/>
    <n v="1"/>
    <n v="0"/>
    <s v="нет"/>
    <m/>
    <m/>
    <m/>
    <m/>
    <s v="Да"/>
    <s v="Нет"/>
    <m/>
  </r>
  <r>
    <d v="2025-11-24T05:43:17"/>
    <s v="МБУ ДО &quot;ДЮСШ&quot; ЮМО"/>
    <x v="8"/>
    <x v="45"/>
    <s v="Юрга 2"/>
    <s v="п.ст.Юрга 2, ул. Школьная,16"/>
    <s v="8(384)5160994"/>
    <s v="duschoolvvv@mail.ru"/>
    <s v="ДЮСШ"/>
    <s v="Нет"/>
    <n v="118"/>
    <x v="54"/>
    <x v="1"/>
    <x v="0"/>
    <x v="0"/>
    <n v="1"/>
    <n v="4"/>
    <n v="2"/>
    <n v="5"/>
    <n v="3"/>
    <n v="0"/>
    <n v="4"/>
    <n v="0"/>
    <n v="1"/>
    <n v="1"/>
    <n v="1"/>
    <n v="0"/>
    <s v="До 10 лет"/>
    <s v="Да"/>
    <s v="Да"/>
    <n v="4"/>
    <n v="1"/>
    <s v="нет"/>
    <m/>
    <m/>
    <m/>
    <m/>
    <s v="Да"/>
    <s v="Нет"/>
    <m/>
  </r>
  <r>
    <d v="2025-12-09T10:06:53"/>
    <s v="Юниор "/>
    <x v="8"/>
    <x v="46"/>
    <s v="Красноярск "/>
    <s v="Партизана Железняка 9г"/>
    <n v="73912148389"/>
    <s v="junior.24@yandex.ru"/>
    <s v="СШ"/>
    <s v="Нет"/>
    <n v="1500"/>
    <x v="102"/>
    <x v="1"/>
    <x v="0"/>
    <x v="0"/>
    <n v="0"/>
    <n v="0"/>
    <n v="0"/>
    <n v="0"/>
    <n v="0"/>
    <n v="1"/>
    <n v="2"/>
    <n v="0"/>
    <n v="5"/>
    <n v="3"/>
    <n v="4"/>
    <n v="82"/>
    <s v="Соревновательной практики достаточно"/>
    <s v="Да"/>
    <s v="Да"/>
    <n v="20"/>
    <n v="3"/>
    <s v="-"/>
    <m/>
    <m/>
    <m/>
    <m/>
    <s v="Да"/>
    <s v="Да"/>
    <m/>
  </r>
  <r>
    <d v="2025-11-24T07:09:42"/>
    <s v="МБУ ДО СШ &quot;Смена&quot; "/>
    <x v="8"/>
    <x v="46"/>
    <s v="Железногрск"/>
    <s v="Красноярский края , ЗАТО г. Железногрск ул. Ленина 48а"/>
    <s v="+7(3919)76-49-76"/>
    <s v="smena-game@mail.ru"/>
    <s v="СШ"/>
    <s v="Нет"/>
    <n v="307"/>
    <x v="52"/>
    <x v="1"/>
    <x v="0"/>
    <x v="0"/>
    <n v="5"/>
    <n v="5"/>
    <n v="6"/>
    <n v="8"/>
    <n v="10"/>
    <n v="9"/>
    <n v="13"/>
    <n v="7"/>
    <n v="0"/>
    <n v="0"/>
    <n v="0"/>
    <n v="0"/>
    <s v="Соревновательной практики достаточно"/>
    <s v="Да"/>
    <s v="Да"/>
    <n v="2"/>
    <n v="0"/>
    <s v="Ларионов С.В.   Бессонов М.С."/>
    <m/>
    <m/>
    <m/>
    <m/>
    <s v="Да"/>
    <s v="Да"/>
    <s v="-"/>
  </r>
  <r>
    <d v="2025-11-25T12:10:06"/>
    <s v="МБУ ДО &quot;СШ &quot;ЦИВС&quot;"/>
    <x v="8"/>
    <x v="46"/>
    <s v="Ачинск"/>
    <s v="Ачинск, ул. Кравченко, 30"/>
    <n v="83915162006"/>
    <s v="cf_achinsk@mail.ru"/>
    <s v="ДЮСШ"/>
    <s v="Нет"/>
    <n v="246"/>
    <x v="11"/>
    <x v="1"/>
    <x v="0"/>
    <x v="0"/>
    <n v="0"/>
    <n v="0"/>
    <n v="0"/>
    <n v="0"/>
    <n v="1"/>
    <n v="0"/>
    <n v="0"/>
    <n v="0"/>
    <n v="0"/>
    <n v="0"/>
    <n v="0"/>
    <n v="0"/>
    <s v="Соревновательной практики достаточно"/>
    <s v="Да"/>
    <s v="Нет"/>
    <n v="1"/>
    <n v="0"/>
    <s v="Шаломов Н.А."/>
    <m/>
    <n v="1"/>
    <m/>
    <m/>
    <s v="Да"/>
    <s v="Нет"/>
    <s v="-"/>
  </r>
  <r>
    <d v="2025-12-10T05:17:56"/>
    <s v="Футбольная школа Атлетик г.Ачинск"/>
    <x v="8"/>
    <x v="46"/>
    <s v="Ачинск "/>
    <s v="Г.Ачинск ул.Дружбы народов 14"/>
    <s v="+7 (933) 200-91-60"/>
    <s v="lexx3515@gmail.com"/>
    <s v="ФШ"/>
    <s v="Нет"/>
    <n v="110"/>
    <x v="14"/>
    <x v="1"/>
    <x v="0"/>
    <x v="0"/>
    <n v="0"/>
    <n v="0"/>
    <n v="0"/>
    <n v="0"/>
    <n v="0"/>
    <n v="0"/>
    <n v="4"/>
    <n v="0"/>
    <n v="2"/>
    <n v="0"/>
    <n v="0"/>
    <n v="5"/>
    <s v="До 10 лет"/>
    <s v="Да"/>
    <s v="Да"/>
    <n v="2"/>
    <n v="0"/>
    <s v="-"/>
    <m/>
    <m/>
    <m/>
    <m/>
    <s v="Да"/>
    <s v="Да"/>
    <s v="Проводить соревнования среди девочек до 8,9,10 лет в регионе "/>
  </r>
  <r>
    <d v="2025-12-03T12:04:36"/>
    <s v="МБУ ДО &quot;СШ&quot; г. Боготола"/>
    <x v="8"/>
    <x v="46"/>
    <s v="Боготол "/>
    <s v="662060: Красноярский край, г. Боготол, ул. Комсомолькая зд.28"/>
    <s v="8(39157)2-47-74"/>
    <s v="bogotol.sport@yandex.ru"/>
    <s v="СШ"/>
    <s v="Нет"/>
    <n v="58"/>
    <x v="9"/>
    <x v="1"/>
    <x v="0"/>
    <x v="0"/>
    <n v="0"/>
    <n v="0"/>
    <n v="1"/>
    <n v="0"/>
    <n v="2"/>
    <n v="0"/>
    <n v="2"/>
    <n v="0"/>
    <n v="0"/>
    <n v="0"/>
    <n v="0"/>
    <n v="0"/>
    <s v="До 12 лет"/>
    <s v="Да"/>
    <s v="Да"/>
    <n v="1"/>
    <n v="0"/>
    <n v="0"/>
    <m/>
    <m/>
    <m/>
    <m/>
    <s v="Нет"/>
    <s v="Нет"/>
    <m/>
  </r>
  <r>
    <d v="2025-11-24T06:57:33"/>
    <s v="КГАУ ДО СШОР по футболу &quot;Енисей&quot;"/>
    <x v="8"/>
    <x v="46"/>
    <s v="Красноярск"/>
    <s v="г. Красноярск, 660055, ул. Новгородская 5, стр.7"/>
    <n v="83912228240"/>
    <s v="osp@dfc-enisey.ru"/>
    <s v="СШОР"/>
    <s v="Футбольная академия"/>
    <n v="470"/>
    <x v="92"/>
    <x v="0"/>
    <x v="4"/>
    <x v="5"/>
    <n v="2"/>
    <n v="14"/>
    <n v="4"/>
    <n v="10"/>
    <n v="11"/>
    <n v="14"/>
    <n v="14"/>
    <n v="23"/>
    <n v="13"/>
    <n v="24"/>
    <n v="32"/>
    <n v="0"/>
    <s v="До 10 лет, До 12 лет, До 13 лет"/>
    <s v="Да"/>
    <s v="Да"/>
    <n v="6"/>
    <n v="2"/>
    <s v="Капустина О.Е. А УЕФА-элитный юношеский, Бргушевич К.В. В-УЕФА, Карху А.В. С-УЕФА, Шавкунов В.Н. С-УЕФА, Лукьяненко Т.Л. С-УЕФА, Веретнов И.Н. С-УЕФА"/>
    <n v="4"/>
    <n v="1"/>
    <n v="1"/>
    <m/>
    <s v="Да"/>
    <s v="Да"/>
    <m/>
  </r>
  <r>
    <d v="2025-11-28T06:08:12"/>
    <s v="АНО ФК &quot;Енисей&quot;"/>
    <x v="8"/>
    <x v="46"/>
    <s v="Красноярск"/>
    <s v="ул. Новгородская 5 стр 7"/>
    <n v="2228292"/>
    <s v="an22089@yandex.ru"/>
    <s v="АНО"/>
    <s v="Нет"/>
    <n v="100"/>
    <x v="45"/>
    <x v="30"/>
    <x v="2"/>
    <x v="5"/>
    <n v="0"/>
    <n v="0"/>
    <n v="0"/>
    <n v="0"/>
    <n v="0"/>
    <n v="0"/>
    <n v="0"/>
    <n v="0"/>
    <n v="0"/>
    <n v="0"/>
    <n v="0"/>
    <n v="0"/>
    <s v="Соревновательной практики достаточно"/>
    <s v="Нет"/>
    <s v="Нет"/>
    <n v="3"/>
    <n v="0"/>
    <s v="Алексеев Е.В- B-YEФА Баранов А.В- A--YEФА"/>
    <m/>
    <n v="1"/>
    <n v="1"/>
    <m/>
    <s v="Нет"/>
    <s v="Нет"/>
    <m/>
  </r>
  <r>
    <d v="2025-12-04T04:14:28"/>
    <s v="МБУ ДО &quot;СШОР им.В.П.Щедрухина&quot;"/>
    <x v="8"/>
    <x v="46"/>
    <s v="Минусинск"/>
    <s v="ул.Свердлова, 105"/>
    <n v="3913225300"/>
    <s v="dussh.minus@mail.ru"/>
    <s v="СШОР"/>
    <s v="Нет"/>
    <n v="150"/>
    <x v="8"/>
    <x v="1"/>
    <x v="0"/>
    <x v="0"/>
    <n v="0"/>
    <n v="0"/>
    <n v="0"/>
    <n v="0"/>
    <n v="0"/>
    <n v="0"/>
    <n v="0"/>
    <n v="2"/>
    <n v="0"/>
    <n v="0"/>
    <n v="0"/>
    <n v="0"/>
    <s v="в спортивной школе нет команд девочек, нет возможности оценить данный вопрос"/>
    <s v="Да"/>
    <s v="Нет"/>
    <n v="1"/>
    <n v="0"/>
    <s v="нет"/>
    <m/>
    <m/>
    <m/>
    <m/>
    <s v="Да"/>
    <s v="Нет"/>
    <m/>
  </r>
  <r>
    <d v="2025-12-10T12:08:13"/>
    <s v="Муниципальное бюджетное учреждение дополнительного образования &quot;Детско-юношеская спортивная школа &quot;Темп&quot;"/>
    <x v="8"/>
    <x v="46"/>
    <s v="Нижний Ингаш"/>
    <s v="663850 Красноярский край, Нижнеингашский район, п. Нижний Ингаш, ул. Красная площадь, д. 24 &quot;а&quot;"/>
    <n v="3917121540"/>
    <s v="sporttempingash@mail.ru"/>
    <s v="ДЮСШ"/>
    <s v="Нет"/>
    <n v="75"/>
    <x v="3"/>
    <x v="1"/>
    <x v="0"/>
    <x v="0"/>
    <n v="0"/>
    <n v="0"/>
    <n v="5"/>
    <n v="8"/>
    <n v="2"/>
    <n v="0"/>
    <n v="0"/>
    <n v="0"/>
    <n v="0"/>
    <n v="0"/>
    <n v="0"/>
    <n v="0"/>
    <s v="До 15 лет"/>
    <s v="Нет"/>
    <s v="Да"/>
    <n v="1"/>
    <n v="0"/>
    <s v="-"/>
    <m/>
    <m/>
    <m/>
    <m/>
    <s v="Нет"/>
    <s v="Нет"/>
    <m/>
  </r>
  <r>
    <d v="2025-11-24T05:10:23"/>
    <s v="МБУ ДО СШ СУХОБУЗИМСКОГО РАЙОНА"/>
    <x v="8"/>
    <x v="46"/>
    <s v="Сухобузимское"/>
    <s v="с.Сухобузимское.ул.Комсомольская 16"/>
    <n v="83919921744"/>
    <s v="dush_suhob@mail.ru"/>
    <s v="СШ"/>
    <s v="Нет"/>
    <n v="115"/>
    <x v="8"/>
    <x v="1"/>
    <x v="0"/>
    <x v="0"/>
    <n v="0"/>
    <n v="0"/>
    <n v="0"/>
    <n v="1"/>
    <n v="1"/>
    <n v="0"/>
    <n v="0"/>
    <n v="0"/>
    <n v="0"/>
    <n v="0"/>
    <n v="0"/>
    <n v="0"/>
    <s v="До 13 лет"/>
    <s v="Да"/>
    <s v="Да"/>
    <n v="1"/>
    <n v="0"/>
    <s v="Трофимов А.Н"/>
    <m/>
    <m/>
    <m/>
    <m/>
    <s v="Да"/>
    <s v="Нет"/>
    <m/>
  </r>
  <r>
    <d v="2025-12-04T05:26:22"/>
    <s v="Муниципальное бюджетное учреждение дополнительного образования &quot;Спортивная школа г. Шарыпово&quot;"/>
    <x v="8"/>
    <x v="46"/>
    <s v="Шарыпово"/>
    <s v="Красноярский край, город Шарыпово, проспект Энергетиков , здание 7"/>
    <s v="8(39153)23-3-95"/>
    <s v="dussh.sh@yandex.ru"/>
    <s v="СШ"/>
    <s v="Нет"/>
    <n v="248"/>
    <x v="34"/>
    <x v="1"/>
    <x v="0"/>
    <x v="0"/>
    <n v="5"/>
    <n v="3"/>
    <n v="7"/>
    <n v="3"/>
    <n v="1"/>
    <n v="1"/>
    <n v="0"/>
    <n v="1"/>
    <n v="0"/>
    <n v="0"/>
    <n v="0"/>
    <n v="0"/>
    <s v="До 15 лет, До 17 лет"/>
    <s v="Да"/>
    <s v="Нет"/>
    <n v="1"/>
    <n v="0"/>
    <s v="нет"/>
    <m/>
    <m/>
    <m/>
    <m/>
    <s v="Да"/>
    <s v="Нет"/>
    <m/>
  </r>
  <r>
    <m/>
    <s v="МАУДО &quot;СШОР &quot;Рассвет&quot;"/>
    <x v="8"/>
    <x v="46"/>
    <s v="Красноярск"/>
    <s v="Высотная 2л, стр.1"/>
    <s v="(8-391) 202-20-12"/>
    <s v="rassvet-sport24@yandex.ru"/>
    <m/>
    <m/>
    <n v="344"/>
    <x v="114"/>
    <x v="26"/>
    <x v="14"/>
    <x v="17"/>
    <n v="5"/>
    <n v="7"/>
    <n v="34"/>
    <n v="12"/>
    <n v="13"/>
    <n v="33"/>
    <n v="19"/>
    <n v="18"/>
    <n v="16"/>
    <n v="3"/>
    <n v="0"/>
    <n v="0"/>
    <m/>
    <m/>
    <m/>
    <m/>
    <m/>
    <m/>
    <m/>
    <m/>
    <m/>
    <m/>
    <m/>
    <m/>
    <m/>
  </r>
  <r>
    <m/>
    <s v="Мбу до ДЮСШ Назаровского района "/>
    <x v="8"/>
    <x v="46"/>
    <s v="Назарово "/>
    <s v="662217, Красноярский край, Назаровский район, п. Степной, ул. 30 лет ВЛКСМ, д. 44"/>
    <s v="8 (39155) 7-17-71"/>
    <s v="dushNR@yandex.ru"/>
    <m/>
    <m/>
    <n v="41.6"/>
    <x v="17"/>
    <x v="1"/>
    <x v="0"/>
    <x v="5"/>
    <n v="2"/>
    <n v="0"/>
    <n v="0"/>
    <n v="1"/>
    <n v="1"/>
    <n v="1"/>
    <n v="1"/>
    <n v="0"/>
    <n v="0"/>
    <n v="5"/>
    <n v="0"/>
    <n v="0"/>
    <m/>
    <m/>
    <m/>
    <m/>
    <m/>
    <m/>
    <m/>
    <m/>
    <m/>
    <m/>
    <m/>
    <m/>
    <m/>
  </r>
  <r>
    <m/>
    <s v="МАУ ДО &quot;СШ&quot;"/>
    <x v="8"/>
    <x v="46"/>
    <s v="Назарово"/>
    <s v="Гуськова 4"/>
    <s v="8(39155)7-15-25"/>
    <s v="DYSH-2nazarovo@mail.ru"/>
    <m/>
    <m/>
    <n v="111.8"/>
    <x v="111"/>
    <x v="1"/>
    <x v="0"/>
    <x v="0"/>
    <n v="1"/>
    <n v="5"/>
    <n v="9"/>
    <n v="8"/>
    <n v="6"/>
    <n v="1"/>
    <n v="4"/>
    <n v="8"/>
    <n v="1"/>
    <n v="0"/>
    <n v="0"/>
    <n v="0"/>
    <m/>
    <m/>
    <m/>
    <m/>
    <m/>
    <m/>
    <m/>
    <m/>
    <m/>
    <m/>
    <m/>
    <m/>
    <m/>
  </r>
  <r>
    <d v="2025-11-23T15:09:45"/>
    <s v="МБОУ ДО ДЮСШ г Искитима Новосибирской области"/>
    <x v="8"/>
    <x v="47"/>
    <s v="Искитим"/>
    <s v="633204 г. Искитим Новосибирская область м-р Подгорный 46Б"/>
    <n v="3834327200"/>
    <s v="dushisk@mail.ru"/>
    <s v="ДЮСШ"/>
    <s v="Нет"/>
    <n v="1280"/>
    <x v="11"/>
    <x v="1"/>
    <x v="0"/>
    <x v="0"/>
    <n v="0"/>
    <n v="0"/>
    <n v="0"/>
    <n v="0"/>
    <n v="0"/>
    <n v="1"/>
    <n v="0"/>
    <n v="0"/>
    <n v="0"/>
    <n v="0"/>
    <n v="0"/>
    <n v="0"/>
    <s v="До 10 лет, До 12 лет, До 13 лет"/>
    <s v="Да"/>
    <s v="Да"/>
    <n v="1"/>
    <n v="0"/>
    <s v="нет"/>
    <m/>
    <m/>
    <m/>
    <m/>
    <s v="Да"/>
    <s v="Нет"/>
    <m/>
  </r>
  <r>
    <d v="2025-11-24T08:19:47"/>
    <s v="МБУ ДО Каргатская ДЮСШ &quot;Атлант&quot;"/>
    <x v="8"/>
    <x v="47"/>
    <s v="Каргат"/>
    <s v="Новосибирская область, город Каргат, улица Советская 118 а"/>
    <n v="83836522248"/>
    <s v="dusc_karg@edu54"/>
    <s v="ДЮСШ"/>
    <s v="Нет"/>
    <n v="120"/>
    <x v="19"/>
    <x v="1"/>
    <x v="0"/>
    <x v="0"/>
    <n v="0"/>
    <n v="0"/>
    <n v="0"/>
    <n v="0"/>
    <n v="0"/>
    <n v="3"/>
    <n v="0"/>
    <n v="0"/>
    <n v="0"/>
    <n v="0"/>
    <n v="3"/>
    <n v="0"/>
    <s v="Соревновательной практики достаточно"/>
    <s v="Да"/>
    <s v="Да"/>
    <n v="0"/>
    <n v="0"/>
    <n v="0"/>
    <m/>
    <m/>
    <m/>
    <m/>
    <s v="Да"/>
    <s v="Нет"/>
    <m/>
  </r>
  <r>
    <d v="2025-11-24T06:44:29"/>
    <s v="МБУ ДО &quot;СШ по футболу&quot;"/>
    <x v="8"/>
    <x v="47"/>
    <s v="Новосибирск"/>
    <s v="630033, Новосибирская область, город Новосибирск, ул. Аникина, дом 2"/>
    <s v="+7 (383) 305-42-38"/>
    <s v="football_2009@mail.ru"/>
    <s v="СШ"/>
    <s v="ДФЦ"/>
    <n v="1595"/>
    <x v="22"/>
    <x v="1"/>
    <x v="0"/>
    <x v="0"/>
    <n v="0"/>
    <n v="0"/>
    <n v="1"/>
    <n v="14"/>
    <n v="5"/>
    <n v="10"/>
    <n v="10"/>
    <n v="7"/>
    <n v="8"/>
    <n v="4"/>
    <n v="2"/>
    <n v="0"/>
    <s v="До 12 лет, До 13 лет"/>
    <s v="Да"/>
    <s v="Нет"/>
    <n v="2"/>
    <n v="0"/>
    <s v="Метла А. П. С-УЕФА"/>
    <n v="1"/>
    <m/>
    <m/>
    <m/>
    <s v="Да"/>
    <s v="Да"/>
    <m/>
  </r>
  <r>
    <d v="2025-12-03T06:13:45"/>
    <s v="МБУДО &quot;СШ &quot;Энергия&quot;"/>
    <x v="8"/>
    <x v="47"/>
    <s v="Новосибирск"/>
    <s v="г. Новосибирск, ул.Часовая, д. 2"/>
    <s v="8(383)264-20-40"/>
    <s v="sh_energiya@mail.ru"/>
    <s v="СШ"/>
    <s v="Нет"/>
    <n v="466"/>
    <x v="96"/>
    <x v="1"/>
    <x v="0"/>
    <x v="0"/>
    <n v="0"/>
    <n v="0"/>
    <n v="0"/>
    <n v="1"/>
    <n v="2"/>
    <n v="5"/>
    <n v="18"/>
    <n v="9"/>
    <n v="13"/>
    <n v="2"/>
    <n v="2"/>
    <n v="0"/>
    <s v="До 10 лет, До 12 лет"/>
    <s v="Нет"/>
    <s v="Да"/>
    <n v="2"/>
    <n v="2"/>
    <s v="Исаева М.Н. С-УЕФА, Миненко М.Н. "/>
    <n v="1"/>
    <m/>
    <m/>
    <m/>
    <s v="Да"/>
    <s v="Да"/>
    <m/>
  </r>
  <r>
    <d v="2025-12-12T07:21:20"/>
    <s v="АНО ДО &quot;Федерация Развития Футбола&quot;"/>
    <x v="8"/>
    <x v="47"/>
    <s v="Новосибирск"/>
    <s v="ул. Шевченко, 29А"/>
    <n v="79134738850"/>
    <s v="anofrf@gmail.com"/>
    <s v="Футбольный Клуб"/>
    <s v="Нет"/>
    <n v="2000"/>
    <x v="87"/>
    <x v="1"/>
    <x v="0"/>
    <x v="0"/>
    <n v="0"/>
    <n v="0"/>
    <n v="0"/>
    <n v="2"/>
    <n v="2"/>
    <n v="2"/>
    <n v="3"/>
    <n v="7"/>
    <n v="6"/>
    <n v="1"/>
    <n v="11"/>
    <n v="22"/>
    <s v="До 10 лет, До 12 лет, До 13 лет, До 15 лет, До 17 лет, До 19 лет"/>
    <s v="Да"/>
    <s v="Да"/>
    <n v="1"/>
    <n v="1"/>
    <s v="нет отдельных групп девочек"/>
    <m/>
    <m/>
    <m/>
    <m/>
    <s v="Нет"/>
    <s v="Нет"/>
    <m/>
  </r>
  <r>
    <d v="2025-11-27T10:50:50"/>
    <s v="Автономная некоммерческая организация &quot;Футбольный клуб &quot;Сибирь&quot;"/>
    <x v="8"/>
    <x v="47"/>
    <s v="Новосибрск"/>
    <s v="630099, г. Новосибирск, ул. Советская, д 33, 3 этаж"/>
    <s v="(383)211-13-09"/>
    <s v="fc@nso.ru"/>
    <s v="Футбольная академия"/>
    <s v="РЦ"/>
    <n v="497"/>
    <x v="82"/>
    <x v="1"/>
    <x v="0"/>
    <x v="0"/>
    <n v="0"/>
    <n v="2"/>
    <n v="7"/>
    <n v="1"/>
    <n v="7"/>
    <n v="25"/>
    <n v="19"/>
    <n v="8"/>
    <n v="3"/>
    <n v="4"/>
    <n v="1"/>
    <n v="1"/>
    <s v="Соревновательной практики достаточно"/>
    <s v="Да"/>
    <s v="Нет"/>
    <n v="3"/>
    <n v="2"/>
    <s v="Метла А.П. С-УЕФА, Исаева М.Н. С-УЕФА, Мартемьянова А.П. С-УЕФА"/>
    <n v="3"/>
    <m/>
    <m/>
    <m/>
    <s v="Да"/>
    <s v="Нет"/>
    <m/>
  </r>
  <r>
    <d v="2025-11-24T09:49:55"/>
    <s v="Муниципальное бюджетное образовательное учреждение дополнительного образования Ордынского района Новосибирской области &quot;Ордынская детско-юношеская спортивная школа&quot;"/>
    <x v="8"/>
    <x v="47"/>
    <s v="Ордынское"/>
    <s v="Новосибирская обл., Ордынский р-н, рп Ордынское, Байдуги пер, дом 48"/>
    <s v="(838)359 35101"/>
    <s v=" dyush_ord@edu54.ru"/>
    <s v="ДЮСШ"/>
    <s v="Нет"/>
    <n v="27"/>
    <x v="21"/>
    <x v="1"/>
    <x v="0"/>
    <x v="0"/>
    <n v="1"/>
    <n v="1"/>
    <n v="0"/>
    <n v="2"/>
    <n v="2"/>
    <n v="4"/>
    <n v="2"/>
    <n v="1"/>
    <n v="0"/>
    <n v="0"/>
    <n v="0"/>
    <n v="0"/>
    <s v="До 12 лет, До 13 лет"/>
    <s v="Да"/>
    <s v="Да"/>
    <n v="1"/>
    <n v="0"/>
    <n v="0"/>
    <m/>
    <m/>
    <m/>
    <m/>
    <s v="Да"/>
    <s v="Нет"/>
    <s v="нет"/>
  </r>
  <r>
    <m/>
    <s v="МБУ ДО «СШ «Бердск»"/>
    <x v="8"/>
    <x v="47"/>
    <s v="Бердск "/>
    <s v="Линейная,3"/>
    <n v="83834124794"/>
    <s v="dyussh-berdsk@yandex.ru"/>
    <m/>
    <m/>
    <n v="46.800000000000004"/>
    <x v="1"/>
    <x v="1"/>
    <x v="5"/>
    <x v="4"/>
    <n v="4"/>
    <n v="6"/>
    <n v="2"/>
    <n v="3"/>
    <n v="0"/>
    <n v="0"/>
    <n v="0"/>
    <n v="0"/>
    <n v="0"/>
    <n v="0"/>
    <n v="0"/>
    <n v="0"/>
    <m/>
    <m/>
    <m/>
    <m/>
    <m/>
    <m/>
    <m/>
    <m/>
    <m/>
    <m/>
    <m/>
    <m/>
    <m/>
  </r>
  <r>
    <d v="2025-11-24T11:18:02"/>
    <s v="МБУ ДО &quot;СШОР г. Гусиноозерска&quot;"/>
    <x v="8"/>
    <x v="48"/>
    <s v="Гусиноозёрск"/>
    <s v="Ренспублика Бурятия Селенгинский район, г. Гусиноозерск, ул. Комсомольская 2б"/>
    <n v="83014544365"/>
    <s v="shor.gus@yandex.ru"/>
    <s v="СШОР"/>
    <s v="Нет"/>
    <n v="187"/>
    <x v="38"/>
    <x v="1"/>
    <x v="0"/>
    <x v="0"/>
    <n v="0"/>
    <n v="1"/>
    <n v="2"/>
    <n v="5"/>
    <n v="2"/>
    <n v="7"/>
    <n v="6"/>
    <n v="0"/>
    <n v="10"/>
    <n v="10"/>
    <n v="6"/>
    <n v="4"/>
    <s v="Соревновательной практики достаточно"/>
    <s v="Да"/>
    <s v="Нет"/>
    <n v="3"/>
    <n v="1"/>
    <s v="нет"/>
    <m/>
    <m/>
    <m/>
    <m/>
    <s v="Да"/>
    <s v="Нет"/>
    <m/>
  </r>
  <r>
    <d v="2025-12-09T12:40:46"/>
    <s v="МБУ ДО &quot;СШОР Г.Гусиноозерска&quot;"/>
    <x v="8"/>
    <x v="48"/>
    <s v="Гусиноозёрск"/>
    <s v="г.Гусиноозерск ул.Гагарина корпус 4 дом 5"/>
    <n v="89246516787"/>
    <s v="Selengassh@selruo.ru"/>
    <s v="СШОР"/>
    <s v="Нет"/>
    <n v="200"/>
    <x v="62"/>
    <x v="1"/>
    <x v="0"/>
    <x v="3"/>
    <n v="24"/>
    <n v="5"/>
    <n v="5"/>
    <n v="0"/>
    <n v="6"/>
    <n v="6"/>
    <n v="10"/>
    <n v="0"/>
    <n v="0"/>
    <n v="0"/>
    <n v="0"/>
    <n v="0"/>
    <s v="До 10 лет, До 12 лет, До 17 лет, До 19 лет"/>
    <s v="Да"/>
    <s v="Да"/>
    <n v="2"/>
    <n v="0"/>
    <s v="-"/>
    <m/>
    <m/>
    <m/>
    <m/>
    <s v="Да"/>
    <s v="Нет"/>
    <m/>
  </r>
  <r>
    <d v="2025-12-04T04:53:54"/>
    <s v="МАУ ДО &quot;Спортивная школа№6&quot; г. Улан-Удэ"/>
    <x v="8"/>
    <x v="48"/>
    <s v="Улан-Удэ"/>
    <s v="г. Улан-Удэ, ул. Трубачеева 24"/>
    <n v="83012455025"/>
    <s v="dush6_uu@mail.ru"/>
    <s v="СШ"/>
    <s v="ДФЦ"/>
    <n v="622"/>
    <x v="115"/>
    <x v="1"/>
    <x v="0"/>
    <x v="0"/>
    <n v="0"/>
    <n v="2"/>
    <n v="4"/>
    <n v="11"/>
    <n v="16"/>
    <n v="12"/>
    <n v="16"/>
    <n v="13"/>
    <n v="10"/>
    <n v="0"/>
    <n v="2"/>
    <n v="0"/>
    <s v="До 10 лет, До 12 лет, До 13 лет, До 15 лет, в принципе их недостаточно"/>
    <s v="Да"/>
    <s v="Нет"/>
    <n v="4"/>
    <n v="2"/>
    <s v="Рыбакова А.Д - С-УЕФА, Власова Е.В, Атутов А.П, Федосеенко В.С"/>
    <n v="1"/>
    <m/>
    <m/>
    <m/>
    <s v="Да"/>
    <s v="Да"/>
    <s v="Включите команду нашей школы в список участников соревнований ЮФЛ-ДЕВУШКИ до 16 лет, пожалуйста)"/>
  </r>
  <r>
    <m/>
    <s v="МАУ ДО &quot; Кяхтинская спортивная школа &quot;"/>
    <x v="8"/>
    <x v="48"/>
    <s v="Кяхта "/>
    <s v="Кяхтинский район, г. Кяхта ,ул Ленина 48А"/>
    <n v="83014291513"/>
    <s v="kyahta.dussh@mail.ru"/>
    <m/>
    <m/>
    <n v="124.80000000000001"/>
    <x v="70"/>
    <x v="1"/>
    <x v="0"/>
    <x v="0"/>
    <n v="2"/>
    <n v="5"/>
    <n v="1"/>
    <n v="7"/>
    <n v="6"/>
    <n v="7"/>
    <n v="6"/>
    <n v="5"/>
    <n v="5"/>
    <n v="3"/>
    <n v="1"/>
    <n v="0"/>
    <m/>
    <m/>
    <m/>
    <m/>
    <m/>
    <m/>
    <m/>
    <m/>
    <m/>
    <m/>
    <m/>
    <m/>
    <m/>
  </r>
  <r>
    <d v="2025-12-03T11:23:26"/>
    <s v="АНО СК &quot;Кызыл&quot;"/>
    <x v="8"/>
    <x v="49"/>
    <s v="Кызыл"/>
    <s v="Калинина 2в"/>
    <n v="89959646931"/>
    <s v="fc_kyzyl@mail.ru"/>
    <s v="Частный клуб"/>
    <s v="Нет"/>
    <n v="140"/>
    <x v="8"/>
    <x v="1"/>
    <x v="0"/>
    <x v="0"/>
    <n v="0"/>
    <n v="0"/>
    <n v="0"/>
    <n v="0"/>
    <n v="0"/>
    <n v="0"/>
    <n v="0"/>
    <n v="0"/>
    <n v="1"/>
    <n v="0"/>
    <n v="0"/>
    <n v="1"/>
    <s v="До 10 лет, До 12 лет, До 13 лет, До 15 лет, До 17 лет, До 19 лет"/>
    <s v="Да"/>
    <s v="Да"/>
    <n v="1"/>
    <n v="0"/>
    <s v="Наконечный А. В. С-УЕФА, Сенников В. В. С-УЕФА"/>
    <n v="1"/>
    <m/>
    <m/>
    <m/>
    <s v="Нет"/>
    <s v="Нет"/>
    <m/>
  </r>
  <r>
    <d v="2025-11-21T15:41:16"/>
    <s v="Автономная некоммерческая организация Детско-юношеский футбольный клуб &quot;Ирбис&quot;"/>
    <x v="8"/>
    <x v="49"/>
    <s v="Кызыл"/>
    <s v="ул.Бай-Хаакская 8 - 98"/>
    <n v="89059202734"/>
    <s v="fk_irbisport@mail.ru"/>
    <s v="Детско-юношеский футбольный клуб"/>
    <s v="Нет"/>
    <n v="135"/>
    <x v="93"/>
    <x v="1"/>
    <x v="0"/>
    <x v="0"/>
    <n v="0"/>
    <n v="0"/>
    <n v="0"/>
    <n v="0"/>
    <n v="0"/>
    <n v="1"/>
    <n v="1"/>
    <n v="0"/>
    <n v="1"/>
    <n v="0"/>
    <n v="0"/>
    <n v="0"/>
    <s v="До 10 лет, До 12 лет, До 13 лет, До 15 лет, До 17 лет, До 19 лет"/>
    <s v="Да"/>
    <s v="Нет"/>
    <n v="2"/>
    <n v="0"/>
    <s v="-"/>
    <m/>
    <m/>
    <m/>
    <m/>
    <s v="Нет"/>
    <s v="Нет"/>
    <m/>
  </r>
  <r>
    <m/>
    <s v="ГБУ ДО РТ СШОР БАРУН-ХЕМЧИКСКОГО РАЙОНА"/>
    <x v="8"/>
    <x v="49"/>
    <s v="Кызыл-Мажалык"/>
    <s v="Республика Тыва, с. Кызыл-Мажалык ул. Чадамба д.22"/>
    <n v="83944121022"/>
    <s v="dyussh.barum@mail.ru"/>
    <m/>
    <m/>
    <n v="72.8"/>
    <x v="45"/>
    <x v="1"/>
    <x v="0"/>
    <x v="0"/>
    <n v="0"/>
    <n v="0"/>
    <n v="0"/>
    <n v="0"/>
    <n v="0"/>
    <n v="10"/>
    <n v="14"/>
    <n v="4"/>
    <n v="0"/>
    <n v="0"/>
    <n v="0"/>
    <n v="0"/>
    <m/>
    <m/>
    <m/>
    <m/>
    <m/>
    <m/>
    <m/>
    <m/>
    <m/>
    <m/>
    <m/>
    <m/>
    <m/>
  </r>
  <r>
    <m/>
    <s v="ГБУ ДО РТ СШ ЭРЗИНСКОГО КОЖУУНА"/>
    <x v="8"/>
    <x v="49"/>
    <s v="Морен"/>
    <s v="Д.Данил 28"/>
    <n v="89133403932"/>
    <s v="mbou2014@mail.ru"/>
    <m/>
    <m/>
    <n v="49.4"/>
    <x v="78"/>
    <x v="1"/>
    <x v="0"/>
    <x v="1"/>
    <n v="3"/>
    <n v="3"/>
    <n v="4"/>
    <n v="3"/>
    <n v="2"/>
    <n v="1"/>
    <n v="0"/>
    <n v="0"/>
    <n v="0"/>
    <n v="0"/>
    <n v="0"/>
    <n v="0"/>
    <m/>
    <m/>
    <m/>
    <m/>
    <m/>
    <m/>
    <m/>
    <m/>
    <m/>
    <m/>
    <m/>
    <m/>
    <m/>
  </r>
  <r>
    <d v="2025-12-05T10:54:34"/>
    <s v="Муниципальное бюджетное учреждение дополнительного образования &quot;Абазинская спортивная школа&quot;"/>
    <x v="8"/>
    <x v="50"/>
    <s v="Абаза"/>
    <s v="Республика Хакасия, Абаза, Парковая улица, 4А"/>
    <n v="73904725777"/>
    <s v="abaza_sport@r-19.ru"/>
    <s v="СШ"/>
    <s v="Нет"/>
    <n v="126"/>
    <x v="49"/>
    <x v="1"/>
    <x v="0"/>
    <x v="0"/>
    <n v="0"/>
    <n v="0"/>
    <n v="2"/>
    <n v="7"/>
    <n v="8"/>
    <n v="4"/>
    <n v="4"/>
    <n v="0"/>
    <n v="2"/>
    <n v="2"/>
    <n v="2"/>
    <n v="0"/>
    <s v="До 13 лет, До 15 лет"/>
    <s v="Да"/>
    <s v="Нет"/>
    <n v="2"/>
    <n v="0"/>
    <s v="-"/>
    <m/>
    <m/>
    <m/>
    <m/>
    <s v="Да"/>
    <s v="Да"/>
    <m/>
  </r>
  <r>
    <d v="2025-12-05T12:28:35"/>
    <s v="МБУДО г. Абакана&quot;КСШ&quot;"/>
    <x v="8"/>
    <x v="50"/>
    <s v="Абакан"/>
    <s v="Щетинкина 22а "/>
    <s v="8 (953) 255-33-76"/>
    <s v="hramcova_oi@mail.ru"/>
    <s v="СШ"/>
    <s v="Нет"/>
    <n v="392"/>
    <x v="116"/>
    <x v="30"/>
    <x v="3"/>
    <x v="2"/>
    <n v="3"/>
    <n v="6"/>
    <n v="7"/>
    <n v="12"/>
    <n v="8"/>
    <n v="5"/>
    <n v="7"/>
    <n v="2"/>
    <n v="2"/>
    <n v="2"/>
    <n v="12"/>
    <n v="0"/>
    <s v="Соревновательной практики достаточно"/>
    <s v="Нет"/>
    <s v="Нет"/>
    <n v="2"/>
    <n v="2"/>
    <n v="0"/>
    <m/>
    <m/>
    <m/>
    <m/>
    <s v="Да"/>
    <s v="Нет"/>
    <m/>
  </r>
  <r>
    <d v="2025-11-24T06:51:36"/>
    <s v="Муниципальное бюджетное учреждение дополнительного образования «Спортивная школа Таштыпского района Республики Хакасия»"/>
    <x v="8"/>
    <x v="50"/>
    <s v="Таштып"/>
    <s v="РХ, Таштыпский район, с. Таштып, ул. Луначарского, д12а"/>
    <s v="8(39046) 2-10-76, 8(39046) 2-10-77"/>
    <s v="sh-sport@r-19.ru"/>
    <s v="СШ"/>
    <s v="Нет"/>
    <n v="96"/>
    <x v="65"/>
    <x v="1"/>
    <x v="0"/>
    <x v="0"/>
    <n v="0"/>
    <n v="0"/>
    <n v="1"/>
    <n v="0"/>
    <n v="0"/>
    <n v="1"/>
    <n v="1"/>
    <n v="0"/>
    <n v="1"/>
    <n v="0"/>
    <n v="0"/>
    <n v="0"/>
    <s v="девочек мало, чтобы проводить соревнования"/>
    <s v="Да"/>
    <s v="Да"/>
    <n v="1"/>
    <n v="0"/>
    <s v="Бозыков С.М., Кулумаев С.В."/>
    <m/>
    <m/>
    <m/>
    <m/>
    <s v="Нет"/>
    <s v="Нет"/>
    <m/>
  </r>
  <r>
    <m/>
    <s v="МКУ ДО &quot;СШ&quot;"/>
    <x v="8"/>
    <x v="50"/>
    <s v="Бея"/>
    <s v="Ул. Площадь Советов, 20 А"/>
    <n v="9130516766"/>
    <s v="sportbeya@mail.ru"/>
    <m/>
    <m/>
    <n v="62.400000000000006"/>
    <x v="59"/>
    <x v="1"/>
    <x v="0"/>
    <x v="0"/>
    <n v="0"/>
    <n v="7"/>
    <n v="4"/>
    <n v="13"/>
    <n v="0"/>
    <n v="0"/>
    <n v="0"/>
    <n v="0"/>
    <n v="0"/>
    <n v="0"/>
    <n v="0"/>
    <n v="0"/>
    <m/>
    <m/>
    <m/>
    <m/>
    <m/>
    <m/>
    <m/>
    <m/>
    <m/>
    <m/>
    <m/>
    <m/>
    <m/>
  </r>
  <r>
    <m/>
    <s v="МАОУ ДО Спортивная школа #1 города Асино"/>
    <x v="8"/>
    <x v="51"/>
    <s v="Асино "/>
    <s v="Улица Советская 42"/>
    <n v="89528987303"/>
    <s v="ivan.kornev.2023@mail.ru"/>
    <m/>
    <m/>
    <n v="111.8"/>
    <x v="111"/>
    <x v="1"/>
    <x v="0"/>
    <x v="0"/>
    <n v="0"/>
    <n v="0"/>
    <n v="0"/>
    <n v="0"/>
    <n v="8"/>
    <n v="12"/>
    <n v="11"/>
    <n v="12"/>
    <n v="0"/>
    <n v="0"/>
    <n v="0"/>
    <n v="0"/>
    <m/>
    <m/>
    <m/>
    <m/>
    <m/>
    <m/>
    <m/>
    <m/>
    <m/>
    <m/>
    <m/>
    <m/>
    <m/>
  </r>
  <r>
    <m/>
    <s v="МАУ ДО Колпашевская СШ им.О. Рахматулиной "/>
    <x v="8"/>
    <x v="51"/>
    <s v="Колпашево "/>
    <s v="Ул Ленина 52"/>
    <n v="89138737807"/>
    <s v="boriskuncev254@gmail.com"/>
    <m/>
    <m/>
    <n v="52"/>
    <x v="23"/>
    <x v="1"/>
    <x v="0"/>
    <x v="0"/>
    <n v="0"/>
    <n v="0"/>
    <n v="0"/>
    <n v="10"/>
    <n v="10"/>
    <n v="0"/>
    <n v="0"/>
    <n v="0"/>
    <n v="0"/>
    <n v="0"/>
    <n v="0"/>
    <n v="0"/>
    <m/>
    <m/>
    <m/>
    <m/>
    <m/>
    <m/>
    <m/>
    <m/>
    <m/>
    <m/>
    <m/>
    <m/>
    <m/>
  </r>
  <r>
    <m/>
    <s v="МБОУ ДО &quot;Первомайская спортивная школ&quot;а"/>
    <x v="8"/>
    <x v="51"/>
    <s v="Первомайское"/>
    <s v="636930 с.Первомайское ,Томская область, Первомайский район"/>
    <s v="838-245-2-15-88"/>
    <s v="75 sport@mail.ru"/>
    <m/>
    <m/>
    <n v="70.2"/>
    <x v="35"/>
    <x v="1"/>
    <x v="0"/>
    <x v="0"/>
    <n v="12"/>
    <n v="0"/>
    <n v="0"/>
    <n v="7"/>
    <n v="8"/>
    <n v="0"/>
    <n v="0"/>
    <n v="0"/>
    <n v="0"/>
    <n v="0"/>
    <n v="0"/>
    <n v="0"/>
    <m/>
    <m/>
    <m/>
    <m/>
    <m/>
    <m/>
    <m/>
    <m/>
    <m/>
    <m/>
    <m/>
    <m/>
    <m/>
  </r>
  <r>
    <d v="2025-11-22T08:41:03"/>
    <s v="МАОУДО СШ №1 г.Асино Томской области"/>
    <x v="8"/>
    <x v="51"/>
    <s v="Асино"/>
    <s v="636840,Томская область, г.Асино, ул.Советская,27"/>
    <n v="89528833860"/>
    <s v="dyussh-1@asino.gov70.ru"/>
    <s v="СШ"/>
    <s v="Нет"/>
    <n v="109"/>
    <x v="15"/>
    <x v="1"/>
    <x v="0"/>
    <x v="0"/>
    <n v="0"/>
    <n v="0"/>
    <n v="0"/>
    <n v="5"/>
    <n v="5"/>
    <n v="5"/>
    <n v="5"/>
    <n v="5"/>
    <n v="0"/>
    <n v="0"/>
    <n v="0"/>
    <n v="0"/>
    <s v="Соревновательной практики достаточно"/>
    <s v="Да"/>
    <s v="Да"/>
    <n v="1"/>
    <n v="0"/>
    <s v="Корнев И.В."/>
    <m/>
    <m/>
    <m/>
    <m/>
    <s v="Нет"/>
    <s v="Нет"/>
    <m/>
  </r>
  <r>
    <d v="2025-11-24T04:36:54"/>
    <s v="Муниципальное казённое образовательное учреждение дополнительного образования  «Кожевниковская спортивная школа имени Николая Ивановича Вакурина»"/>
    <x v="8"/>
    <x v="51"/>
    <s v="Кожевниково"/>
    <s v="636161, Томская обл., с. Кожевниково, пер. Совхозный  2 А"/>
    <s v="(8-38-244) 23-122"/>
    <s v="osipovdv@kozhevnikovo.gov70.ru"/>
    <s v="СШ"/>
    <s v="Нет"/>
    <n v="32"/>
    <x v="8"/>
    <x v="1"/>
    <x v="0"/>
    <x v="0"/>
    <n v="0"/>
    <n v="0"/>
    <n v="0"/>
    <n v="0"/>
    <n v="0"/>
    <n v="0"/>
    <n v="1"/>
    <n v="0"/>
    <n v="1"/>
    <n v="0"/>
    <n v="0"/>
    <n v="0"/>
    <s v="До 10 лет"/>
    <s v="Да"/>
    <s v="Нет"/>
    <n v="1"/>
    <n v="0"/>
    <s v="нет"/>
    <m/>
    <m/>
    <m/>
    <m/>
    <s v="Да"/>
    <s v="Нет"/>
    <m/>
  </r>
  <r>
    <d v="2025-11-24T12:31:55"/>
    <s v="МАУ ДО СШ № 17"/>
    <x v="8"/>
    <x v="51"/>
    <s v="Томск"/>
    <s v="ул. 5-ой Армии, 15 стр. 1"/>
    <s v="8(3822) 462296"/>
    <s v="st-vosxod@mail.ru"/>
    <s v="СШ"/>
    <s v="ДФЦ"/>
    <n v="719"/>
    <x v="24"/>
    <x v="1"/>
    <x v="0"/>
    <x v="0"/>
    <n v="0"/>
    <n v="2"/>
    <n v="5"/>
    <n v="2"/>
    <n v="12"/>
    <n v="5"/>
    <n v="4"/>
    <n v="2"/>
    <n v="1"/>
    <n v="3"/>
    <n v="0"/>
    <n v="0"/>
    <s v="Соревновательной практики достаточно"/>
    <s v="Да"/>
    <s v="Да"/>
    <n v="2"/>
    <n v="0"/>
    <s v="Кисляков И.М. С-УЕФА"/>
    <n v="1"/>
    <m/>
    <m/>
    <m/>
    <s v="Да"/>
    <s v="Нет"/>
    <m/>
  </r>
  <r>
    <d v="2025-11-24T12:53:16"/>
    <s v="МАУ ДО СШ &quot;Кедр&quot;"/>
    <x v="8"/>
    <x v="51"/>
    <s v="Томск"/>
    <s v="ул. Владимира Высоцкого, 7"/>
    <s v="8 (3822) 64 62 33"/>
    <s v="vip7otd@mail.ru"/>
    <s v="СШ"/>
    <s v="Нет"/>
    <n v="248"/>
    <x v="93"/>
    <x v="1"/>
    <x v="0"/>
    <x v="0"/>
    <n v="0"/>
    <n v="0"/>
    <n v="0"/>
    <n v="0"/>
    <n v="0"/>
    <n v="0"/>
    <n v="0"/>
    <n v="1"/>
    <n v="1"/>
    <n v="0"/>
    <n v="1"/>
    <n v="0"/>
    <s v="Соревновательной практики достаточно"/>
    <s v="Да"/>
    <s v="Нет"/>
    <n v="0"/>
    <n v="0"/>
    <n v="0"/>
    <m/>
    <m/>
    <m/>
    <m/>
    <s v="Нет"/>
    <s v="Нет"/>
    <m/>
  </r>
  <r>
    <d v="2025-12-10T09:42:09"/>
    <s v="ЖФК Тигрицы "/>
    <x v="8"/>
    <x v="51"/>
    <s v="Томск "/>
    <s v="Г. Томск ул. Фрунзе 240а строение 23"/>
    <n v="79069596924"/>
    <s v="Casp999@mail.ru"/>
    <s v="Детская футбольная школа "/>
    <s v="Нет"/>
    <n v="150"/>
    <x v="35"/>
    <x v="1"/>
    <x v="0"/>
    <x v="0"/>
    <n v="0"/>
    <n v="0"/>
    <n v="0"/>
    <n v="0"/>
    <n v="1"/>
    <n v="0"/>
    <n v="14"/>
    <n v="8"/>
    <n v="2"/>
    <n v="0"/>
    <n v="0"/>
    <n v="2"/>
    <s v="Соревновательной практики достаточно"/>
    <s v="Нет"/>
    <s v="Да"/>
    <n v="2"/>
    <n v="0"/>
    <s v="Танкель Евгений Георгиевич С-УЕФА"/>
    <n v="1"/>
    <m/>
    <m/>
    <m/>
    <s v="Да"/>
    <s v="Да"/>
    <m/>
  </r>
  <r>
    <m/>
    <s v="МОУ « Будогощская СОШ им. М. П. Галкина»"/>
    <x v="5"/>
    <x v="33"/>
    <s v="Будогощь "/>
    <s v="Киришский район., пг Будогощь., ул. Учительская 6"/>
    <n v="88136873181"/>
    <s v="budogosch@kiredu.ru"/>
    <m/>
    <m/>
    <n v="91"/>
    <x v="50"/>
    <x v="1"/>
    <x v="0"/>
    <x v="0"/>
    <n v="0"/>
    <n v="4"/>
    <n v="6"/>
    <n v="6"/>
    <n v="2"/>
    <n v="0"/>
    <n v="5"/>
    <n v="4"/>
    <n v="6"/>
    <n v="2"/>
    <n v="0"/>
    <n v="0"/>
    <m/>
    <m/>
    <m/>
    <m/>
    <m/>
    <m/>
    <m/>
    <m/>
    <m/>
    <m/>
    <m/>
    <m/>
    <m/>
  </r>
  <r>
    <d v="2025-12-09T08:44:05"/>
    <s v="Юниор Спорт "/>
    <x v="8"/>
    <x v="52"/>
    <s v="Сургут "/>
    <s v="Энергетиков, 47"/>
    <s v="(3462)965096"/>
    <s v="cfr_juniorsport@mail.ru"/>
    <s v="Центр физического развития "/>
    <s v="Нет"/>
    <n v="1000"/>
    <x v="0"/>
    <x v="1"/>
    <x v="0"/>
    <x v="0"/>
    <n v="0"/>
    <n v="0"/>
    <n v="0"/>
    <n v="0"/>
    <n v="0"/>
    <n v="0"/>
    <n v="0"/>
    <n v="4"/>
    <n v="4"/>
    <n v="0"/>
    <n v="2"/>
    <n v="0"/>
    <s v="До 10 лет, До 12 лет, До 13 лет, До 15 лет, До 17 лет, До 19 лет"/>
    <s v="Да"/>
    <s v="Нет"/>
    <n v="2"/>
    <n v="2"/>
    <s v="Нет"/>
    <m/>
    <m/>
    <m/>
    <m/>
    <s v="Да"/>
    <s v="Нет"/>
    <m/>
  </r>
  <r>
    <d v="2025-12-08T06:43:02"/>
    <s v="Муниципальное бюджетное учреждение дополнительного образования «Глядянская детско-юношеская спортивная школа»"/>
    <x v="7"/>
    <x v="38"/>
    <s v="Глядянское "/>
    <s v="641400 Курганская область Притобольный район Глядянское улица Спортивная Д.14"/>
    <n v="83523999248"/>
    <s v="glyadyanka.sport@mail.ru"/>
    <s v="ДЮСШ"/>
    <s v="Нет"/>
    <n v="80"/>
    <x v="71"/>
    <x v="1"/>
    <x v="0"/>
    <x v="0"/>
    <n v="0"/>
    <n v="1"/>
    <n v="0"/>
    <n v="0"/>
    <n v="1"/>
    <n v="2"/>
    <n v="3"/>
    <n v="3"/>
    <n v="2"/>
    <n v="0"/>
    <n v="0"/>
    <n v="0"/>
    <s v="До 12 лет"/>
    <s v="Да"/>
    <s v="Да"/>
    <n v="2"/>
    <n v="1"/>
    <s v="Нет "/>
    <m/>
    <m/>
    <m/>
    <m/>
    <s v="Да"/>
    <s v="Нет"/>
    <s v="Нет финансирования для приобретения Спорт инвентарь , нет качественного футбольного поля, зарплата тренеров совместителей не дотягивает до 10000 руб. "/>
  </r>
  <r>
    <d v="2025-12-11T10:43:09"/>
    <s v=" МБОУ &quot;Гимназия №31&quot;"/>
    <x v="7"/>
    <x v="38"/>
    <s v="Курган"/>
    <s v="640018, Курганская область, г. Курган, ул. Пичугина, дом 36"/>
    <s v="+7 (352) 235283  +7 (352) 235185"/>
    <s v="gymnasium31@mail.ru"/>
    <s v="Спортивный клуб"/>
    <s v="Нет"/>
    <n v="87"/>
    <x v="23"/>
    <x v="1"/>
    <x v="0"/>
    <x v="0"/>
    <n v="0"/>
    <n v="0"/>
    <n v="1"/>
    <n v="3"/>
    <n v="9"/>
    <n v="2"/>
    <n v="2"/>
    <n v="2"/>
    <n v="0"/>
    <n v="1"/>
    <n v="0"/>
    <n v="0"/>
    <m/>
    <s v="Да"/>
    <s v="Нет"/>
    <n v="1"/>
    <n v="1"/>
    <s v="Чугунова Т.А., МС"/>
    <m/>
    <m/>
    <m/>
    <m/>
    <s v="Нет"/>
    <s v="Нет"/>
    <m/>
  </r>
  <r>
    <d v="2025-12-10T13:10:48"/>
    <s v="РЖД лицей №5"/>
    <x v="7"/>
    <x v="38"/>
    <s v="Курган"/>
    <s v="Курган ул. Карбышева д. 56"/>
    <s v="8(3522)436200"/>
    <s v="inrernat17.mihailova@yandex.ru"/>
    <s v="Лицей"/>
    <s v="Нет"/>
    <n v="65"/>
    <x v="23"/>
    <x v="1"/>
    <x v="0"/>
    <x v="0"/>
    <n v="0"/>
    <n v="7"/>
    <n v="1"/>
    <n v="0"/>
    <n v="6"/>
    <n v="3"/>
    <n v="0"/>
    <n v="1"/>
    <n v="2"/>
    <n v="0"/>
    <n v="0"/>
    <n v="0"/>
    <m/>
    <s v="Нет"/>
    <s v="Нет"/>
    <n v="1"/>
    <n v="1"/>
    <s v="-----"/>
    <m/>
    <m/>
    <m/>
    <m/>
    <s v="Нет"/>
    <s v="Нет"/>
    <m/>
  </r>
  <r>
    <d v="2025-12-10T12:15:46"/>
    <s v="МБОУ г. Кургана &quot; Лицей 12&quot;"/>
    <x v="7"/>
    <x v="38"/>
    <s v="Курган"/>
    <s v="улица Кравченко, 28"/>
    <n v="89080022097"/>
    <s v="rojina1967@mail.ru"/>
    <s v="Лицей"/>
    <s v="Нет"/>
    <n v="50"/>
    <x v="95"/>
    <x v="1"/>
    <x v="0"/>
    <x v="0"/>
    <n v="0"/>
    <n v="0"/>
    <n v="2"/>
    <n v="1"/>
    <n v="3"/>
    <n v="2"/>
    <n v="0"/>
    <n v="0"/>
    <n v="0"/>
    <n v="1"/>
    <n v="0"/>
    <n v="0"/>
    <m/>
    <s v="Да"/>
    <s v="Нет"/>
    <n v="1"/>
    <n v="1"/>
    <s v="Е.С. Рожина"/>
    <m/>
    <m/>
    <m/>
    <m/>
    <s v="Нет"/>
    <s v="Нет"/>
    <m/>
  </r>
  <r>
    <d v="2025-11-24T08:29:23"/>
    <s v="МБУДО &quot;ДЮСШ № 3&quot;"/>
    <x v="7"/>
    <x v="38"/>
    <s v="Курган"/>
    <s v="улица Тимофея Невежина, д. 7"/>
    <s v="+ 7 (3522)-65-17-88"/>
    <s v="dussh3-kgn@mail.ru"/>
    <s v="ДЮСШ"/>
    <s v="ДФЦ"/>
    <n v="370"/>
    <x v="111"/>
    <x v="1"/>
    <x v="0"/>
    <x v="0"/>
    <n v="1"/>
    <n v="4"/>
    <n v="5"/>
    <n v="4"/>
    <n v="14"/>
    <n v="8"/>
    <n v="5"/>
    <n v="1"/>
    <n v="0"/>
    <n v="0"/>
    <n v="1"/>
    <n v="0"/>
    <s v="Соревновательной практики достаточно"/>
    <s v="Да"/>
    <s v="Да"/>
    <n v="2"/>
    <n v="0"/>
    <s v="-"/>
    <m/>
    <m/>
    <m/>
    <m/>
    <s v="Да"/>
    <s v="Да"/>
    <s v="-"/>
  </r>
  <r>
    <d v="2025-11-17T13:43:03"/>
    <s v="МОУ «Будогощская СОШ им. М.  П. Галкина»"/>
    <x v="5"/>
    <x v="33"/>
    <s v="Будогощь "/>
    <s v="Ул. Учительская д6"/>
    <n v="89516462149"/>
    <s v="olga-polevova@yandex.ru"/>
    <s v="ШСК"/>
    <s v="Нет"/>
    <n v="60"/>
    <x v="70"/>
    <x v="1"/>
    <x v="0"/>
    <x v="0"/>
    <n v="0"/>
    <n v="1"/>
    <n v="5"/>
    <n v="6"/>
    <n v="3"/>
    <n v="6"/>
    <n v="6"/>
    <n v="6"/>
    <n v="5"/>
    <n v="4"/>
    <n v="3"/>
    <n v="3"/>
    <s v="До 10 лет, До 12 лет, До 13 лет"/>
    <s v="Да"/>
    <s v="Нет"/>
    <n v="1"/>
    <n v="1"/>
    <n v="0"/>
    <m/>
    <m/>
    <m/>
    <m/>
    <s v="Нет"/>
    <s v="Нет"/>
    <m/>
  </r>
  <r>
    <d v="2025-12-07T18:25:10"/>
    <s v="Куртамышское СУВУ"/>
    <x v="7"/>
    <x v="38"/>
    <s v="Куртамыш"/>
    <s v="641430, Курганская обл., г. Куртамыш, ул. Строителей, 19"/>
    <s v="+7(35249)2-13-04"/>
    <s v="kurtspu@mail.ru"/>
    <s v="Специальное учебно-воспитательная организация закрытого типа "/>
    <s v="Нет"/>
    <n v="20"/>
    <x v="23"/>
    <x v="1"/>
    <x v="0"/>
    <x v="0"/>
    <n v="4"/>
    <n v="9"/>
    <n v="4"/>
    <n v="0"/>
    <n v="3"/>
    <n v="0"/>
    <n v="0"/>
    <n v="0"/>
    <n v="0"/>
    <n v="0"/>
    <n v="0"/>
    <n v="0"/>
    <s v="До 17 лет, До 19 лет"/>
    <s v="Нет"/>
    <s v="Нет"/>
    <n v="1"/>
    <n v="0"/>
    <s v="Нет "/>
    <m/>
    <m/>
    <m/>
    <m/>
    <s v="Нет"/>
    <s v="Нет"/>
    <m/>
  </r>
  <r>
    <d v="2025-12-02T13:16:45"/>
    <s v="БУ ОО ДО &quot;СШОР &quot;Динамо&quot;"/>
    <x v="7"/>
    <x v="53"/>
    <s v="Омск"/>
    <s v="пр-кт. Мира, 1 А офис 121"/>
    <s v="8(3812)67-60-72"/>
    <s v="shk-dinamo@yandex.ru"/>
    <s v="СШОР"/>
    <s v="ДФЦ"/>
    <n v="1950"/>
    <x v="86"/>
    <x v="1"/>
    <x v="0"/>
    <x v="0"/>
    <n v="1"/>
    <n v="0"/>
    <n v="6"/>
    <n v="13"/>
    <n v="11"/>
    <n v="11"/>
    <n v="8"/>
    <n v="14"/>
    <n v="5"/>
    <n v="5"/>
    <n v="4"/>
    <n v="3"/>
    <s v="До 12 лет, До 17 лет"/>
    <s v="Да"/>
    <s v="Да"/>
    <n v="3"/>
    <n v="2"/>
    <s v="Загрутдинов Р. С-УЕФА, Трофимова Е.А., Терехина В.А."/>
    <n v="1"/>
    <m/>
    <m/>
    <m/>
    <s v="Да"/>
    <s v="Нет"/>
    <m/>
  </r>
  <r>
    <d v="2025-12-05T07:44:43"/>
    <s v="БУ ОО СШ &quot;Красная звезда&quot;"/>
    <x v="7"/>
    <x v="53"/>
    <s v="Омск"/>
    <s v="ул. Масленникова, 142/1"/>
    <n v="365904"/>
    <s v="redstar_sport@bk.ru "/>
    <s v="СШ"/>
    <s v="Нет"/>
    <n v="183"/>
    <x v="117"/>
    <x v="1"/>
    <x v="0"/>
    <x v="0"/>
    <n v="0"/>
    <n v="0"/>
    <n v="14"/>
    <n v="19"/>
    <n v="31"/>
    <n v="27"/>
    <n v="42"/>
    <n v="26"/>
    <n v="12"/>
    <n v="10"/>
    <n v="2"/>
    <n v="0"/>
    <s v="До 17 лет"/>
    <s v="Нет"/>
    <s v="Да"/>
    <n v="6"/>
    <n v="4"/>
    <s v="Иванова Е.Н.- С_x000a_Муравьева Е.А. - С_x000a_Мельников Н.К. - С"/>
    <n v="3"/>
    <m/>
    <m/>
    <m/>
    <s v="Да"/>
    <s v="Нет"/>
    <s v="Желание участвовать командой спортивной школы в ЮФЛ-16 &quot;девочки&quot;, т.к. U-14 команда участвует, логичный переход команд и сохранность контингента."/>
  </r>
  <r>
    <d v="2025-12-05T07:27:25"/>
    <s v="БУ ДО г. Омска &quot;СШОР &quot;АОФ &quot;Иртыш&quot;"/>
    <x v="7"/>
    <x v="53"/>
    <s v="Омск"/>
    <s v="ул.3 Молодёжная,55"/>
    <n v="561019"/>
    <s v="du_dod_irtysh@mail.ru"/>
    <s v="СШОР"/>
    <s v="РЦ"/>
    <n v="1628"/>
    <x v="71"/>
    <x v="1"/>
    <x v="0"/>
    <x v="0"/>
    <n v="0"/>
    <n v="0"/>
    <n v="0"/>
    <n v="12"/>
    <n v="0"/>
    <n v="0"/>
    <n v="0"/>
    <n v="0"/>
    <n v="0"/>
    <n v="0"/>
    <n v="0"/>
    <n v="0"/>
    <s v="Соревновательной практики достаточно"/>
    <s v="Нет"/>
    <s v="Нет"/>
    <n v="1"/>
    <n v="1"/>
    <s v="Муравьёва Е.А. С - УЕФА"/>
    <n v="1"/>
    <m/>
    <m/>
    <m/>
    <s v="Да"/>
    <s v="Нет"/>
    <m/>
  </r>
  <r>
    <d v="2025-12-02T10:27:54"/>
    <s v="МБОУ ДО СШ"/>
    <x v="7"/>
    <x v="53"/>
    <s v="Нововаршавка"/>
    <s v="ул. Северная 39"/>
    <n v="83815221426"/>
    <s v="doddush@n-varsh.obr55.ru"/>
    <s v="СШ"/>
    <s v="Нет"/>
    <n v="140"/>
    <x v="8"/>
    <x v="1"/>
    <x v="0"/>
    <x v="0"/>
    <n v="0"/>
    <n v="0"/>
    <n v="0"/>
    <n v="0"/>
    <n v="0"/>
    <n v="1"/>
    <n v="0"/>
    <n v="1"/>
    <n v="0"/>
    <n v="0"/>
    <n v="0"/>
    <n v="0"/>
    <s v="у нас нет команды девушек- поэтому не в курсе"/>
    <s v="Да"/>
    <s v="Нет"/>
    <n v="0"/>
    <n v="0"/>
    <s v="нет"/>
    <m/>
    <m/>
    <m/>
    <m/>
    <s v="Да"/>
    <s v="Нет"/>
    <m/>
  </r>
  <r>
    <d v="2025-12-02T11:37:15"/>
    <s v="ЖФК Нижние Муллы"/>
    <x v="7"/>
    <x v="54"/>
    <s v="Нижние Муллы"/>
    <s v="ул. Школьная 7"/>
    <n v="79523186817"/>
    <s v="11111@mail.ru"/>
    <s v="спортивный клуб"/>
    <s v="Нет"/>
    <n v="15"/>
    <x v="3"/>
    <x v="1"/>
    <x v="0"/>
    <x v="2"/>
    <n v="2"/>
    <n v="0"/>
    <n v="5"/>
    <n v="5"/>
    <n v="0"/>
    <n v="2"/>
    <n v="0"/>
    <n v="0"/>
    <n v="0"/>
    <n v="0"/>
    <n v="0"/>
    <n v="0"/>
    <s v="Соревновательной практики достаточно"/>
    <s v="Нет"/>
    <s v="Нет"/>
    <n v="2"/>
    <n v="0"/>
    <s v="А.В. Дубовец"/>
    <m/>
    <m/>
    <m/>
    <m/>
    <s v="Нет"/>
    <s v="Нет"/>
    <m/>
  </r>
  <r>
    <d v="2025-12-10T12:23:11"/>
    <s v="МАУ ДО &quot;Очерская спортивная школа&quot;"/>
    <x v="7"/>
    <x v="54"/>
    <s v="Очёр"/>
    <s v="Белинского, 69"/>
    <s v="+7(342) 783-83-04"/>
    <s v="och_sportschool@mail.ru"/>
    <s v="СШ"/>
    <s v="Нет"/>
    <n v="136"/>
    <x v="31"/>
    <x v="0"/>
    <x v="5"/>
    <x v="4"/>
    <n v="0"/>
    <n v="3"/>
    <n v="0"/>
    <n v="0"/>
    <n v="0"/>
    <n v="12"/>
    <n v="17"/>
    <n v="1"/>
    <n v="0"/>
    <n v="0"/>
    <n v="0"/>
    <n v="0"/>
    <m/>
    <s v="Да"/>
    <s v="Нет"/>
    <n v="1"/>
    <n v="1"/>
    <s v="Е.В. Агеева, 1 категория"/>
    <m/>
    <m/>
    <m/>
    <m/>
    <s v="Нет"/>
    <s v="Нет"/>
    <m/>
  </r>
  <r>
    <d v="2025-12-10T10:08:59"/>
    <s v="&quot;Школа футбольного мастерства &quot;"/>
    <x v="7"/>
    <x v="54"/>
    <s v="Пермь"/>
    <s v="ул. Куйбышева 111 а"/>
    <n v="79197060465"/>
    <s v="partnersfm159@gmail.com"/>
    <s v="клуб"/>
    <s v="Нет"/>
    <n v="70"/>
    <x v="85"/>
    <x v="5"/>
    <x v="0"/>
    <x v="0"/>
    <n v="10"/>
    <n v="0"/>
    <n v="14"/>
    <n v="0"/>
    <n v="0"/>
    <n v="14"/>
    <n v="14"/>
    <n v="0"/>
    <n v="0"/>
    <n v="16"/>
    <n v="0"/>
    <n v="0"/>
    <m/>
    <s v="Нет"/>
    <s v="Нет"/>
    <n v="2"/>
    <n v="0"/>
    <s v="Р.И. Гимадеев"/>
    <m/>
    <m/>
    <m/>
    <m/>
    <s v="Нет"/>
    <s v="Нет"/>
    <m/>
  </r>
  <r>
    <d v="2025-12-10T08:46:10"/>
    <s v="ЖФК «Талисман»"/>
    <x v="7"/>
    <x v="54"/>
    <s v="Пермь"/>
    <s v="ул.Баумана 5"/>
    <n v="79824559148"/>
    <s v="liza.semerikova.1998@mail.ru"/>
    <s v="футбольный клуб"/>
    <s v="Нет"/>
    <n v="20"/>
    <x v="23"/>
    <x v="2"/>
    <x v="3"/>
    <x v="1"/>
    <n v="2"/>
    <n v="1"/>
    <n v="2"/>
    <n v="0"/>
    <n v="0"/>
    <n v="0"/>
    <n v="0"/>
    <n v="0"/>
    <n v="0"/>
    <n v="0"/>
    <n v="0"/>
    <n v="0"/>
    <s v="Соревновательной практики достаточно"/>
    <s v="Нет"/>
    <s v="Нет"/>
    <n v="0"/>
    <n v="0"/>
    <s v="И.А. Долматов"/>
    <m/>
    <m/>
    <m/>
    <m/>
    <s v="Нет"/>
    <s v="Нет"/>
    <m/>
  </r>
  <r>
    <d v="2025-11-20T14:31:51"/>
    <s v="ГБУ ДО ПК  «СШОР Академия игровых видов спорта»"/>
    <x v="7"/>
    <x v="54"/>
    <s v="Пермь"/>
    <s v="Юридический: 614065, г. Пермь, Шоссе Космонавтов, 158-а"/>
    <s v="(342) 215-88-59"/>
    <s v="info-academy59@yandex.ru"/>
    <s v="СШОР"/>
    <s v="РЦ"/>
    <n v="582"/>
    <x v="118"/>
    <x v="5"/>
    <x v="4"/>
    <x v="4"/>
    <n v="10"/>
    <n v="6"/>
    <n v="9"/>
    <n v="15"/>
    <n v="12"/>
    <n v="14"/>
    <n v="18"/>
    <n v="19"/>
    <n v="13"/>
    <n v="8"/>
    <n v="5"/>
    <n v="0"/>
    <s v="Соревновательной практики достаточно"/>
    <s v="Нет"/>
    <s v="Да"/>
    <n v="6"/>
    <n v="4"/>
    <s v="Баталова Ю.В., Касаткина О.Ю., Нужин Д.В., Ленешмидт А. - у всех В-УЕФА, Зуева М.А. - С-УЕФА, Смирнова М.Р. - нет."/>
    <n v="1"/>
    <n v="4"/>
    <m/>
    <m/>
    <s v="Да"/>
    <s v="Нет"/>
    <s v="1) Отсутствуют в штате начальник и администратор женской молодежной ФК;              2) Отсутствует в штате в женском отделении - инструктор-методист;                                3) Нет спортивного оборудования и ноутбуков для тренеров.                                             4) Огромнейшие проблемы с присвоением спортивных разрядов, т.к. например, в прошлом году, наша команда девочек в Первенстве РФ заняли 3 место, но Минспорт Пермского края отказал по причине, что обслуживающие судьи данного соревнования не соответствовали требованиям Положения ЕВСК, утвержденного приказом Минспорта России от 19.12.2022 №1255 (категория судей не соответствовала). Мы сразу же написали письмо во все инстанции, но ему не дали &quot;хода&quot; свыше. Если у вас имеется возможность написать по данной проблеме, то можете указать вашу электронку на мой телефон 89824746901 (Павел Генералов, инструктор-методист Академии) и я вам вышлю, подготовленное мною письмо. Данная проблема не только спортивных школ, но и всех Федераций, всё взаимосвязано. А ведь, кто-то готовит федеральные стандарты, нам скидываю госзадания, а как мы их можем выполнить, если мы даже такой сильной команде, занявшей 3 место в России не можем присвоить спортивный разряд!?"/>
  </r>
  <r>
    <d v="2025-12-08T15:28:07"/>
    <s v="&quot;Спортивная школа по футболу &quot;Олимп&quot;"/>
    <x v="7"/>
    <x v="54"/>
    <s v="Чусовской район"/>
    <s v="618204, Пермский край, г. Чусовой, ул. Сивкова, 8а"/>
    <s v="8 (34-256)4-32-09"/>
    <s v="sportschool-olimp@yandex.ru"/>
    <s v="СШ"/>
    <s v="Нет"/>
    <n v="156"/>
    <x v="22"/>
    <x v="1"/>
    <x v="0"/>
    <x v="15"/>
    <n v="2"/>
    <n v="1"/>
    <n v="0"/>
    <n v="15"/>
    <n v="10"/>
    <n v="3"/>
    <n v="0"/>
    <n v="0"/>
    <n v="10"/>
    <n v="6"/>
    <n v="0"/>
    <n v="3"/>
    <m/>
    <s v="Да"/>
    <s v="Нет"/>
    <n v="2"/>
    <n v="1"/>
    <s v="А.Н. Никулина, Н.Н. Рулденко"/>
    <m/>
    <m/>
    <m/>
    <m/>
    <s v="Да"/>
    <s v="Да"/>
    <m/>
  </r>
  <r>
    <d v="2025-12-10T15:42:52"/>
    <s v="МАУ СШ Муниципального р-на Уфимский р-он РБ"/>
    <x v="7"/>
    <x v="55"/>
    <s v="Авдон"/>
    <s v="Ул. 60 лет СССР дом 2"/>
    <s v="8-347-246-58-73"/>
    <s v="ufimsportschool@ya.ru"/>
    <s v="СШ"/>
    <s v="Нет"/>
    <n v="180"/>
    <x v="46"/>
    <x v="1"/>
    <x v="0"/>
    <x v="0"/>
    <n v="0"/>
    <n v="0"/>
    <n v="7"/>
    <n v="4"/>
    <n v="4"/>
    <n v="20"/>
    <n v="3"/>
    <n v="4"/>
    <n v="0"/>
    <n v="0"/>
    <n v="0"/>
    <n v="0"/>
    <m/>
    <s v="Да"/>
    <s v="Нет"/>
    <n v="1"/>
    <n v="0"/>
    <s v="ВВ Рыжков"/>
    <m/>
    <m/>
    <m/>
    <m/>
    <s v="Да"/>
    <s v="Да"/>
    <m/>
  </r>
  <r>
    <d v="2025-11-20T08:34:29"/>
    <s v="Муниципальное бюджетное учреждение дополнительного образования Детско-юношеская спортивная школа муниципального района Калтасинский район Республики Башкортостан"/>
    <x v="7"/>
    <x v="55"/>
    <s v="Калтасы"/>
    <s v="РБ, Калтасинский район, с.Калтасы, ул.Тельмана, 11А"/>
    <n v="83477942038"/>
    <s v="dushka-sport@mail.ru"/>
    <s v="ДЮСШ"/>
    <s v="Нет"/>
    <n v="135"/>
    <x v="28"/>
    <x v="1"/>
    <x v="0"/>
    <x v="0"/>
    <n v="0"/>
    <n v="0"/>
    <n v="1"/>
    <n v="10"/>
    <n v="0"/>
    <n v="8"/>
    <n v="5"/>
    <n v="3"/>
    <n v="4"/>
    <n v="1"/>
    <n v="1"/>
    <n v="0"/>
    <s v="Соревновательной практики достаточно"/>
    <s v="Да"/>
    <s v="Да"/>
    <n v="0"/>
    <n v="0"/>
    <n v="0"/>
    <m/>
    <m/>
    <m/>
    <m/>
    <s v="Да"/>
    <s v="Нет"/>
    <m/>
  </r>
  <r>
    <d v="2025-12-10T10:26:39"/>
    <s v="ДЮСШ Кармаскалы"/>
    <x v="7"/>
    <x v="55"/>
    <s v="Кармаскалы"/>
    <s v="Кирова 54Б"/>
    <s v="8-34765-2-12-17"/>
    <s v="dysh25karm@yandex.ru"/>
    <s v="ДЮСШ"/>
    <s v="Нет"/>
    <n v="78"/>
    <x v="23"/>
    <x v="0"/>
    <x v="5"/>
    <x v="4"/>
    <n v="1"/>
    <n v="0"/>
    <n v="3"/>
    <n v="3"/>
    <n v="5"/>
    <n v="0"/>
    <n v="0"/>
    <n v="4"/>
    <n v="0"/>
    <n v="0"/>
    <n v="0"/>
    <n v="0"/>
    <m/>
    <s v="Да"/>
    <s v="Нет"/>
    <n v="2"/>
    <n v="0"/>
    <s v="Ф.Г. Рамазанов, Султакаев З.Х."/>
    <m/>
    <m/>
    <m/>
    <m/>
    <s v="Да"/>
    <s v="Нет"/>
    <m/>
  </r>
  <r>
    <d v="2025-12-08T15:35:44"/>
    <s v="МБУ ДО СШ ГО г. Нефтекамск РБ"/>
    <x v="7"/>
    <x v="55"/>
    <s v="Нефтекамск"/>
    <s v="Ленина, д. 23А"/>
    <n v="73478356282"/>
    <s v="sport_neft@mail.ru"/>
    <s v="СШ"/>
    <s v="Нет"/>
    <n v="350"/>
    <x v="22"/>
    <x v="0"/>
    <x v="5"/>
    <x v="4"/>
    <n v="1"/>
    <n v="5"/>
    <n v="12"/>
    <n v="18"/>
    <n v="5"/>
    <n v="3"/>
    <n v="0"/>
    <n v="0"/>
    <n v="7"/>
    <n v="0"/>
    <n v="0"/>
    <n v="6"/>
    <m/>
    <s v="Да"/>
    <s v="Нет"/>
    <n v="1"/>
    <n v="1"/>
    <s v="И.А. Салахова, 1 кат."/>
    <m/>
    <m/>
    <m/>
    <m/>
    <s v="Да"/>
    <s v="Да"/>
    <m/>
  </r>
  <r>
    <d v="2025-12-11T09:32:12"/>
    <s v="МАУ ДО СШ &quot;Стимул&quot;"/>
    <x v="7"/>
    <x v="55"/>
    <s v="Приютово"/>
    <s v="РБ, Белебеевский район, р.п.Приютово, ул. Первомайская д.20"/>
    <n v="73478672926"/>
    <s v="ckd_priyutovo@mail.ru"/>
    <s v="СШ"/>
    <s v="Нет"/>
    <n v="86"/>
    <x v="16"/>
    <x v="1"/>
    <x v="0"/>
    <x v="0"/>
    <n v="0"/>
    <n v="0"/>
    <n v="0"/>
    <n v="1"/>
    <n v="1"/>
    <n v="2"/>
    <n v="1"/>
    <n v="2"/>
    <n v="2"/>
    <n v="3"/>
    <n v="2"/>
    <n v="0"/>
    <s v="До 13 лет"/>
    <s v="Да"/>
    <s v="Нет"/>
    <n v="1"/>
    <n v="0"/>
    <s v="Д. Никитин, тренер-преподаватель"/>
    <m/>
    <m/>
    <m/>
    <m/>
    <s v="Да"/>
    <s v="Да"/>
    <s v="проведение мероприятия для детей с привлечением известных футболистов"/>
  </r>
  <r>
    <d v="2025-12-05T10:10:34"/>
    <s v="МАУ ДО СШ &quot;Салават&quot; г. Салавата"/>
    <x v="7"/>
    <x v="55"/>
    <s v="Салават"/>
    <s v="г. Салават, ул. Пархоменко, д.8"/>
    <n v="83476385177"/>
    <s v="my_gsksalavat@mail.ru"/>
    <s v="СШ"/>
    <s v="Футбольная академия"/>
    <n v="267"/>
    <x v="84"/>
    <x v="9"/>
    <x v="4"/>
    <x v="3"/>
    <n v="5"/>
    <n v="2"/>
    <n v="10"/>
    <n v="2"/>
    <n v="2"/>
    <n v="2"/>
    <n v="5"/>
    <n v="2"/>
    <n v="0"/>
    <n v="2"/>
    <n v="0"/>
    <n v="0"/>
    <s v="До 12 лет, До 13 лет, До 15 лет, До 17 лет"/>
    <s v="Да"/>
    <s v="Да"/>
    <n v="2"/>
    <n v="0"/>
    <s v="В.В. Калмыков, П.А. Будаев"/>
    <m/>
    <m/>
    <m/>
    <m/>
    <s v="Да"/>
    <s v="Да"/>
    <m/>
  </r>
  <r>
    <d v="2025-12-04T13:05:30"/>
    <s v="Муниципальное автономное учреждение дополнительного образования &quot;Спортивная школа № 10&quot; городского округа город Уфа Республики Башкортостан "/>
    <x v="7"/>
    <x v="55"/>
    <s v="Уфа"/>
    <s v="450071, г. Уфа, ул. Менделеева, д. 199/1"/>
    <s v="8(347)232-63-00"/>
    <s v="sdushor10@mail.ru"/>
    <s v="СШ"/>
    <s v="ДФЦ"/>
    <n v="588"/>
    <x v="74"/>
    <x v="1"/>
    <x v="3"/>
    <x v="7"/>
    <n v="5"/>
    <n v="10"/>
    <n v="14"/>
    <n v="16"/>
    <n v="17"/>
    <n v="15"/>
    <n v="11"/>
    <n v="15"/>
    <n v="9"/>
    <n v="0"/>
    <n v="0"/>
    <n v="0"/>
    <s v="До 10 лет"/>
    <s v="Нет"/>
    <s v="Да"/>
    <n v="3"/>
    <n v="3"/>
    <s v="Рашитова А.М. С-УЕФА_x000a_Лайне Ю.А. С-УЕФА"/>
    <n v="2"/>
    <m/>
    <m/>
    <m/>
    <s v="Да"/>
    <s v="Нет"/>
    <m/>
  </r>
  <r>
    <d v="2025-11-21T14:51:47"/>
    <s v="АНО &quot;ФК &quot;Уфа&quot;"/>
    <x v="7"/>
    <x v="55"/>
    <s v="Уфа"/>
    <s v="450112, г.Уфа, ул.Комарова 9"/>
    <s v="(347)287-97-00"/>
    <s v="info@fcufa.pro"/>
    <s v="АНО &quot;ФК &quot;Уфа&quot;"/>
    <s v="РЦ"/>
    <n v="705"/>
    <x v="62"/>
    <x v="1"/>
    <x v="0"/>
    <x v="0"/>
    <n v="10"/>
    <n v="10"/>
    <n v="9"/>
    <n v="11"/>
    <n v="8"/>
    <n v="12"/>
    <n v="0"/>
    <n v="0"/>
    <n v="0"/>
    <n v="0"/>
    <n v="0"/>
    <n v="0"/>
    <s v="До 10 лет, До 19 лет"/>
    <s v="Нет"/>
    <s v="Да"/>
    <n v="5"/>
    <n v="4"/>
    <s v="Чернова Н.Г. В-УЕФА, Рашитова А.Н. С-УЕФА, Лайне Ю.А. С-УЕФА"/>
    <n v="2"/>
    <n v="1"/>
    <m/>
    <m/>
    <s v="Да"/>
    <s v="Нет"/>
    <m/>
  </r>
  <r>
    <d v="2025-12-11T11:14:00"/>
    <s v="МАУ ДО СШ &quot;Олимп&quot;"/>
    <x v="7"/>
    <x v="56"/>
    <s v="Рефтинский"/>
    <s v="п. Рефтинский ул. Молодежная 2а"/>
    <n v="83436532517"/>
    <s v="dushreft@mail.ru"/>
    <s v="СШ"/>
    <s v="Нет"/>
    <n v="71"/>
    <x v="95"/>
    <x v="1"/>
    <x v="0"/>
    <x v="0"/>
    <n v="0"/>
    <n v="0"/>
    <n v="0"/>
    <n v="0"/>
    <n v="0"/>
    <n v="2"/>
    <n v="0"/>
    <n v="3"/>
    <n v="0"/>
    <n v="2"/>
    <n v="2"/>
    <n v="0"/>
    <s v="До 10 лет, До 12 лет"/>
    <s v="Да"/>
    <s v="Да"/>
    <n v="1"/>
    <n v="0"/>
    <s v="Румянцев Д.А. 1 категория"/>
    <m/>
    <m/>
    <m/>
    <m/>
    <s v="Да"/>
    <s v="Да"/>
    <m/>
  </r>
  <r>
    <d v="2025-12-11T10:35:11"/>
    <s v="МАУ ДО &quot;СШОР &quot;Лидер&quot;"/>
    <x v="7"/>
    <x v="56"/>
    <s v="Верхняя Пышма (Свердловская область)"/>
    <s v="Свердловская область, г.Верхняя Пышма, с.Балтым, ул. Первомайская, 50А"/>
    <s v="8 (34368) 7-71-52"/>
    <s v="lidervp74@mail.ru"/>
    <s v="СШОР"/>
    <s v="Нет"/>
    <n v="211"/>
    <x v="15"/>
    <x v="1"/>
    <x v="0"/>
    <x v="0"/>
    <n v="0"/>
    <n v="2"/>
    <n v="5"/>
    <n v="3"/>
    <n v="1"/>
    <n v="0"/>
    <n v="0"/>
    <n v="5"/>
    <n v="4"/>
    <n v="3"/>
    <n v="2"/>
    <n v="0"/>
    <m/>
    <s v="Да"/>
    <s v="Да"/>
    <n v="2"/>
    <n v="0"/>
    <s v="Коршунов Н.М., Павлов П.В."/>
    <m/>
    <m/>
    <m/>
    <m/>
    <s v="Да"/>
    <s v="Да"/>
    <m/>
  </r>
  <r>
    <d v="2025-11-24T12:33:09"/>
    <s v="МБУ ФОЦ Сигнал"/>
    <x v="7"/>
    <x v="56"/>
    <s v="Артёмовский"/>
    <s v="улица Пригородная, 2 б"/>
    <n v="73436357234"/>
    <s v="cignal2012@mail.ru"/>
    <s v="Физкультурно-оздоровительный центр"/>
    <s v="Нет"/>
    <n v="130"/>
    <x v="30"/>
    <x v="1"/>
    <x v="0"/>
    <x v="0"/>
    <n v="0"/>
    <n v="0"/>
    <n v="0"/>
    <n v="0"/>
    <n v="8"/>
    <n v="8"/>
    <n v="6"/>
    <n v="3"/>
    <n v="3"/>
    <n v="2"/>
    <n v="0"/>
    <n v="0"/>
    <s v="Соревновательной практики достаточно"/>
    <s v="Нет"/>
    <s v="Нет"/>
    <n v="2"/>
    <n v="1"/>
    <s v="Федоров В. Б.  С-УЕФА"/>
    <n v="1"/>
    <m/>
    <m/>
    <m/>
    <s v="Нет"/>
    <s v="Нет"/>
    <s v="Нет"/>
  </r>
  <r>
    <d v="2025-11-19T13:34:55"/>
    <s v="МБУСШ &quot;Малахит&quot; Асбестовского Мо"/>
    <x v="7"/>
    <x v="56"/>
    <s v="Асбест"/>
    <s v="г. Асбест, ул. Некрасова, 23"/>
    <s v="(34365)2-02-79"/>
    <s v="sportmalahit@yandex.ru"/>
    <s v="СШ"/>
    <s v="Нет"/>
    <n v="186"/>
    <x v="9"/>
    <x v="1"/>
    <x v="0"/>
    <x v="0"/>
    <n v="1"/>
    <n v="0"/>
    <n v="0"/>
    <n v="1"/>
    <n v="1"/>
    <n v="1"/>
    <n v="1"/>
    <n v="0"/>
    <n v="0"/>
    <n v="0"/>
    <n v="0"/>
    <n v="0"/>
    <m/>
    <s v="Да"/>
    <s v="Нет"/>
    <n v="0"/>
    <n v="0"/>
    <n v="0"/>
    <m/>
    <m/>
    <m/>
    <m/>
    <s v="Да"/>
    <s v="Нет"/>
    <s v="-"/>
  </r>
  <r>
    <d v="2025-11-19T13:57:37"/>
    <s v="Муниципальное учреждение дополнительного образования &quot;Спортивная школа муниципального образования Алапаевское&quot;"/>
    <x v="7"/>
    <x v="56"/>
    <s v="Верхняя Синячиха"/>
    <s v="624691 Свердловская область, Алапаевский район, пгт. Верхняя Синячиха, ул. Октябрьская, д.17А, корп. 1."/>
    <n v="83434636076"/>
    <s v="ar_dussh@mail.ru"/>
    <s v="СШ"/>
    <s v="Нет"/>
    <n v="220"/>
    <x v="66"/>
    <x v="0"/>
    <x v="5"/>
    <x v="0"/>
    <n v="0"/>
    <n v="0"/>
    <n v="0"/>
    <n v="0"/>
    <n v="0"/>
    <n v="0"/>
    <n v="0"/>
    <n v="0"/>
    <n v="1"/>
    <n v="0"/>
    <n v="2"/>
    <n v="2"/>
    <s v="В спортивной школе нет команд девочек для участия в соревнованиях"/>
    <s v="Да"/>
    <s v="Нет"/>
    <n v="2"/>
    <n v="1"/>
    <s v="нет"/>
    <m/>
    <m/>
    <m/>
    <m/>
    <s v="Да"/>
    <s v="Нет"/>
    <m/>
  </r>
  <r>
    <d v="2025-12-02T11:23:12"/>
    <s v="МБОУ ДО СШ по футболу ВИЗ"/>
    <x v="7"/>
    <x v="56"/>
    <s v="Екатеринбург"/>
    <s v="г.Екатеринбург, ул.Опалихинская 23а"/>
    <n v="3433674244"/>
    <s v="mf-school-viz@mail.ru"/>
    <s v="СШ"/>
    <s v="Нет"/>
    <n v="480"/>
    <x v="79"/>
    <x v="1"/>
    <x v="0"/>
    <x v="2"/>
    <n v="6"/>
    <n v="12"/>
    <n v="2"/>
    <n v="3"/>
    <n v="10"/>
    <n v="10"/>
    <n v="10"/>
    <n v="3"/>
    <n v="3"/>
    <n v="2"/>
    <n v="1"/>
    <n v="2"/>
    <s v="Соревновательной практики достаточно"/>
    <s v="Да"/>
    <s v="Нет"/>
    <n v="2"/>
    <n v="2"/>
    <s v="Шарунова О.А. &quot;С&quot; УЕФА, Булатова Е.А. &quot;С&quot; УЕФА"/>
    <n v="2"/>
    <m/>
    <m/>
    <m/>
    <s v="Да"/>
    <s v="Нет"/>
    <m/>
  </r>
  <r>
    <d v="2025-11-24T15:03:10"/>
    <s v="МБОУ ДО СШ &quot;Буревестник&quot;"/>
    <x v="7"/>
    <x v="56"/>
    <s v="Екатеринбург"/>
    <s v="620137, г. Екатеринбург, ул. Академическая, дом 10"/>
    <s v="8 (343) 317-93-95"/>
    <s v="burevestnik@ekadm.ru"/>
    <s v="СШ"/>
    <s v="Нет"/>
    <n v="465"/>
    <x v="93"/>
    <x v="1"/>
    <x v="0"/>
    <x v="0"/>
    <n v="0"/>
    <n v="0"/>
    <n v="0"/>
    <n v="0"/>
    <n v="0"/>
    <n v="0"/>
    <n v="2"/>
    <n v="1"/>
    <n v="0"/>
    <n v="0"/>
    <n v="0"/>
    <n v="0"/>
    <m/>
    <s v="Да"/>
    <s v="Да"/>
    <n v="2"/>
    <n v="0"/>
    <s v="-"/>
    <m/>
    <m/>
    <m/>
    <m/>
    <s v="Да"/>
    <s v="Да"/>
    <m/>
  </r>
  <r>
    <d v="2025-12-04T15:22:46"/>
    <s v="ЖФК &quot;Юма&quot;"/>
    <x v="7"/>
    <x v="56"/>
    <s v="Екатеринбург"/>
    <s v="г. Екатеринбург, ул. Мичурина, 206"/>
    <n v="79326007664"/>
    <s v="sta070380@gmail.com"/>
    <s v="ЖФК"/>
    <s v="Нет"/>
    <n v="17"/>
    <x v="3"/>
    <x v="22"/>
    <x v="0"/>
    <x v="2"/>
    <n v="0"/>
    <n v="0"/>
    <n v="0"/>
    <n v="0"/>
    <n v="0"/>
    <n v="0"/>
    <n v="0"/>
    <n v="0"/>
    <n v="0"/>
    <n v="0"/>
    <n v="0"/>
    <n v="0"/>
    <m/>
    <s v="Нет"/>
    <s v="Да"/>
    <n v="2"/>
    <n v="0"/>
    <s v="Кротов Дмитрий "/>
    <m/>
    <m/>
    <m/>
    <m/>
    <s v="Нет"/>
    <s v="Нет"/>
    <m/>
  </r>
  <r>
    <d v="2025-12-02T12:16:23"/>
    <s v="ГАУ ДО СО СШ &quot;Академия ФК &quot;Урал&quot;"/>
    <x v="7"/>
    <x v="56"/>
    <s v="Екатеринбург"/>
    <s v="г.Екатеринбург, ул. Фестивальная, 10"/>
    <n v="3433671957"/>
    <s v="Urfaso@yandex.ru"/>
    <s v="СШ"/>
    <s v="РЦ"/>
    <n v="243"/>
    <x v="40"/>
    <x v="5"/>
    <x v="1"/>
    <x v="7"/>
    <n v="7"/>
    <n v="8"/>
    <n v="8"/>
    <n v="10"/>
    <n v="3"/>
    <n v="0"/>
    <n v="0"/>
    <n v="0"/>
    <n v="0"/>
    <n v="0"/>
    <n v="0"/>
    <n v="0"/>
    <s v="До 10 лет, До 12 лет, До 13 лет, До 15 лет, До 17 лет, До 19 лет"/>
    <s v="Нет"/>
    <s v="Нет"/>
    <n v="2"/>
    <n v="1"/>
    <s v="Засыпкин Н.А С-УЕФА, Жижова А.С. В_УЕФА"/>
    <n v="2"/>
    <m/>
    <m/>
    <m/>
    <s v="Да"/>
    <s v="Да"/>
    <s v="нет"/>
  </r>
  <r>
    <d v="2025-12-11T11:18:52"/>
    <s v="УГЛТУ"/>
    <x v="7"/>
    <x v="56"/>
    <s v="Екатеринбург"/>
    <s v="Сибирский тракт 37"/>
    <n v="89961770992"/>
    <s v="shirinyansv@m.usfeu.ru"/>
    <s v="СК"/>
    <s v="Нет"/>
    <n v="98"/>
    <x v="34"/>
    <x v="6"/>
    <x v="1"/>
    <x v="1"/>
    <n v="5"/>
    <n v="1"/>
    <n v="0"/>
    <n v="0"/>
    <n v="0"/>
    <n v="0"/>
    <n v="0"/>
    <n v="0"/>
    <n v="0"/>
    <n v="0"/>
    <n v="0"/>
    <n v="0"/>
    <m/>
    <s v="Нет"/>
    <s v="Нет"/>
    <n v="1"/>
    <n v="0"/>
    <s v="Чермашенцев П.В."/>
    <m/>
    <m/>
    <m/>
    <m/>
    <s v="Нет"/>
    <s v="Нет"/>
    <m/>
  </r>
  <r>
    <d v="2025-11-24T15:23:49"/>
    <s v="ЖФК ЦСКА-Екатеринбург"/>
    <x v="7"/>
    <x v="56"/>
    <s v="Екатеринбург"/>
    <s v="Ул. Кузнечная 91а"/>
    <n v="89090219981"/>
    <s v="prosto_efimych@mail.ru"/>
    <s v="Коммерческая школа"/>
    <s v="Нет"/>
    <n v="122"/>
    <x v="39"/>
    <x v="31"/>
    <x v="3"/>
    <x v="2"/>
    <n v="0"/>
    <n v="0"/>
    <n v="0"/>
    <n v="1"/>
    <n v="1"/>
    <n v="2"/>
    <n v="2"/>
    <n v="2"/>
    <n v="6"/>
    <n v="2"/>
    <n v="0"/>
    <n v="0"/>
    <s v="Соревновательной практики достаточно"/>
    <s v="Нет"/>
    <s v="Нет"/>
    <n v="2"/>
    <n v="2"/>
    <s v="Ефимова К.А. С-УЕФА"/>
    <n v="1"/>
    <m/>
    <m/>
    <m/>
    <s v="Нет"/>
    <s v="Нет"/>
    <m/>
  </r>
  <r>
    <d v="2025-12-10T09:51:00"/>
    <s v="ЖМФК ЦСКА-Екатеринбург "/>
    <x v="7"/>
    <x v="56"/>
    <s v="Екатеринбург"/>
    <s v="Ул. Кузнечная 91а "/>
    <n v="89090219981"/>
    <s v="wfc_cska_ekb@mail.ru"/>
    <s v="футбольный клуб"/>
    <s v="Нет"/>
    <n v="55"/>
    <x v="87"/>
    <x v="29"/>
    <x v="3"/>
    <x v="4"/>
    <n v="4"/>
    <n v="3"/>
    <n v="1"/>
    <n v="1"/>
    <n v="2"/>
    <n v="1"/>
    <n v="4"/>
    <n v="2"/>
    <n v="6"/>
    <n v="2"/>
    <n v="1"/>
    <n v="0"/>
    <m/>
    <s v="Нет"/>
    <s v="Нет"/>
    <n v="1"/>
    <n v="1"/>
    <s v="К.А. Ефимова"/>
    <m/>
    <m/>
    <m/>
    <m/>
    <s v="Нет"/>
    <s v="Нет"/>
    <m/>
  </r>
  <r>
    <d v="2025-11-24T10:21:30"/>
    <s v="Дюк Атлант"/>
    <x v="7"/>
    <x v="56"/>
    <s v="Екатеринбург"/>
    <s v="Ул., стачек 21"/>
    <n v="89638565992"/>
    <s v="koytov10@mail.ru"/>
    <s v="Дюк"/>
    <s v="Нет"/>
    <n v="40"/>
    <x v="81"/>
    <x v="1"/>
    <x v="0"/>
    <x v="0"/>
    <n v="0"/>
    <n v="0"/>
    <n v="2"/>
    <n v="3"/>
    <n v="2"/>
    <n v="2"/>
    <n v="5"/>
    <n v="8"/>
    <n v="4"/>
    <n v="0"/>
    <n v="0"/>
    <n v="0"/>
    <s v="До 10 лет, До 12 лет, До 13 лет, До 15 лет"/>
    <s v="Да"/>
    <s v="Да"/>
    <n v="2"/>
    <n v="1"/>
    <s v="Койтов Геннадий Андреевич _x000a_Куртий Милена Спартаковна"/>
    <m/>
    <m/>
    <m/>
    <m/>
    <s v="Нет"/>
    <s v="Нет"/>
    <m/>
  </r>
  <r>
    <d v="2025-12-11T11:09:02"/>
    <s v="ЖФК Файтерс"/>
    <x v="7"/>
    <x v="56"/>
    <s v="Екатеринбург"/>
    <s v="Фрезеровщиков 84А"/>
    <n v="89049807423"/>
    <s v="irinavergunova.8@gmail.com"/>
    <s v="ФК"/>
    <s v="Нет"/>
    <n v="25"/>
    <x v="15"/>
    <x v="7"/>
    <x v="4"/>
    <x v="3"/>
    <n v="1"/>
    <n v="2"/>
    <n v="2"/>
    <n v="1"/>
    <n v="0"/>
    <n v="0"/>
    <n v="0"/>
    <n v="0"/>
    <n v="0"/>
    <n v="0"/>
    <n v="0"/>
    <n v="0"/>
    <m/>
    <s v="Нет"/>
    <s v="Нет"/>
    <n v="2"/>
    <n v="2"/>
    <s v="И.В. Вергунова, Т.М. Нигамаджанова"/>
    <m/>
    <m/>
    <m/>
    <m/>
    <s v="Нет"/>
    <s v="Нет"/>
    <m/>
  </r>
  <r>
    <d v="2025-12-11T09:30:14"/>
    <s v="МБОУ ДО СШ по футболу «Урал»"/>
    <x v="7"/>
    <x v="56"/>
    <s v="Екатеринбург "/>
    <s v="Бакинских Комиссаров,6"/>
    <n v="73432276634"/>
    <s v="ural_football@mail.ru"/>
    <s v="СШ"/>
    <s v="Нет"/>
    <n v="712"/>
    <x v="7"/>
    <x v="1"/>
    <x v="0"/>
    <x v="0"/>
    <n v="0"/>
    <n v="0"/>
    <n v="0"/>
    <n v="0"/>
    <n v="7"/>
    <n v="10"/>
    <n v="0"/>
    <n v="0"/>
    <n v="0"/>
    <n v="0"/>
    <n v="0"/>
    <n v="0"/>
    <s v="До 12 лет, До 13 лет, До 15 лет"/>
    <s v="Да"/>
    <s v="Да"/>
    <n v="1"/>
    <n v="1"/>
    <s v="Молочкова М.М С-УЕФА"/>
    <n v="1"/>
    <m/>
    <m/>
    <m/>
    <s v="Да"/>
    <s v="Нет"/>
    <m/>
  </r>
  <r>
    <d v="2025-12-03T21:22:15"/>
    <s v="ДЮЦ Межшкольный стадион "/>
    <x v="7"/>
    <x v="56"/>
    <s v="Екатеринбург "/>
    <s v="Денисова Уральского 3а"/>
    <n v="89089144111"/>
    <s v="interschoolstadium@mail.ru"/>
    <s v="ДЮЦ "/>
    <s v="Нет"/>
    <n v="159"/>
    <x v="119"/>
    <x v="1"/>
    <x v="0"/>
    <x v="0"/>
    <n v="0"/>
    <n v="9"/>
    <n v="4"/>
    <n v="5"/>
    <n v="12"/>
    <n v="13"/>
    <n v="15"/>
    <n v="30"/>
    <n v="4"/>
    <n v="4"/>
    <n v="5"/>
    <n v="0"/>
    <s v="Соревновательной практики достаточно"/>
    <s v="Нет"/>
    <s v="Нет"/>
    <n v="2"/>
    <n v="2"/>
    <s v="Нет"/>
    <m/>
    <m/>
    <m/>
    <m/>
    <s v="Да"/>
    <s v="Да"/>
    <m/>
  </r>
  <r>
    <d v="2025-12-04T17:45:07"/>
    <s v="ФГБОУ ВО Уральский институт ГПС МЧС России"/>
    <x v="7"/>
    <x v="56"/>
    <s v="Екатеринбург "/>
    <s v="Екатеринбург, мира, 22"/>
    <s v="+73433608001 приёмная начальника института "/>
    <s v="uigps@uigps.ru"/>
    <s v="Институт "/>
    <s v="Нет"/>
    <n v="35"/>
    <x v="71"/>
    <x v="20"/>
    <x v="0"/>
    <x v="0"/>
    <n v="0"/>
    <n v="0"/>
    <n v="0"/>
    <n v="0"/>
    <n v="0"/>
    <n v="3"/>
    <n v="2"/>
    <n v="2"/>
    <n v="0"/>
    <n v="0"/>
    <n v="0"/>
    <n v="0"/>
    <s v="Соревновательной практики достаточно"/>
    <s v="Да"/>
    <s v="Да"/>
    <n v="1"/>
    <n v="1"/>
    <s v="Маркеев К. С. "/>
    <m/>
    <m/>
    <m/>
    <m/>
    <s v="Нет"/>
    <s v="Нет"/>
    <m/>
  </r>
  <r>
    <d v="2025-12-03T16:22:06"/>
    <s v="ФК УЛЬТРА "/>
    <x v="7"/>
    <x v="56"/>
    <s v="Екатеринбург "/>
    <s v="Пер. Красный 13а"/>
    <n v="89920220700"/>
    <s v="polyakov.sergei83@mail.ru"/>
    <s v="СШ"/>
    <s v="Нет"/>
    <n v="96"/>
    <x v="16"/>
    <x v="1"/>
    <x v="0"/>
    <x v="0"/>
    <n v="0"/>
    <n v="0"/>
    <n v="0"/>
    <n v="0"/>
    <n v="0"/>
    <n v="0"/>
    <n v="4"/>
    <n v="3"/>
    <n v="3"/>
    <n v="2"/>
    <n v="0"/>
    <n v="2"/>
    <s v="Во всех"/>
    <s v="Да"/>
    <s v="Да"/>
    <n v="2"/>
    <n v="0"/>
    <s v="Нет"/>
    <m/>
    <m/>
    <m/>
    <m/>
    <s v="Да"/>
    <s v="Нет"/>
    <m/>
  </r>
  <r>
    <d v="2025-12-04T13:43:44"/>
    <s v="МАОУ гимназия 176"/>
    <x v="7"/>
    <x v="56"/>
    <s v="Екатеринбург "/>
    <s v="Ул.Рассветная 9"/>
    <s v="+7 (343) 347-27-97"/>
    <s v="gimnaziya176@eduekb.ru"/>
    <s v="МАОУ"/>
    <s v="Нет"/>
    <n v="167"/>
    <x v="41"/>
    <x v="1"/>
    <x v="0"/>
    <x v="0"/>
    <n v="0"/>
    <n v="1"/>
    <n v="10"/>
    <n v="15"/>
    <n v="5"/>
    <n v="15"/>
    <n v="15"/>
    <n v="6"/>
    <n v="0"/>
    <n v="0"/>
    <n v="0"/>
    <n v="0"/>
    <s v="До 10 лет, До 12 лет, До 13 лет, До 15 лет, До 17 лет"/>
    <s v="Нет"/>
    <s v="Нет"/>
    <n v="1"/>
    <n v="0"/>
    <s v="Тутынин С.Д."/>
    <m/>
    <m/>
    <m/>
    <m/>
    <s v="Нет"/>
    <s v="Нет"/>
    <m/>
  </r>
  <r>
    <d v="2025-12-10T09:44:19"/>
    <s v="АНО Женская школа футбола"/>
    <x v="7"/>
    <x v="56"/>
    <s v="Екатеринбург"/>
    <s v="Готвальда, 11"/>
    <n v="79122531090"/>
    <s v="dizkris@yandex.ru"/>
    <s v="АНО"/>
    <s v="Нет"/>
    <n v="31"/>
    <x v="49"/>
    <x v="18"/>
    <x v="0"/>
    <x v="0"/>
    <n v="1"/>
    <n v="0"/>
    <n v="1"/>
    <n v="4"/>
    <n v="5"/>
    <n v="0"/>
    <n v="0"/>
    <n v="0"/>
    <n v="0"/>
    <n v="0"/>
    <n v="0"/>
    <n v="0"/>
    <m/>
    <s v="Да"/>
    <s v="Нет"/>
    <n v="1"/>
    <n v="1"/>
    <s v="К.Л. Сегень, С-УЕФА"/>
    <n v="1"/>
    <m/>
    <m/>
    <m/>
    <s v="Нет"/>
    <s v="Нет"/>
    <m/>
  </r>
  <r>
    <d v="2025-12-02T11:23:12"/>
    <s v="МАОУ ДО &quot;Ирбитская спортивная школа&quot;"/>
    <x v="7"/>
    <x v="56"/>
    <s v="Ирбит"/>
    <s v="Азева 12а"/>
    <n v="73435564591"/>
    <s v="irbitsporthkola@rambler.ru"/>
    <s v="СШ"/>
    <s v="Нет"/>
    <n v="153"/>
    <x v="69"/>
    <x v="1"/>
    <x v="0"/>
    <x v="3"/>
    <n v="5"/>
    <n v="5"/>
    <n v="11"/>
    <n v="11"/>
    <n v="9"/>
    <n v="5"/>
    <n v="4"/>
    <n v="1"/>
    <n v="0"/>
    <n v="0"/>
    <n v="0"/>
    <n v="0"/>
    <s v="Соревновательной практики достаточно"/>
    <s v="Да"/>
    <s v="Нет"/>
    <n v="1"/>
    <n v="0"/>
    <s v="Силкин Владимир Георгиевич"/>
    <m/>
    <m/>
    <m/>
    <m/>
    <s v="Да"/>
    <s v="Нет"/>
    <s v="-"/>
  </r>
  <r>
    <d v="2025-12-02T22:47:40"/>
    <s v="МАУДО СШОР"/>
    <x v="7"/>
    <x v="56"/>
    <s v="Каменск-Уральский"/>
    <s v="ул.Кунавина,16"/>
    <n v="83439323500"/>
    <s v="sduschor_ku@mail.ru"/>
    <s v="СШОР"/>
    <s v="Нет"/>
    <n v="565"/>
    <x v="0"/>
    <x v="1"/>
    <x v="0"/>
    <x v="0"/>
    <n v="0"/>
    <n v="0"/>
    <n v="0"/>
    <n v="1"/>
    <n v="1"/>
    <n v="2"/>
    <n v="1"/>
    <n v="1"/>
    <n v="2"/>
    <n v="1"/>
    <n v="1"/>
    <n v="0"/>
    <s v="До 19 лет"/>
    <s v="Да"/>
    <s v="Да"/>
    <n v="4"/>
    <n v="0"/>
    <s v="-"/>
    <m/>
    <m/>
    <m/>
    <m/>
    <s v="Да"/>
    <s v="Нет"/>
    <s v="Очень не хватает методических семинаров на местах, хотя бы в Екатеринбурге последний был на базе МФК Синары в 2024 году по теме футзала, а по футболу уже и не помню, лет 6 назад обучали на категорию Д и после этого упразднили Д, на С перестали обучать в Екатеринбурге и ближайшие центры Новосибирск и Казань._x000a_Но на самом деле хотелось бы каждый год на разные темы обучающие семинары на местах в маленьких городах типа Каменска, Шадринска, Ревды и др..."/>
  </r>
  <r>
    <d v="2025-12-09T14:35:21"/>
    <s v="МУ ДО СШ &quot;Олимп&quot;"/>
    <x v="7"/>
    <x v="56"/>
    <s v="Качканар"/>
    <s v="4 мкр, 62"/>
    <s v="+7 (34341) 3-43-82"/>
    <s v="olimp1977@yandex.ru"/>
    <s v="СШ"/>
    <s v="Нет"/>
    <n v="187"/>
    <x v="10"/>
    <x v="1"/>
    <x v="0"/>
    <x v="2"/>
    <n v="0"/>
    <n v="1"/>
    <n v="4"/>
    <n v="0"/>
    <n v="10"/>
    <n v="4"/>
    <n v="0"/>
    <n v="9"/>
    <n v="0"/>
    <n v="0"/>
    <n v="0"/>
    <n v="0"/>
    <m/>
    <s v="Нет"/>
    <s v="Нет"/>
    <n v="1"/>
    <n v="1"/>
    <s v="Сидоров Д.В."/>
    <m/>
    <m/>
    <m/>
    <m/>
    <s v="Да"/>
    <s v="Да"/>
    <m/>
  </r>
  <r>
    <d v="2025-12-10T13:46:08"/>
    <s v="МБУ ДО СШ &quot;Маяк&quot;"/>
    <x v="7"/>
    <x v="56"/>
    <s v="Краснотурьинск"/>
    <s v="Свердловская обл, г. Краснотурьинск, ул. Чкалова, д. 20"/>
    <s v="8(343)8448242"/>
    <s v="d.mayak2010@yandex.ru"/>
    <s v="СШ"/>
    <s v="Нет"/>
    <n v="105"/>
    <x v="11"/>
    <x v="1"/>
    <x v="0"/>
    <x v="0"/>
    <n v="0"/>
    <n v="0"/>
    <n v="0"/>
    <n v="0"/>
    <n v="0"/>
    <n v="1"/>
    <n v="0"/>
    <n v="0"/>
    <n v="0"/>
    <n v="0"/>
    <n v="0"/>
    <n v="0"/>
    <s v="не участвуют команды девочек "/>
    <s v="Да"/>
    <s v="Да"/>
    <n v="1"/>
    <n v="0"/>
    <s v="нет"/>
    <m/>
    <m/>
    <m/>
    <m/>
    <s v="Да"/>
    <s v="Нет"/>
    <m/>
  </r>
  <r>
    <d v="2025-11-19T13:42:28"/>
    <s v="Муниципальное бюджетное учреждение дополнительного образования &quot;Спортивная школа олимпийского резерва &quot;Спутник&quot; "/>
    <x v="7"/>
    <x v="56"/>
    <s v="Нижний Тагил"/>
    <s v="622051, Свердловская область, город Нижний Тагил, проспект Вагоностроителей, д.34а"/>
    <n v="83435379998"/>
    <s v="akulen4ik@mail.ru"/>
    <s v="СШОР"/>
    <s v="Нет"/>
    <n v="236"/>
    <x v="8"/>
    <x v="1"/>
    <x v="0"/>
    <x v="0"/>
    <n v="0"/>
    <n v="0"/>
    <n v="0"/>
    <n v="0"/>
    <n v="0"/>
    <n v="0"/>
    <n v="0"/>
    <n v="1"/>
    <n v="1"/>
    <n v="0"/>
    <n v="0"/>
    <n v="0"/>
    <s v="Соревновательной практики достаточно"/>
    <s v="Да"/>
    <s v="Да"/>
    <n v="2"/>
    <n v="0"/>
    <n v="0"/>
    <m/>
    <m/>
    <m/>
    <m/>
    <s v="Да"/>
    <s v="Нет"/>
    <m/>
  </r>
  <r>
    <d v="2025-12-10T08:59:30"/>
    <s v="МБУ ДО &quot;СШ &quot;Высокогорец&quot;"/>
    <x v="7"/>
    <x v="56"/>
    <s v="Нижний Тагил"/>
    <s v="Красноармейская 82А"/>
    <n v="73435401062"/>
    <s v="stadionv@mail.ru"/>
    <s v="СШ"/>
    <s v="Нет"/>
    <n v="234"/>
    <x v="71"/>
    <x v="1"/>
    <x v="0"/>
    <x v="0"/>
    <n v="0"/>
    <n v="0"/>
    <n v="0"/>
    <n v="3"/>
    <n v="1"/>
    <n v="1"/>
    <n v="2"/>
    <n v="5"/>
    <n v="0"/>
    <n v="0"/>
    <n v="0"/>
    <n v="0"/>
    <m/>
    <s v="Да"/>
    <s v="Да"/>
    <n v="0"/>
    <n v="0"/>
    <s v="Н.А. Веселов"/>
    <m/>
    <m/>
    <m/>
    <m/>
    <s v="Да"/>
    <s v="Да"/>
    <m/>
  </r>
  <r>
    <d v="2025-11-25T12:15:52"/>
    <s v="МАУ ДО &quot;СШ № 2&quot;"/>
    <x v="7"/>
    <x v="56"/>
    <s v="Новоуральск"/>
    <s v="Свердлова, 1 Б"/>
    <s v="8(34370)5-25-05"/>
    <s v="Dush2-nov@mail.ru"/>
    <s v="СШ"/>
    <s v="Нет"/>
    <n v="317"/>
    <x v="82"/>
    <x v="1"/>
    <x v="0"/>
    <x v="0"/>
    <n v="0"/>
    <n v="0"/>
    <n v="3"/>
    <n v="8"/>
    <n v="4"/>
    <n v="5"/>
    <n v="6"/>
    <n v="4"/>
    <n v="4"/>
    <n v="8"/>
    <n v="9"/>
    <n v="27"/>
    <s v="До 10 лет"/>
    <s v="Да"/>
    <s v="Да"/>
    <n v="1"/>
    <n v="1"/>
    <s v="Арапова Олеся Олеговна "/>
    <m/>
    <m/>
    <m/>
    <m/>
    <s v="Да"/>
    <s v="Нет"/>
    <m/>
  </r>
  <r>
    <d v="2025-12-05T07:40:07"/>
    <s v="МАУ ДО &quot;СШ им. Л.П. Моисеева&quot;"/>
    <x v="7"/>
    <x v="56"/>
    <s v="Серов"/>
    <s v="г. Серов, ул. Каквинская, 3"/>
    <s v="8(343-85) 5-47-82"/>
    <s v="dysh-serov@yandex.ru"/>
    <s v="ДЮСШ"/>
    <s v="Нет"/>
    <n v="139"/>
    <x v="9"/>
    <x v="1"/>
    <x v="0"/>
    <x v="0"/>
    <n v="0"/>
    <n v="0"/>
    <n v="0"/>
    <n v="0"/>
    <n v="2"/>
    <n v="0"/>
    <n v="1"/>
    <n v="0"/>
    <n v="2"/>
    <n v="0"/>
    <n v="0"/>
    <n v="0"/>
    <s v="у нас нет целых женских команд"/>
    <s v="Да"/>
    <s v="Да"/>
    <n v="3"/>
    <n v="0"/>
    <s v="Одинцев А.В., Рогов В.В., Крупин А.Г."/>
    <m/>
    <m/>
    <m/>
    <m/>
    <s v="Да"/>
    <s v="Нет"/>
    <s v="наши спортсменки играют за женские команды другого города и в смешанных командах нашей СШ на уровне округа, области"/>
  </r>
  <r>
    <d v="2025-12-09T14:29:31"/>
    <s v="МБУ СШ Олимпик"/>
    <x v="7"/>
    <x v="56"/>
    <s v="Сухой Лог"/>
    <s v="ул. Юбилейная, 8"/>
    <s v=" +7 (34373) 4-44-18"/>
    <s v="olimpik-slog@mail.ru"/>
    <s v="СШ"/>
    <s v="Нет"/>
    <n v="151"/>
    <x v="84"/>
    <x v="1"/>
    <x v="1"/>
    <x v="14"/>
    <n v="1"/>
    <n v="0"/>
    <n v="0"/>
    <n v="1"/>
    <n v="2"/>
    <n v="5"/>
    <n v="2"/>
    <n v="10"/>
    <n v="3"/>
    <n v="4"/>
    <n v="5"/>
    <n v="0"/>
    <m/>
    <s v="Да"/>
    <s v="Нет"/>
    <n v="1"/>
    <n v="0"/>
    <s v="С.А. Окольников"/>
    <m/>
    <m/>
    <m/>
    <m/>
    <s v="Да"/>
    <s v="Да"/>
    <m/>
  </r>
  <r>
    <d v="2025-11-19T14:50:33"/>
    <s v="МКОДО ТМО &quot;Талицкая СШ имени Ю.В. Исламова&quot;"/>
    <x v="7"/>
    <x v="56"/>
    <s v="Талица"/>
    <s v="Свердловская область, г. Талица, ул. Советская, 65"/>
    <s v="+734371 2-86-78"/>
    <s v="talitskaia_dush@bk.ru"/>
    <s v="СШ"/>
    <s v="Нет"/>
    <n v="216"/>
    <x v="25"/>
    <x v="1"/>
    <x v="0"/>
    <x v="0"/>
    <n v="0"/>
    <n v="0"/>
    <n v="0"/>
    <n v="1"/>
    <n v="0"/>
    <n v="1"/>
    <n v="3"/>
    <n v="1"/>
    <n v="0"/>
    <n v="11"/>
    <n v="16"/>
    <n v="8"/>
    <s v="Соревновательной практики достаточно"/>
    <s v="Да"/>
    <s v="Нет"/>
    <n v="3"/>
    <n v="0"/>
    <s v="-"/>
    <m/>
    <m/>
    <m/>
    <m/>
    <s v="Да"/>
    <s v="Нет"/>
    <m/>
  </r>
  <r>
    <d v="2025-11-20T08:04:46"/>
    <s v="ЦСПР АНО «Футбол-Хоккей»"/>
    <x v="7"/>
    <x v="57"/>
    <s v="Тюмень"/>
    <s v="625003, г. Тюмень, ул. Коммуны, д.22, корпус 1"/>
    <n v="79088759354"/>
    <s v="tspsr.tyumen@yandex.ru"/>
    <s v="Центр подготовки спортивного резерва"/>
    <s v="РЦ"/>
    <n v="580"/>
    <x v="98"/>
    <x v="1"/>
    <x v="0"/>
    <x v="0"/>
    <n v="1"/>
    <n v="5"/>
    <n v="10"/>
    <n v="8"/>
    <n v="14"/>
    <n v="19"/>
    <n v="10"/>
    <n v="4"/>
    <n v="0"/>
    <n v="0"/>
    <n v="0"/>
    <n v="0"/>
    <s v="До 15 лет, До 17 лет"/>
    <s v="Нет"/>
    <s v="Нет"/>
    <n v="3"/>
    <n v="1"/>
    <s v="Кузьмин А.С. B-УЕФА , Ракутина А.М. С-УЕФА, Кечеруков В.А. B-УЕФА"/>
    <n v="1"/>
    <n v="2"/>
    <m/>
    <m/>
    <s v="Да"/>
    <s v="Да"/>
    <m/>
  </r>
  <r>
    <d v="2025-12-10T12:29:01"/>
    <s v="Паритет"/>
    <x v="7"/>
    <x v="57"/>
    <s v="Тюмень"/>
    <s v="Воронинские горки, 1А"/>
    <n v="89969469795"/>
    <s v="khamitovka@yandex.ru"/>
    <s v="Футбольный клуб"/>
    <s v="Нет"/>
    <n v="21"/>
    <x v="34"/>
    <x v="12"/>
    <x v="8"/>
    <x v="8"/>
    <n v="2"/>
    <n v="0"/>
    <n v="0"/>
    <n v="0"/>
    <n v="0"/>
    <n v="0"/>
    <n v="0"/>
    <n v="0"/>
    <n v="0"/>
    <n v="0"/>
    <n v="0"/>
    <n v="0"/>
    <m/>
    <s v="Нет"/>
    <s v="Нет"/>
    <n v="1"/>
    <n v="0"/>
    <s v="Хамитов К.А."/>
    <m/>
    <m/>
    <m/>
    <m/>
    <s v="Нет"/>
    <s v="Нет"/>
    <m/>
  </r>
  <r>
    <d v="2025-12-04T15:25:47"/>
    <s v="МАУ ДО СШ &quot;Старт XXI век &quot;"/>
    <x v="7"/>
    <x v="57"/>
    <s v="Тюмень"/>
    <s v="ул. Высотная 1, к. 4"/>
    <n v="89120780370"/>
    <s v="start.xxi.vek@yandex"/>
    <s v="СШ"/>
    <s v="Нет"/>
    <n v="45"/>
    <x v="84"/>
    <x v="1"/>
    <x v="0"/>
    <x v="0"/>
    <n v="0"/>
    <n v="1"/>
    <n v="2"/>
    <n v="10"/>
    <n v="7"/>
    <n v="2"/>
    <n v="6"/>
    <n v="10"/>
    <n v="7"/>
    <n v="0"/>
    <n v="0"/>
    <n v="0"/>
    <s v="До 12 лет, До 13 лет, До 15 лет"/>
    <s v="Нет"/>
    <s v="Нет"/>
    <n v="1"/>
    <n v="0"/>
    <s v="И.В. Княжев"/>
    <m/>
    <m/>
    <m/>
    <m/>
    <s v="Нет"/>
    <s v="Нет"/>
    <m/>
  </r>
  <r>
    <d v="2025-12-03T08:58:15"/>
    <s v="Фк Юная Сибирь "/>
    <x v="7"/>
    <x v="57"/>
    <s v="Тюмень "/>
    <s v="Белинского 24"/>
    <s v="+7 929 269 09 04."/>
    <s v="Office@fcys.ru"/>
    <s v="Частная "/>
    <s v="Нет"/>
    <n v="200"/>
    <x v="71"/>
    <x v="1"/>
    <x v="0"/>
    <x v="0"/>
    <n v="0"/>
    <n v="0"/>
    <n v="0"/>
    <n v="0"/>
    <n v="0"/>
    <n v="5"/>
    <n v="4"/>
    <n v="2"/>
    <n v="1"/>
    <n v="0"/>
    <n v="0"/>
    <n v="0"/>
    <s v="До 12 лет, До 13 лет"/>
    <s v="Нет"/>
    <s v="Да"/>
    <n v="1"/>
    <n v="1"/>
    <s v="Федорова Виктория Николаевна "/>
    <m/>
    <m/>
    <m/>
    <m/>
    <s v="Нет"/>
    <s v="Нет"/>
    <m/>
  </r>
  <r>
    <d v="2025-12-03T13:22:20"/>
    <s v="МАУДО &quot;Спортивная школа города Ялуторовска&quot;"/>
    <x v="7"/>
    <x v="57"/>
    <s v="Ялуторовск"/>
    <s v="Тюменская область, город Ялуторовск, улица Кармелюка, дом 13"/>
    <n v="83453520164"/>
    <s v="sportshkola58@yandex.ru"/>
    <s v="СШ"/>
    <s v="Нет"/>
    <n v="285"/>
    <x v="20"/>
    <x v="1"/>
    <x v="0"/>
    <x v="0"/>
    <n v="0"/>
    <n v="0"/>
    <n v="0"/>
    <n v="3"/>
    <n v="8"/>
    <n v="5"/>
    <n v="7"/>
    <n v="4"/>
    <n v="11"/>
    <n v="0"/>
    <n v="0"/>
    <n v="0"/>
    <s v="До 10 лет, До 12 лет, До 13 лет"/>
    <s v="Нет"/>
    <s v="Нет"/>
    <n v="1"/>
    <n v="0"/>
    <s v="Блинов Дмитрий Евгеньевич"/>
    <m/>
    <m/>
    <m/>
    <m/>
    <s v="Да"/>
    <s v="Нет"/>
    <s v="."/>
  </r>
  <r>
    <d v="2025-12-04T13:51:07"/>
    <s v="МАУДО &quot;СШОР &quot;Самотлор&quot;"/>
    <x v="7"/>
    <x v="52"/>
    <s v="Нижневартовск"/>
    <s v="ул. Омская 1а "/>
    <s v="8-3466-414949"/>
    <s v="igroviki@yandex.ru"/>
    <s v="СШОР"/>
    <s v="Нет"/>
    <n v="558"/>
    <x v="120"/>
    <x v="1"/>
    <x v="0"/>
    <x v="2"/>
    <n v="5"/>
    <n v="5"/>
    <n v="3"/>
    <n v="9"/>
    <n v="16"/>
    <n v="10"/>
    <n v="15"/>
    <n v="6"/>
    <n v="7"/>
    <n v="5"/>
    <n v="3"/>
    <n v="0"/>
    <s v="Соревновательной практики достаточно"/>
    <s v="Да"/>
    <s v="Да"/>
    <n v="2"/>
    <n v="1"/>
    <s v="Сенченкова А.Н., Гурбанов А.Г."/>
    <m/>
    <m/>
    <m/>
    <m/>
    <s v="Да"/>
    <s v="Да"/>
    <s v="нет"/>
  </r>
  <r>
    <d v="2025-12-10T11:31:51"/>
    <s v="ЧУДО СШ Нефтяник"/>
    <x v="7"/>
    <x v="52"/>
    <s v="Сургут"/>
    <s v="ул. Энтузиастов, д.47–А"/>
    <s v="8 (3462) 45-70-38"/>
    <s v="sdusor@bk.ru"/>
    <s v="СШ"/>
    <s v="Нет"/>
    <n v="211"/>
    <x v="17"/>
    <x v="1"/>
    <x v="0"/>
    <x v="0"/>
    <n v="0"/>
    <n v="0"/>
    <n v="0"/>
    <n v="3"/>
    <n v="8"/>
    <n v="2"/>
    <n v="0"/>
    <n v="3"/>
    <n v="0"/>
    <n v="0"/>
    <n v="0"/>
    <n v="0"/>
    <m/>
    <s v="Да"/>
    <s v="Нет"/>
    <n v="1"/>
    <n v="0"/>
    <s v="А.С. Мунгалов"/>
    <m/>
    <m/>
    <m/>
    <m/>
    <s v="Да"/>
    <s v="Да"/>
    <m/>
  </r>
  <r>
    <d v="2025-12-04T20:43:08"/>
    <s v="МФК Газпром-Югра"/>
    <x v="7"/>
    <x v="52"/>
    <s v="Югорск"/>
    <s v="Югорск, ул. Кирова, д.7"/>
    <n v="3467520036"/>
    <s v="kskmfk@mail.ru"/>
    <s v="Академия МФК Газпром-Югра"/>
    <s v="Нет"/>
    <n v="500"/>
    <x v="15"/>
    <x v="1"/>
    <x v="0"/>
    <x v="0"/>
    <n v="0"/>
    <n v="0"/>
    <n v="0"/>
    <n v="2"/>
    <n v="4"/>
    <n v="6"/>
    <n v="3"/>
    <n v="6"/>
    <n v="1"/>
    <n v="0"/>
    <n v="1"/>
    <n v="2"/>
    <s v="До 10 лет, До 12 лет, До 13 лет, До 15 лет, До 17 лет, До 19 лет"/>
    <s v="Нет"/>
    <s v="Нет"/>
    <n v="1"/>
    <n v="0"/>
    <s v="Панов Д.А."/>
    <m/>
    <m/>
    <m/>
    <m/>
    <s v="Нет"/>
    <s v="Нет"/>
    <s v="обучение тренеров команд девочек в РФС"/>
  </r>
  <r>
    <d v="2025-11-27T16:45:03"/>
    <s v="МКУ ДО &quot;ДЮСШ&quot;"/>
    <x v="7"/>
    <x v="58"/>
    <s v="Брединский МР"/>
    <s v="457310, Челябинская область, район Брединский, п.Бреды, Черемушки, дом 16"/>
    <s v="8(908)0420506"/>
    <s v="sport.skola.17@mail.ru"/>
    <s v="ДЮСШ"/>
    <s v="Нет"/>
    <n v="188"/>
    <x v="32"/>
    <x v="1"/>
    <x v="0"/>
    <x v="2"/>
    <n v="5"/>
    <n v="0"/>
    <n v="3"/>
    <n v="12"/>
    <n v="3"/>
    <n v="0"/>
    <n v="10"/>
    <n v="1"/>
    <n v="4"/>
    <n v="0"/>
    <n v="0"/>
    <n v="0"/>
    <s v="До 12 лет, До 13 лет, До 15 лет"/>
    <s v="Да"/>
    <s v="Нет"/>
    <n v="1"/>
    <n v="0"/>
    <s v="Смоляков Максим Владимирович"/>
    <m/>
    <m/>
    <m/>
    <m/>
    <s v="Нет"/>
    <s v="Нет"/>
    <m/>
  </r>
  <r>
    <d v="2025-12-03T12:33:28"/>
    <s v="МБУДО &quot;СШ &quot;Олимп&quot;"/>
    <x v="7"/>
    <x v="58"/>
    <s v="Челябинск"/>
    <s v=" 454085 г. Челябинск, ул. Марченко, 28"/>
    <s v="8(351)243-08-42"/>
    <s v="olimp.chel@mail.ru"/>
    <s v="СШ"/>
    <s v="Нет"/>
    <n v="491"/>
    <x v="84"/>
    <x v="1"/>
    <x v="0"/>
    <x v="0"/>
    <n v="12"/>
    <n v="3"/>
    <n v="0"/>
    <n v="0"/>
    <n v="0"/>
    <n v="8"/>
    <n v="7"/>
    <n v="5"/>
    <n v="5"/>
    <n v="5"/>
    <n v="0"/>
    <n v="0"/>
    <s v="До 10 лет, До 12 лет, До 13 лет, До 15 лет, До 17 лет"/>
    <s v="Да"/>
    <s v="Да"/>
    <n v="1"/>
    <n v="0"/>
    <s v="нет"/>
    <m/>
    <m/>
    <m/>
    <m/>
    <s v="Да"/>
    <s v="Нет"/>
    <m/>
  </r>
  <r>
    <d v="2025-12-11T11:03:00"/>
    <s v="МКУ &quot;СШ по футболу Металлург&quot; АМР"/>
    <x v="7"/>
    <x v="58"/>
    <s v="Аша"/>
    <s v="г.Аша, ул.Ленина, 6"/>
    <n v="9514651248"/>
    <s v="dush-metallurg@mail.ru"/>
    <s v="СШ"/>
    <s v="Нет"/>
    <n v="276"/>
    <x v="121"/>
    <x v="1"/>
    <x v="0"/>
    <x v="0"/>
    <n v="0"/>
    <n v="0"/>
    <n v="6"/>
    <n v="3"/>
    <n v="8"/>
    <n v="9"/>
    <n v="9"/>
    <n v="5"/>
    <n v="6"/>
    <n v="8"/>
    <n v="8"/>
    <n v="6"/>
    <s v="До 10 лет, До 12 лет, До 13 лет"/>
    <s v="Да"/>
    <s v="Да"/>
    <n v="2"/>
    <n v="2"/>
    <s v="Григорьева А.И.С-УЕФА"/>
    <n v="1"/>
    <m/>
    <m/>
    <m/>
    <s v="Да"/>
    <s v="Нет"/>
    <m/>
  </r>
  <r>
    <d v="2025-12-03T07:30:47"/>
    <s v="Муниципальное казенное учреждение дополнительного образования &quot;Детско-юношеская спортивная школа им. Ловчикова Н.В.&quot; Варненского муниципального района"/>
    <x v="7"/>
    <x v="58"/>
    <s v="Варна"/>
    <s v="457200, Челябинская область, с. Варна, ул. Советская д. 127"/>
    <s v="8(35142)2-27-79"/>
    <s v="duchvarna@mail.ru"/>
    <s v="ДЮСШ"/>
    <s v="Нет"/>
    <n v="92"/>
    <x v="34"/>
    <x v="1"/>
    <x v="0"/>
    <x v="0"/>
    <n v="0"/>
    <n v="0"/>
    <n v="3"/>
    <n v="4"/>
    <n v="5"/>
    <n v="3"/>
    <n v="2"/>
    <n v="0"/>
    <n v="2"/>
    <n v="2"/>
    <n v="0"/>
    <n v="0"/>
    <s v="Соревновательной практики достаточно"/>
    <s v="Да"/>
    <s v="Да"/>
    <n v="1"/>
    <n v="0"/>
    <s v="нет"/>
    <m/>
    <m/>
    <m/>
    <m/>
    <s v="Да"/>
    <s v="Нет"/>
    <m/>
  </r>
  <r>
    <d v="2025-12-11T11:44:52"/>
    <s v="Муниципальное казенное учреждение дополнительного образования «Детско – юношеская спортивная школа» Верхнеуральского района"/>
    <x v="7"/>
    <x v="58"/>
    <s v="Верхнеуральск"/>
    <s v="Челябинская область, Верхнеуральск, Розы Люксембург, 26"/>
    <s v="+7(351)432-27-76"/>
    <s v="nti-58@mail.ru"/>
    <s v="ДЮСШ"/>
    <s v="Нет"/>
    <n v="45"/>
    <x v="1"/>
    <x v="1"/>
    <x v="0"/>
    <x v="0"/>
    <n v="0"/>
    <n v="0"/>
    <n v="0"/>
    <n v="7"/>
    <n v="7"/>
    <n v="1"/>
    <n v="0"/>
    <n v="0"/>
    <n v="0"/>
    <n v="3"/>
    <n v="0"/>
    <n v="0"/>
    <m/>
    <s v="Да"/>
    <s v="Да"/>
    <n v="1"/>
    <n v="0"/>
    <s v="СА Кузьмин"/>
    <m/>
    <m/>
    <m/>
    <m/>
    <s v="Да"/>
    <s v="Нет"/>
    <m/>
  </r>
  <r>
    <d v="2025-12-04T10:19:36"/>
    <s v="СКК Горняк"/>
    <x v="7"/>
    <x v="58"/>
    <s v="Вишневогорск"/>
    <s v="Каслинский район, п. Вишневогорск, ул. Клубная дом 8"/>
    <n v="89191251559"/>
    <s v="Vaganov10491@mail.ru"/>
    <s v="Спортивный клуб"/>
    <s v="Нет"/>
    <n v="57"/>
    <x v="59"/>
    <x v="1"/>
    <x v="0"/>
    <x v="0"/>
    <n v="0"/>
    <n v="0"/>
    <n v="0"/>
    <n v="0"/>
    <n v="5"/>
    <n v="4"/>
    <n v="6"/>
    <n v="3"/>
    <n v="4"/>
    <n v="2"/>
    <n v="0"/>
    <n v="0"/>
    <s v="До 10 лет, До 12 лет, До 13 лет"/>
    <s v="Да"/>
    <s v="Нет"/>
    <n v="1"/>
    <n v="0"/>
    <s v="В.В. Ваганов"/>
    <m/>
    <m/>
    <m/>
    <m/>
    <s v="Нет"/>
    <s v="Нет"/>
    <m/>
  </r>
  <r>
    <d v="2025-12-11T11:50:38"/>
    <s v="МБУ ДО &quot;Детско-юношеская спортивная школа&quot;"/>
    <x v="7"/>
    <x v="58"/>
    <s v="Еткульский р-н"/>
    <s v="Челябинская область Еткульский район, с.Еткуль ул. Ленина д.48 п.5"/>
    <n v="83514521026"/>
    <s v="etkuldyussh@mail.ru"/>
    <s v="ДЮСШ"/>
    <s v="Нет"/>
    <n v="40"/>
    <x v="66"/>
    <x v="1"/>
    <x v="0"/>
    <x v="0"/>
    <n v="2"/>
    <n v="2"/>
    <n v="0"/>
    <n v="0"/>
    <n v="0"/>
    <n v="0"/>
    <n v="0"/>
    <n v="1"/>
    <n v="1"/>
    <n v="1"/>
    <n v="0"/>
    <n v="0"/>
    <s v="До 10 лет, До 12 лет"/>
    <s v="Да"/>
    <s v="Нет"/>
    <n v="1"/>
    <n v="0"/>
    <s v="А,А. Мезенцев"/>
    <m/>
    <m/>
    <m/>
    <m/>
    <s v="Нет"/>
    <s v="Нет"/>
    <m/>
  </r>
  <r>
    <d v="2025-12-10T09:14:30"/>
    <s v="СШ №7 Таганай"/>
    <x v="7"/>
    <x v="58"/>
    <s v="Златоуст"/>
    <s v="ул. Мира 9А"/>
    <n v="83513665006"/>
    <s v="diussh7@yandex.ru"/>
    <s v="СШ"/>
    <s v="Нет"/>
    <n v="232"/>
    <x v="31"/>
    <x v="1"/>
    <x v="0"/>
    <x v="4"/>
    <n v="9"/>
    <n v="10"/>
    <n v="3"/>
    <n v="5"/>
    <n v="0"/>
    <n v="5"/>
    <n v="3"/>
    <n v="0"/>
    <n v="0"/>
    <n v="0"/>
    <n v="0"/>
    <n v="0"/>
    <s v="До 12 лет, До 13 лет, До 15 лет"/>
    <s v="Да"/>
    <s v="Да"/>
    <n v="1"/>
    <n v="0"/>
    <s v="Давлетшин В.М. 1 категория"/>
    <m/>
    <m/>
    <m/>
    <m/>
    <s v="Да"/>
    <s v="Да"/>
    <m/>
  </r>
  <r>
    <d v="2025-11-25T09:08:11"/>
    <s v="МБУ ДО &quot;СШ № 4&quot;"/>
    <x v="7"/>
    <x v="58"/>
    <s v="Копейск"/>
    <s v="456655, Россия, Челябинская область, г. Копейск, ул.19 Партсъезда,1,"/>
    <n v="83513977592"/>
    <s v="kopdysh4@yandex.ru"/>
    <s v="СШ"/>
    <s v="Нет"/>
    <n v="241"/>
    <x v="48"/>
    <x v="1"/>
    <x v="0"/>
    <x v="0"/>
    <n v="0"/>
    <n v="0"/>
    <n v="1"/>
    <n v="2"/>
    <n v="6"/>
    <n v="7"/>
    <n v="14"/>
    <n v="8"/>
    <n v="6"/>
    <n v="0"/>
    <n v="0"/>
    <n v="0"/>
    <s v="До 12 лет, До 13 лет, До 15 лет"/>
    <s v="Нет"/>
    <s v="Нет"/>
    <n v="2"/>
    <n v="1"/>
    <s v="нет"/>
    <m/>
    <m/>
    <m/>
    <m/>
    <s v="Нет"/>
    <s v="Нет"/>
    <m/>
  </r>
  <r>
    <d v="2025-11-26T08:51:20"/>
    <s v="МОУ ДО ДЮСШ &quot;Академия футбола&quot;"/>
    <x v="7"/>
    <x v="58"/>
    <s v="Кыштым"/>
    <s v="Челябинская область, г.Кыштым, ул.Малышева, 60"/>
    <n v="89517969690"/>
    <s v="football@edu.kyshtym.org"/>
    <s v="ДЮСШ"/>
    <s v="Нет"/>
    <n v="259"/>
    <x v="84"/>
    <x v="1"/>
    <x v="0"/>
    <x v="0"/>
    <n v="0"/>
    <n v="0"/>
    <n v="0"/>
    <n v="0"/>
    <n v="0"/>
    <n v="5"/>
    <n v="15"/>
    <n v="10"/>
    <n v="10"/>
    <n v="5"/>
    <n v="0"/>
    <n v="0"/>
    <s v="Во всех категориях недостаточно соревновательной практики, так как недостаточно команд девочек"/>
    <s v="Да"/>
    <s v="Да"/>
    <n v="1"/>
    <n v="0"/>
    <s v="Макуров Михаил Сергеевич"/>
    <m/>
    <m/>
    <m/>
    <m/>
    <s v="Да"/>
    <s v="Нет"/>
    <m/>
  </r>
  <r>
    <d v="2025-12-02T11:22:17"/>
    <s v="АНОДО СК Феникс "/>
    <x v="7"/>
    <x v="58"/>
    <s v="Снежинск"/>
    <s v="Ленина, 12"/>
    <n v="79617848920"/>
    <s v="zev4el70@mail.ru"/>
    <s v="ДЮСШ"/>
    <s v="Нет"/>
    <n v="67"/>
    <x v="46"/>
    <x v="1"/>
    <x v="0"/>
    <x v="0"/>
    <n v="1"/>
    <n v="1"/>
    <n v="3"/>
    <n v="5"/>
    <n v="4"/>
    <n v="8"/>
    <n v="11"/>
    <n v="7"/>
    <n v="2"/>
    <n v="0"/>
    <n v="0"/>
    <n v="0"/>
    <s v="До 10 лет, До 12 лет, До 13 лет"/>
    <s v="Да"/>
    <s v="Нет"/>
    <n v="1"/>
    <n v="0"/>
    <s v="Звягинцев И.В."/>
    <m/>
    <m/>
    <m/>
    <m/>
    <s v="Нет"/>
    <s v="Нет"/>
    <m/>
  </r>
  <r>
    <d v="2025-11-20T07:24:12"/>
    <s v="Муниципальное учреждение дополнительного образования  &quot;Детско-юношеская спортивная школа&quot; Нагайбакского муниципального района Челябинской области"/>
    <x v="7"/>
    <x v="58"/>
    <s v="Фершампенуаз"/>
    <s v="с.Фершампенуаз, ул. Мира, 17А"/>
    <n v="83515723379"/>
    <s v="dfershampenuaz@mail.ru"/>
    <s v="ДЮСШ"/>
    <s v="Нет"/>
    <n v="257"/>
    <x v="3"/>
    <x v="3"/>
    <x v="4"/>
    <x v="4"/>
    <n v="1"/>
    <n v="1"/>
    <n v="0"/>
    <n v="0"/>
    <n v="0"/>
    <n v="0"/>
    <n v="0"/>
    <n v="0"/>
    <n v="0"/>
    <n v="0"/>
    <n v="0"/>
    <n v="0"/>
    <s v="До 10 лет"/>
    <s v="Да"/>
    <s v="Да"/>
    <n v="2"/>
    <n v="0"/>
    <s v="нет"/>
    <m/>
    <m/>
    <m/>
    <m/>
    <s v="Нет"/>
    <s v="Нет"/>
    <s v="-"/>
  </r>
  <r>
    <d v="2025-12-08T15:02:20"/>
    <s v="МУНИЦИПАЛЬНОЕ БЮДЖЕТНОЕ УЧРЕЖДЕНИЕ ДОПОЛНИТЕЛЬНОГО ОБРАЗОВАНИЯ «СПОРТИВНАЯ ШКОЛА ОЛИМПИЙСКОГО РЕЗЕРВА ПО ФУТБОЛУ «СИГНАЛ» ГОРОДА ЧЕЛЯБИНСКА "/>
    <x v="7"/>
    <x v="58"/>
    <s v="Челябинск"/>
    <s v="454139, Челябинск, ул. Дербентская, д. 41"/>
    <s v="8(351)253-84-37"/>
    <s v="zenit-signal@mail.ru"/>
    <s v="СШОР"/>
    <s v="Нет"/>
    <n v="768"/>
    <x v="34"/>
    <x v="1"/>
    <x v="0"/>
    <x v="0"/>
    <n v="0"/>
    <n v="0"/>
    <n v="0"/>
    <n v="0"/>
    <n v="0"/>
    <n v="1"/>
    <n v="8"/>
    <n v="6"/>
    <n v="3"/>
    <n v="2"/>
    <n v="1"/>
    <n v="0"/>
    <s v="До 10 лет, До 12 лет"/>
    <s v="Нет"/>
    <s v="Да"/>
    <n v="1"/>
    <n v="0"/>
    <s v="Точилкин А.В."/>
    <m/>
    <m/>
    <m/>
    <m/>
    <s v="Да"/>
    <s v="Нет"/>
    <s v="Добавить количество соревнований для девочек до 10 и до 12 лет."/>
  </r>
  <r>
    <d v="2025-11-19T14:13:18"/>
    <s v="Муниципальное бюджетное учреждение дополнительного образования «Спортивная школа олимпийского резерва «Академия футбола» города Челябинска "/>
    <x v="7"/>
    <x v="58"/>
    <s v="Челябинск"/>
    <s v="г. Челябинск, ул. Кузнецова, д. 7Б"/>
    <s v="+7(351)727-97-76"/>
    <s v="akademiyafutbola74@mail.ru"/>
    <s v="СШОР"/>
    <s v="Нет"/>
    <n v="730"/>
    <x v="122"/>
    <x v="1"/>
    <x v="0"/>
    <x v="0"/>
    <n v="1"/>
    <n v="17"/>
    <n v="10"/>
    <n v="3"/>
    <n v="19"/>
    <n v="13"/>
    <n v="9"/>
    <n v="4"/>
    <n v="7"/>
    <n v="3"/>
    <n v="1"/>
    <n v="0"/>
    <s v="Соревновательной практики достаточно"/>
    <s v="Да"/>
    <s v="Да"/>
    <n v="2"/>
    <n v="1"/>
    <s v="Ибрагимова Ж.Н. С-УЕФА"/>
    <n v="1"/>
    <m/>
    <m/>
    <m/>
    <s v="Да"/>
    <s v="Нет"/>
    <m/>
  </r>
  <r>
    <d v="2025-11-19T14:48:23"/>
    <s v="ОГАУ ДО ОСШ по футболу"/>
    <x v="7"/>
    <x v="58"/>
    <s v="Челябинск"/>
    <s v="Челябинск, ул. Худякова, д.31"/>
    <s v="8(351)2172821"/>
    <s v="shkola-football74@mail.ru"/>
    <s v="СШ"/>
    <s v="РЦ"/>
    <n v="615"/>
    <x v="123"/>
    <x v="10"/>
    <x v="0"/>
    <x v="4"/>
    <n v="1"/>
    <n v="4"/>
    <n v="5"/>
    <n v="10"/>
    <n v="9"/>
    <n v="11"/>
    <n v="8"/>
    <n v="2"/>
    <n v="2"/>
    <n v="1"/>
    <n v="0"/>
    <n v="0"/>
    <s v="Соревновательной практики достаточно"/>
    <s v="Да"/>
    <s v="Да"/>
    <n v="5"/>
    <n v="2"/>
    <s v="Гаврилина Л.Ю. С-УЕФА, Жданикин Н.А. - С-УЕФА, Кузьмина Н.С. - С-УЕФА, Киреев С.Н.- В-УЕФА, обучается на А-УЕФА, Корячко И.С. - С-УЕФА"/>
    <n v="4"/>
    <n v="1"/>
    <n v="1"/>
    <m/>
    <s v="Да"/>
    <s v="Да"/>
    <m/>
  </r>
  <r>
    <d v="2025-12-10T09:37:30"/>
    <s v="МУНИЦИПАЛЬНОЕ БЮДЖЕТНОЕ УЧРЕЖДЕНИЕ ДОПОЛНИТЕЛЬНОГО ОБРАЗОВАНИЯ &quot;СПОРТИВНАЯ ШКОЛА ОЛИМПИЙСКОГО РЕЗЕРВА &quot;ТОРПЕДО&quot; ГОРОДА ЧЕЛЯБИНСКА"/>
    <x v="7"/>
    <x v="58"/>
    <s v="Челябинск"/>
    <s v="шоссе Копейское, 5"/>
    <s v="(351)253-92-68"/>
    <s v="torpedo2008@mail.ru"/>
    <s v="СШ"/>
    <s v="Нет"/>
    <n v="144"/>
    <x v="1"/>
    <x v="1"/>
    <x v="0"/>
    <x v="0"/>
    <n v="0"/>
    <n v="0"/>
    <n v="2"/>
    <n v="0"/>
    <n v="6"/>
    <n v="3"/>
    <n v="0"/>
    <n v="0"/>
    <n v="3"/>
    <n v="2"/>
    <n v="2"/>
    <n v="0"/>
    <m/>
    <s v="Да"/>
    <s v="Нет"/>
    <n v="1"/>
    <n v="0"/>
    <s v="Бутук Н.А. высшая категория"/>
    <m/>
    <m/>
    <m/>
    <m/>
    <s v="Да"/>
    <s v="Да"/>
    <m/>
  </r>
  <r>
    <d v="2025-12-02T15:41:39"/>
    <s v="ДЮСШ "/>
    <x v="7"/>
    <x v="58"/>
    <s v="Аргаяш "/>
    <s v="Ленина 3"/>
    <n v="89049720401"/>
    <s v="sport@argayash.ru"/>
    <s v="ДЮСШ"/>
    <s v="Нет"/>
    <n v="200"/>
    <x v="72"/>
    <x v="2"/>
    <x v="0"/>
    <x v="3"/>
    <n v="7"/>
    <n v="6"/>
    <n v="9"/>
    <n v="5"/>
    <n v="5"/>
    <n v="12"/>
    <n v="8"/>
    <n v="5"/>
    <n v="4"/>
    <n v="5"/>
    <n v="5"/>
    <n v="5"/>
    <s v="До 10 лет, До 12 лет, До 13 лет, До 15 лет, До 17 лет, До 19 лет"/>
    <s v="Да"/>
    <s v="Да"/>
    <n v="3"/>
    <n v="0"/>
    <s v="Кутлухужин _x000a_Сайфуллин_x000a_Манапов"/>
    <m/>
    <m/>
    <m/>
    <m/>
    <s v="Нет"/>
    <s v="Нет"/>
    <s v="Бесплатные Турниры среди ДЮСШ "/>
  </r>
  <r>
    <m/>
    <s v="МБУ ДО &quot;СШ по футболу &quot;Метар&quot; г. Челябинска"/>
    <x v="7"/>
    <x v="58"/>
    <s v="Челябинск"/>
    <s v="г. Челябинск ул Черкасская 1/4"/>
    <s v="218-73-38"/>
    <s v="74metar@mail.ru"/>
    <m/>
    <m/>
    <n v="140.4"/>
    <x v="36"/>
    <x v="6"/>
    <x v="8"/>
    <x v="2"/>
    <n v="8"/>
    <n v="7"/>
    <n v="2"/>
    <n v="1"/>
    <n v="3"/>
    <n v="3"/>
    <n v="5"/>
    <n v="3"/>
    <n v="3"/>
    <n v="1"/>
    <n v="1"/>
    <n v="3"/>
    <m/>
    <m/>
    <m/>
    <m/>
    <m/>
    <m/>
    <m/>
    <m/>
    <m/>
    <m/>
    <m/>
    <m/>
    <m/>
  </r>
  <r>
    <m/>
    <s v="МАудо сш-7 "/>
    <x v="7"/>
    <x v="58"/>
    <s v="Челябинск"/>
    <s v="Пр. Мира 45"/>
    <n v="83513665006"/>
    <s v="diussh7,@yandex.ru"/>
    <m/>
    <m/>
    <n v="72.8"/>
    <x v="45"/>
    <x v="1"/>
    <x v="0"/>
    <x v="0"/>
    <n v="0"/>
    <n v="0"/>
    <n v="0"/>
    <n v="0"/>
    <n v="13"/>
    <n v="10"/>
    <n v="5"/>
    <n v="0"/>
    <n v="0"/>
    <n v="0"/>
    <n v="0"/>
    <n v="0"/>
    <m/>
    <m/>
    <m/>
    <m/>
    <m/>
    <m/>
    <m/>
    <m/>
    <m/>
    <m/>
    <m/>
    <m/>
    <m/>
  </r>
  <r>
    <d v="2025-12-02T14:38:16"/>
    <s v="ДЮСК Ямбург"/>
    <x v="7"/>
    <x v="59"/>
    <s v="Новый Уренгой"/>
    <s v="Геологоразведчиков 20"/>
    <n v="84394966011"/>
    <s v="A.vdovikin@ygd.gazprom.ru"/>
    <s v="ДЕТСКО ЮНОШЕСКИЙ СПОРТИВНЫЙ КЛУБ"/>
    <s v="Нет"/>
    <n v="250"/>
    <x v="71"/>
    <x v="1"/>
    <x v="0"/>
    <x v="0"/>
    <n v="0"/>
    <n v="0"/>
    <n v="0"/>
    <n v="0"/>
    <n v="0"/>
    <n v="1"/>
    <n v="2"/>
    <n v="7"/>
    <n v="2"/>
    <n v="0"/>
    <n v="0"/>
    <n v="0"/>
    <s v="До 10 лет, До 12 лет, До 13 лет, До 15 лет, До 17 лет, До 19 лет"/>
    <s v="Да"/>
    <s v="Да"/>
    <n v="2"/>
    <n v="0"/>
    <s v="Шин Я.И., Шин И.Л."/>
    <m/>
    <m/>
    <m/>
    <m/>
    <s v="Да"/>
    <s v="Да"/>
    <m/>
  </r>
  <r>
    <m/>
    <s v="ЖФК Город Н"/>
    <x v="7"/>
    <x v="59"/>
    <s v="Ноябрьск"/>
    <s v="Лиственная 28"/>
    <n v="89220566936"/>
    <s v="r_gorodnov@list.ru"/>
    <m/>
    <m/>
    <n v="185"/>
    <x v="124"/>
    <x v="3"/>
    <x v="13"/>
    <x v="7"/>
    <n v="4"/>
    <n v="12"/>
    <n v="28"/>
    <n v="19"/>
    <n v="12"/>
    <n v="15"/>
    <n v="10"/>
    <n v="19"/>
    <n v="23"/>
    <n v="10"/>
    <n v="12"/>
    <n v="0"/>
    <m/>
    <m/>
    <m/>
    <m/>
    <m/>
    <m/>
    <m/>
    <m/>
    <m/>
    <m/>
    <m/>
    <m/>
    <m/>
  </r>
  <r>
    <d v="2025-11-26T14:53:29"/>
    <s v="ГБУ ДО &quot;СШОР №1 Белгородской области&quot;"/>
    <x v="6"/>
    <x v="60"/>
    <s v="Белгород"/>
    <s v="Белинского 4Б"/>
    <n v="89040806141"/>
    <s v="sdushorbel@yandex.ru"/>
    <s v="СШОР"/>
    <s v="Нет"/>
    <n v="397"/>
    <x v="70"/>
    <x v="1"/>
    <x v="0"/>
    <x v="0"/>
    <n v="1"/>
    <n v="4"/>
    <n v="4"/>
    <n v="10"/>
    <n v="6"/>
    <n v="6"/>
    <n v="4"/>
    <n v="13"/>
    <n v="0"/>
    <n v="0"/>
    <n v="0"/>
    <n v="0"/>
    <s v="До 13 лет"/>
    <s v="Да"/>
    <s v="Нет"/>
    <n v="1"/>
    <n v="1"/>
    <n v="0"/>
    <m/>
    <m/>
    <m/>
    <m/>
    <s v="Да"/>
    <s v="Нет"/>
    <m/>
  </r>
  <r>
    <d v="2025-11-24T17:20:30"/>
    <s v="ГБУ ДО &quot;СШОР № 1 Белгородской области"/>
    <x v="6"/>
    <x v="60"/>
    <s v="Белгород"/>
    <s v="г. Белгород, ул. Сумская, 64"/>
    <n v="79040806141"/>
    <s v="sdushorbel@yandex.ru"/>
    <s v="СШОР"/>
    <s v="РЦ"/>
    <n v="400"/>
    <x v="29"/>
    <x v="1"/>
    <x v="0"/>
    <x v="0"/>
    <n v="0"/>
    <n v="0"/>
    <n v="1"/>
    <n v="3"/>
    <n v="7"/>
    <n v="1"/>
    <n v="6"/>
    <n v="5"/>
    <n v="16"/>
    <n v="1"/>
    <n v="0"/>
    <n v="0"/>
    <s v="Соревновательной практики достаточно"/>
    <s v="Нет"/>
    <s v="Да"/>
    <n v="2"/>
    <n v="2"/>
    <s v="Толстая Е.С. С-УЕФА, Холоденко В.В. С-УЕФА"/>
    <n v="2"/>
    <m/>
    <m/>
    <m/>
    <s v="Да"/>
    <s v="Нет"/>
    <m/>
  </r>
  <r>
    <d v="2025-11-19T11:12:02"/>
    <s v="МБУДО СШ №6"/>
    <x v="6"/>
    <x v="60"/>
    <s v="Белгород"/>
    <s v="пр-т. Богдана Хмельницкого 107"/>
    <n v="84722320697"/>
    <s v="   sport6@beluo31.ru"/>
    <s v="СШ"/>
    <s v="Нет"/>
    <n v="880"/>
    <x v="43"/>
    <x v="1"/>
    <x v="0"/>
    <x v="0"/>
    <n v="0"/>
    <n v="0"/>
    <n v="14"/>
    <n v="4"/>
    <n v="10"/>
    <n v="4"/>
    <n v="5"/>
    <n v="8"/>
    <n v="6"/>
    <n v="6"/>
    <n v="0"/>
    <n v="0"/>
    <s v="До 10 лет, До 12 лет, До 13 лет, До 15 лет, До 17 лет, До 19 лет"/>
    <s v="Да"/>
    <s v="Нет"/>
    <n v="2"/>
    <n v="0"/>
    <n v="0"/>
    <m/>
    <m/>
    <m/>
    <m/>
    <s v="Да"/>
    <s v="Нет"/>
    <m/>
  </r>
  <r>
    <d v="2025-11-18T10:22:26"/>
    <s v="МБУ ДО &quot;Вейделевская спортивная школа&quot;"/>
    <x v="6"/>
    <x v="60"/>
    <s v="Вейделевский муниципальный округ"/>
    <s v="309720 Белгородская область, п.Вейделевка, ул.Центральная 32 а"/>
    <n v="4723755937"/>
    <s v="vej-sport@yandex.ru"/>
    <s v="СШ"/>
    <s v="Нет"/>
    <n v="119"/>
    <x v="15"/>
    <x v="1"/>
    <x v="0"/>
    <x v="0"/>
    <n v="0"/>
    <n v="0"/>
    <n v="0"/>
    <n v="0"/>
    <n v="0"/>
    <n v="0"/>
    <n v="11"/>
    <n v="9"/>
    <n v="5"/>
    <n v="0"/>
    <n v="0"/>
    <n v="0"/>
    <s v="недостаточно во всех возрастах"/>
    <s v="Нет"/>
    <s v="Да"/>
    <n v="1"/>
    <n v="0"/>
    <s v="нет"/>
    <m/>
    <m/>
    <m/>
    <m/>
    <s v="Да"/>
    <s v="Да"/>
    <s v="Побольше соревнований для девочек"/>
  </r>
  <r>
    <d v="2025-11-26T14:47:36"/>
    <s v="МБУДО &quot;СШ №3&quot;"/>
    <x v="6"/>
    <x v="60"/>
    <s v="Губкин"/>
    <s v="г. Губкин ул. Комсомольская, зд. 18"/>
    <n v="84724155624"/>
    <s v="f-shool@yandex.ru"/>
    <s v="СШ"/>
    <s v="Нет"/>
    <n v="169"/>
    <x v="3"/>
    <x v="1"/>
    <x v="0"/>
    <x v="1"/>
    <n v="3"/>
    <n v="1"/>
    <n v="1"/>
    <n v="5"/>
    <n v="2"/>
    <n v="0"/>
    <n v="0"/>
    <n v="0"/>
    <n v="0"/>
    <n v="0"/>
    <n v="0"/>
    <n v="0"/>
    <s v="Соревновательной практики достаточно"/>
    <s v="Да"/>
    <s v="Нет"/>
    <n v="1"/>
    <n v="0"/>
    <n v="0"/>
    <m/>
    <m/>
    <m/>
    <m/>
    <s v="Нет"/>
    <s v="Нет"/>
    <m/>
  </r>
  <r>
    <d v="2025-11-17T14:20:16"/>
    <s v="МБУДО &quot;Краснояружская ДЮСШ&quot;"/>
    <x v="6"/>
    <x v="60"/>
    <s v="Красная Яруга"/>
    <s v="Белгородская область, Краснояружский район, п. Красная Яруга, ул. Победы, 1Б"/>
    <s v="(47263)45034"/>
    <s v="sport1214@mail.ru"/>
    <s v="ДЮСШ"/>
    <s v="Нет"/>
    <n v="106"/>
    <x v="29"/>
    <x v="1"/>
    <x v="5"/>
    <x v="8"/>
    <n v="2"/>
    <n v="0"/>
    <n v="0"/>
    <n v="1"/>
    <n v="9"/>
    <n v="4"/>
    <n v="5"/>
    <n v="5"/>
    <n v="3"/>
    <n v="0"/>
    <n v="0"/>
    <n v="0"/>
    <s v="Соревновательной практики достаточно"/>
    <s v="Да"/>
    <s v="Нет"/>
    <n v="2"/>
    <n v="0"/>
    <s v="нет"/>
    <m/>
    <m/>
    <m/>
    <m/>
    <s v="Нет"/>
    <s v="Нет"/>
    <m/>
  </r>
  <r>
    <d v="2025-11-24T21:19:28"/>
    <s v="АНО ФК &quot;Молния-31&quot;"/>
    <x v="6"/>
    <x v="60"/>
    <s v="Старый Оскол"/>
    <s v="309502, Белгородская область, г Старый Оскол, мкр Дубрава Квартал 1, д. 7, кв. 19 "/>
    <n v="79507149253"/>
    <s v="molniafc@yandex.ru"/>
    <s v="Автономная некоммерческая организация "/>
    <s v="Нет"/>
    <n v="200"/>
    <x v="30"/>
    <x v="1"/>
    <x v="0"/>
    <x v="0"/>
    <n v="0"/>
    <n v="0"/>
    <n v="0"/>
    <n v="0"/>
    <n v="0"/>
    <n v="0"/>
    <n v="0"/>
    <n v="2"/>
    <n v="3"/>
    <n v="5"/>
    <n v="19"/>
    <n v="1"/>
    <s v="До 13 лет, До 15 лет, До 17 лет, До 19 лет"/>
    <s v="Да"/>
    <s v="Да"/>
    <n v="1"/>
    <n v="1"/>
    <s v="Струев Н.В. C-УЕФА"/>
    <n v="1"/>
    <m/>
    <m/>
    <m/>
    <s v="Нет"/>
    <s v="Нет"/>
    <m/>
  </r>
  <r>
    <d v="2025-11-17T14:53:40"/>
    <s v="МБУ ДО СШ &quot;Спартак&quot;"/>
    <x v="6"/>
    <x v="60"/>
    <s v="Старый Оскол"/>
    <s v="Белгородская область, город Старый Оскол, м-н Горняк, 22а"/>
    <s v="8(4725) 39-51-75"/>
    <s v="spartak.4725@mail.ru"/>
    <s v="СШ"/>
    <s v="ДФЦ"/>
    <n v="503"/>
    <x v="2"/>
    <x v="1"/>
    <x v="0"/>
    <x v="0"/>
    <n v="0"/>
    <n v="1"/>
    <n v="4"/>
    <n v="2"/>
    <n v="3"/>
    <n v="13"/>
    <n v="11"/>
    <n v="15"/>
    <n v="7"/>
    <n v="5"/>
    <n v="1"/>
    <n v="0"/>
    <s v="До 10 лет, До 12 лет, До 13 лет, До 15 лет, До 17 лет"/>
    <s v="Нет"/>
    <s v="Нет"/>
    <n v="2"/>
    <n v="2"/>
    <s v="Шаповалова Т.С.- С-УЕФА; Дмитриева Н.А.-нет"/>
    <n v="1"/>
    <m/>
    <m/>
    <m/>
    <s v="Да"/>
    <s v="Да"/>
    <m/>
  </r>
  <r>
    <d v="2025-11-25T12:06:32"/>
    <s v="Детский спорт клуб Алтуховка"/>
    <x v="6"/>
    <x v="9"/>
    <s v="Алтухово"/>
    <s v="242150 Брянская область Навлинский район п. Алтухово ул. Вяльцевой д. 1а"/>
    <n v="84834238222"/>
    <s v="nav-altuhovo@mail.ru"/>
    <s v="СШ"/>
    <s v="Нет"/>
    <n v="118"/>
    <x v="103"/>
    <x v="1"/>
    <x v="0"/>
    <x v="0"/>
    <n v="1"/>
    <n v="2"/>
    <n v="2"/>
    <n v="4"/>
    <n v="14"/>
    <n v="6"/>
    <n v="6"/>
    <n v="7"/>
    <n v="3"/>
    <n v="11"/>
    <n v="3"/>
    <n v="0"/>
    <s v="Соревновательной практики достаточно"/>
    <s v="Да"/>
    <s v="Да"/>
    <n v="2"/>
    <n v="1"/>
    <s v="нет"/>
    <m/>
    <m/>
    <m/>
    <m/>
    <s v="Нет"/>
    <s v="Нет"/>
    <m/>
  </r>
  <r>
    <d v="2025-11-24T18:29:41"/>
    <s v="АНО ДО &quot;Футбольная школа Александра Степина&quot;"/>
    <x v="6"/>
    <x v="9"/>
    <s v="Брянск"/>
    <s v="241013, г. Брянск, ул. Металлистов, д.2, кв. 207"/>
    <n v="89155302199"/>
    <s v="stepinav2008@yandex.ru"/>
    <s v="автономная некоммерческая организация дополнительного образования"/>
    <s v="ДФЦ"/>
    <n v="657"/>
    <x v="34"/>
    <x v="1"/>
    <x v="0"/>
    <x v="0"/>
    <n v="0"/>
    <n v="0"/>
    <n v="0"/>
    <n v="0"/>
    <n v="2"/>
    <n v="4"/>
    <n v="3"/>
    <n v="6"/>
    <n v="4"/>
    <n v="1"/>
    <n v="1"/>
    <n v="0"/>
    <s v="До 10 лет, До 12 лет"/>
    <s v="Да"/>
    <s v="Нет"/>
    <n v="5"/>
    <n v="1"/>
    <s v="Ермакова Юлия Владимировна, Алешин Алексей Викторович, Рыченков Андрей Сергеевич, Семин Владимир Сергеевич, Гербик Николай Николаевич"/>
    <m/>
    <m/>
    <m/>
    <m/>
    <s v="Нет"/>
    <s v="Нет"/>
    <m/>
  </r>
  <r>
    <d v="2025-11-24T17:05:49"/>
    <s v="АНО ДО «Юный Динамовец»"/>
    <x v="6"/>
    <x v="9"/>
    <s v="Брянск"/>
    <s v="241019, Брянская Область, г. Брянск, ул. Красноармейская, д. 138а, помещ. 3"/>
    <n v="89532881970"/>
    <s v="sonka1811@yandex.ru"/>
    <s v="Организация доп. образования "/>
    <s v="Нет"/>
    <n v="300"/>
    <x v="62"/>
    <x v="1"/>
    <x v="0"/>
    <x v="0"/>
    <n v="0"/>
    <n v="0"/>
    <n v="0"/>
    <n v="5"/>
    <n v="5"/>
    <n v="5"/>
    <n v="5"/>
    <n v="10"/>
    <n v="10"/>
    <n v="10"/>
    <n v="5"/>
    <n v="5"/>
    <s v="Соревновательной практики достаточно"/>
    <s v="Нет"/>
    <s v="Нет"/>
    <n v="2"/>
    <n v="2"/>
    <n v="0"/>
    <m/>
    <m/>
    <m/>
    <m/>
    <s v="Нет"/>
    <s v="Нет"/>
    <m/>
  </r>
  <r>
    <d v="2025-11-26T14:57:48"/>
    <s v="АНО ДО Академия Алимпика"/>
    <x v="6"/>
    <x v="9"/>
    <s v="Брянск"/>
    <s v="Брянск ул. Красных партизан д. 31"/>
    <n v="89191910009"/>
    <s v="info@akademy-alimpika.ru"/>
    <s v="частная школа"/>
    <s v="Нет"/>
    <n v="420"/>
    <x v="14"/>
    <x v="1"/>
    <x v="0"/>
    <x v="0"/>
    <n v="0"/>
    <n v="0"/>
    <n v="0"/>
    <n v="1"/>
    <n v="0"/>
    <n v="0"/>
    <n v="0"/>
    <n v="4"/>
    <n v="3"/>
    <n v="3"/>
    <n v="0"/>
    <n v="0"/>
    <s v="Соревновательной практики достаточно"/>
    <s v="Да"/>
    <s v="Нет"/>
    <n v="0"/>
    <n v="0"/>
    <n v="0"/>
    <m/>
    <m/>
    <m/>
    <m/>
    <s v="Нет"/>
    <s v="Нет"/>
    <m/>
  </r>
  <r>
    <d v="2025-11-24T16:41:12"/>
    <s v="Ассоциация НП &quot;ФК &quot;Динамо-Брянск&quot;"/>
    <x v="6"/>
    <x v="9"/>
    <s v="Брянск"/>
    <s v="Бульвар Гагарина, 28"/>
    <s v="+7 (4832) 66-28-18"/>
    <s v="stadion08@yandex.ru"/>
    <s v="СШ"/>
    <s v="ДФЦ"/>
    <n v="280"/>
    <x v="25"/>
    <x v="1"/>
    <x v="0"/>
    <x v="0"/>
    <n v="0"/>
    <n v="0"/>
    <n v="0"/>
    <n v="0"/>
    <n v="0"/>
    <n v="0"/>
    <n v="4"/>
    <n v="8"/>
    <n v="9"/>
    <n v="11"/>
    <n v="9"/>
    <n v="0"/>
    <s v="До 10 лет, До 12 лет, До 13 лет, До 15 лет, До 17 лет, До 19 лет"/>
    <s v="Да"/>
    <s v="Да"/>
    <n v="2"/>
    <n v="1"/>
    <s v="Бабенкин В. С-УЕФА"/>
    <n v="1"/>
    <m/>
    <m/>
    <m/>
    <s v="Да"/>
    <s v="Нет"/>
    <m/>
  </r>
  <r>
    <d v="2025-11-24T17:01:17"/>
    <s v="Брянский государственный спортивный комбинат"/>
    <x v="6"/>
    <x v="9"/>
    <s v="Брянск"/>
    <s v="г. Брянск ул. 2 - я аллея д.1"/>
    <s v="+7 (4832) 59-54-04"/>
    <s v="bgskspartak@mail.ru"/>
    <s v="Спортивный комбинат "/>
    <s v="Нет"/>
    <n v="1000"/>
    <x v="125"/>
    <x v="32"/>
    <x v="1"/>
    <x v="3"/>
    <n v="14"/>
    <n v="4"/>
    <n v="21"/>
    <n v="17"/>
    <n v="17"/>
    <n v="18"/>
    <n v="27"/>
    <n v="17"/>
    <n v="25"/>
    <n v="15"/>
    <n v="15"/>
    <n v="10"/>
    <s v="Соревновательной практики достаточно"/>
    <s v="Нет"/>
    <s v="Да"/>
    <n v="4"/>
    <n v="3"/>
    <s v="Савкина Софья Андреевна- С УЕФА_x000a_Родин Артём Васильевич - С УЕФА"/>
    <n v="2"/>
    <m/>
    <m/>
    <m/>
    <s v="Нет"/>
    <s v="Нет"/>
    <m/>
  </r>
  <r>
    <d v="2025-11-17T16:25:00"/>
    <s v="МБУ ДО СШ &quot;Партизан&quot;"/>
    <x v="6"/>
    <x v="9"/>
    <s v="Брянск"/>
    <s v="г. Брянск, ул. Пушкина, 67"/>
    <s v="(4832) 36-25-85"/>
    <s v="partizan-bryansk@yandex.ru"/>
    <s v="СШ"/>
    <s v="Нет"/>
    <n v="403"/>
    <x v="8"/>
    <x v="1"/>
    <x v="0"/>
    <x v="0"/>
    <n v="0"/>
    <n v="0"/>
    <n v="2"/>
    <n v="0"/>
    <n v="0"/>
    <n v="0"/>
    <n v="0"/>
    <n v="0"/>
    <n v="0"/>
    <n v="0"/>
    <n v="0"/>
    <n v="0"/>
    <s v="До 10 лет, До 12 лет, До 13 лет, До 15 лет"/>
    <s v="Да"/>
    <s v="Нет"/>
    <n v="0"/>
    <n v="0"/>
    <s v="нет"/>
    <m/>
    <m/>
    <m/>
    <m/>
    <s v="Да"/>
    <s v="Нет"/>
    <m/>
  </r>
  <r>
    <d v="2025-11-18T12:09:17"/>
    <s v="АНО ФК &quot;ОЛИМП&quot;"/>
    <x v="6"/>
    <x v="9"/>
    <s v="Брянск"/>
    <s v="г. Брянск, ул. Шевченко, 44"/>
    <n v="89803335291"/>
    <s v="olimp-fs32@rambler.ru"/>
    <s v="АНО"/>
    <s v="Нет"/>
    <n v="230"/>
    <x v="3"/>
    <x v="1"/>
    <x v="0"/>
    <x v="0"/>
    <n v="0"/>
    <n v="0"/>
    <n v="0"/>
    <n v="0"/>
    <n v="0"/>
    <n v="0"/>
    <n v="0"/>
    <n v="1"/>
    <n v="5"/>
    <n v="2"/>
    <n v="2"/>
    <n v="5"/>
    <s v="До 10 лет, До 12 лет, До 13 лет, До 15 лет, До 17 лет, До 19 лет"/>
    <s v="Да"/>
    <s v="Да"/>
    <n v="2"/>
    <n v="1"/>
    <s v="Дуденков А.А. C-УЕФА, Казанская О.Ю. C-УЕФА"/>
    <n v="2"/>
    <m/>
    <m/>
    <m/>
    <s v="Да"/>
    <s v="Нет"/>
    <s v="Хотели бы получать на регулярной основе методическую поддержку. Проведение в режиме оффлайн мероприятий на тему развития женского футбола и заблаговременно получать информацию для участия в них."/>
  </r>
  <r>
    <d v="2025-11-24T16:55:24"/>
    <s v="Триумф"/>
    <x v="6"/>
    <x v="9"/>
    <s v="Дятьково "/>
    <s v="г. Дятьково, Брянской обл. ул. Крупской д.5"/>
    <s v="3-20-83"/>
    <s v="dtsch2@mail.ru"/>
    <s v="МУДО СШ"/>
    <s v="Нет"/>
    <n v="54"/>
    <x v="71"/>
    <x v="1"/>
    <x v="0"/>
    <x v="0"/>
    <n v="0"/>
    <n v="0"/>
    <n v="1"/>
    <n v="2"/>
    <n v="9"/>
    <n v="0"/>
    <n v="0"/>
    <n v="0"/>
    <n v="0"/>
    <n v="0"/>
    <n v="0"/>
    <n v="0"/>
    <s v="До 10 лет, До 12 лет, До 13 лет, До 15 лет, До 17 лет, До 19 лет"/>
    <s v="Да"/>
    <s v="Да"/>
    <n v="1"/>
    <n v="0"/>
    <s v="Гришков А.Г."/>
    <m/>
    <m/>
    <m/>
    <m/>
    <s v="Нет"/>
    <s v="Нет"/>
    <m/>
  </r>
  <r>
    <d v="2025-11-18T10:41:34"/>
    <s v="МАУ Цфкис Десна"/>
    <x v="6"/>
    <x v="9"/>
    <s v="Жуковка "/>
    <s v="Пер.Первомайский д 43"/>
    <n v="823437120"/>
    <s v="dush-zhu@ yandex.ru"/>
    <s v="ДЮСШ"/>
    <s v="Нет"/>
    <n v="40"/>
    <x v="9"/>
    <x v="1"/>
    <x v="0"/>
    <x v="0"/>
    <n v="0"/>
    <n v="0"/>
    <n v="0"/>
    <n v="0"/>
    <n v="1"/>
    <n v="0"/>
    <n v="0"/>
    <n v="4"/>
    <n v="0"/>
    <n v="0"/>
    <n v="0"/>
    <n v="0"/>
    <s v="Они хотят играть с мальчиками"/>
    <s v="Да"/>
    <s v="Нет"/>
    <n v="1"/>
    <n v="0"/>
    <s v="Нет"/>
    <m/>
    <m/>
    <m/>
    <m/>
    <s v="Да"/>
    <s v="Нет"/>
    <s v="Разрешить участвовать в соревнованиях вместе с мальчиками,т.к на команду не можем набрать девочек одного года"/>
  </r>
  <r>
    <d v="2025-12-01T11:39:33"/>
    <s v="СК Соколята "/>
    <x v="6"/>
    <x v="9"/>
    <s v="Злынка "/>
    <s v="Вокзальная 36б кв 5"/>
    <n v="89605609991"/>
    <s v="nosenkovl75@gmail.com "/>
    <s v="спортклуб"/>
    <s v="Нет"/>
    <n v="46"/>
    <x v="3"/>
    <x v="1"/>
    <x v="0"/>
    <x v="0"/>
    <n v="0"/>
    <n v="0"/>
    <n v="0"/>
    <n v="5"/>
    <n v="5"/>
    <n v="5"/>
    <n v="0"/>
    <n v="0"/>
    <n v="0"/>
    <n v="0"/>
    <n v="0"/>
    <n v="0"/>
    <m/>
    <s v="Да"/>
    <s v="Нет"/>
    <n v="1"/>
    <n v="0"/>
    <n v="0"/>
    <m/>
    <m/>
    <m/>
    <m/>
    <s v="Нет"/>
    <s v="Нет"/>
    <m/>
  </r>
  <r>
    <d v="2025-11-24T17:21:55"/>
    <s v="Карловцы СК "/>
    <x v="6"/>
    <x v="9"/>
    <s v="Клинцы"/>
    <s v="Брянская область, г. Клинцы, ул. Калинина, д. 155"/>
    <s v="8-4336-55175"/>
    <s v="klsch9@yandex.ru"/>
    <s v="СШ"/>
    <s v="Нет"/>
    <n v="216"/>
    <x v="96"/>
    <x v="1"/>
    <x v="0"/>
    <x v="0"/>
    <n v="0"/>
    <n v="0"/>
    <n v="0"/>
    <n v="0"/>
    <n v="4"/>
    <n v="16"/>
    <n v="13"/>
    <n v="4"/>
    <n v="4"/>
    <n v="6"/>
    <n v="5"/>
    <n v="0"/>
    <s v="во всех возрастных категориях"/>
    <s v="Да"/>
    <s v="Нет"/>
    <n v="2"/>
    <n v="1"/>
    <s v="Зимина А.В. - нет"/>
    <m/>
    <m/>
    <m/>
    <m/>
    <s v="Нет"/>
    <s v="Нет"/>
    <s v="Мы всем довольны!"/>
  </r>
  <r>
    <m/>
    <s v="ШСК МОУ СОШ ЛЦО"/>
    <x v="5"/>
    <x v="33"/>
    <s v="Д. Лесколово"/>
    <s v="ЛО, Всеволожский р-н, д. Лесколово, ул. Красногорская, д. 6"/>
    <n v="88137054167"/>
    <s v="leskl@vsevobr.ru"/>
    <m/>
    <m/>
    <n v="65"/>
    <x v="15"/>
    <x v="1"/>
    <x v="0"/>
    <x v="0"/>
    <n v="6"/>
    <n v="6"/>
    <n v="0"/>
    <n v="0"/>
    <n v="2"/>
    <n v="0"/>
    <n v="2"/>
    <n v="6"/>
    <n v="3"/>
    <n v="0"/>
    <n v="0"/>
    <n v="0"/>
    <m/>
    <m/>
    <m/>
    <m/>
    <m/>
    <m/>
    <m/>
    <m/>
    <m/>
    <m/>
    <m/>
    <m/>
    <m/>
  </r>
  <r>
    <d v="2025-12-01T14:14:10"/>
    <s v="Муниципальное бюджетное учреждение дополнительного образования &quot;Мглинская спортивная школа&quot; Брянской области"/>
    <x v="6"/>
    <x v="9"/>
    <s v="Мглин"/>
    <s v="243220, Брянская область, г. Мглин, пл. Советская, д.6а"/>
    <s v="8(48339) 2-31-09"/>
    <s v="8(48339) 2-31-09"/>
    <s v="СШ"/>
    <s v="Нет"/>
    <n v="58"/>
    <x v="17"/>
    <x v="1"/>
    <x v="0"/>
    <x v="0"/>
    <n v="0"/>
    <n v="0"/>
    <n v="5"/>
    <n v="2"/>
    <n v="6"/>
    <n v="0"/>
    <n v="1"/>
    <n v="0"/>
    <n v="2"/>
    <n v="0"/>
    <n v="0"/>
    <n v="0"/>
    <s v="хотелось бы соревнований для смешанных команд"/>
    <s v="Да"/>
    <s v="Нет"/>
    <n v="1"/>
    <n v="0"/>
    <n v="0"/>
    <m/>
    <m/>
    <m/>
    <m/>
    <s v="Нет"/>
    <s v="Нет"/>
    <m/>
  </r>
  <r>
    <d v="2025-11-27T11:48:05"/>
    <s v="Навлинская МДУ ДО Спортивная школа"/>
    <x v="6"/>
    <x v="9"/>
    <s v="Навля"/>
    <s v="улица. Ленина дом 84"/>
    <n v="79065029577"/>
    <s v="navlya.diussh@yandex.ru"/>
    <s v="СШ"/>
    <s v="Нет"/>
    <n v="96"/>
    <x v="8"/>
    <x v="1"/>
    <x v="0"/>
    <x v="0"/>
    <n v="0"/>
    <n v="0"/>
    <n v="0"/>
    <n v="2"/>
    <n v="0"/>
    <n v="0"/>
    <n v="0"/>
    <n v="0"/>
    <n v="0"/>
    <n v="0"/>
    <n v="0"/>
    <n v="0"/>
    <s v="нет смысла "/>
    <s v="Да"/>
    <s v="Нет"/>
    <n v="0"/>
    <n v="0"/>
    <n v="0"/>
    <m/>
    <m/>
    <m/>
    <m/>
    <s v="Да"/>
    <s v="Нет"/>
    <m/>
  </r>
  <r>
    <d v="2025-11-27T12:34:29"/>
    <s v="Спортивный клуб Бобовичи  "/>
    <x v="6"/>
    <x v="9"/>
    <s v="Новые Бобовичи"/>
    <s v="Улица Советская д. 30"/>
    <n v="9308214496"/>
    <s v="aleksandreroshenko@mail.ru"/>
    <s v="СК СОШ"/>
    <s v="Нет"/>
    <n v="38"/>
    <x v="34"/>
    <x v="1"/>
    <x v="0"/>
    <x v="0"/>
    <n v="0"/>
    <n v="2"/>
    <n v="4"/>
    <n v="0"/>
    <n v="1"/>
    <n v="5"/>
    <n v="4"/>
    <n v="2"/>
    <n v="0"/>
    <n v="1"/>
    <n v="0"/>
    <n v="2"/>
    <s v="Соревновательной практики достаточно"/>
    <s v="Да"/>
    <s v="Нет"/>
    <n v="1"/>
    <n v="0"/>
    <s v="Нет"/>
    <m/>
    <m/>
    <m/>
    <m/>
    <s v="Нет"/>
    <s v="Нет"/>
    <m/>
  </r>
  <r>
    <d v="2025-11-17T14:18:07"/>
    <s v="МАУ ДО &quot;Спортивная школа &quot;Чемпион&quot; Почепского района&quot;"/>
    <x v="6"/>
    <x v="9"/>
    <s v="Почеп"/>
    <s v="БРЯНСКАЯ ОБЛАСТЬ, ПОЧЕПСКИЙ Р-Н, 1 ПОЧЕПСКОЕ, Г ПОЧЕП, ПРОЕЗД 1-Й ОКТЯБРЬСКИЙ, Д. 3А"/>
    <n v="89532710902"/>
    <s v="cool.sovetova2012@gmail.com"/>
    <s v="СШ"/>
    <s v="Нет"/>
    <n v="82"/>
    <x v="8"/>
    <x v="1"/>
    <x v="0"/>
    <x v="0"/>
    <n v="0"/>
    <n v="0"/>
    <n v="1"/>
    <n v="1"/>
    <n v="0"/>
    <n v="0"/>
    <n v="0"/>
    <n v="0"/>
    <n v="0"/>
    <n v="0"/>
    <n v="0"/>
    <n v="0"/>
    <s v="До 10 лет, До 12 лет, До 13 лет, До 15 лет"/>
    <s v="Да"/>
    <s v="Да"/>
    <n v="0"/>
    <n v="0"/>
    <s v="нет"/>
    <m/>
    <m/>
    <m/>
    <m/>
    <s v="Нет"/>
    <s v="Нет"/>
    <m/>
  </r>
  <r>
    <d v="2025-11-24T16:13:30"/>
    <s v="МБУДО &quot;Рогнединская СШ&quot;"/>
    <x v="6"/>
    <x v="9"/>
    <s v="рп Рогнедино"/>
    <s v="ул. Ленина 40"/>
    <n v="84833121316"/>
    <s v="rognedinosport@rambler.ru"/>
    <s v="СШ"/>
    <s v="Нет"/>
    <n v="56"/>
    <x v="5"/>
    <x v="1"/>
    <x v="0"/>
    <x v="0"/>
    <n v="0"/>
    <n v="0"/>
    <n v="0"/>
    <n v="0"/>
    <n v="0"/>
    <n v="4"/>
    <n v="2"/>
    <n v="2"/>
    <n v="0"/>
    <n v="0"/>
    <n v="0"/>
    <n v="0"/>
    <s v="До 13 лет"/>
    <s v="Да"/>
    <s v="Да"/>
    <n v="1"/>
    <n v="1"/>
    <s v="Милевская О.С."/>
    <m/>
    <m/>
    <m/>
    <m/>
    <s v="Нет"/>
    <s v="Нет"/>
    <s v="Разрешить играть девочкам вместе с мальчиками"/>
  </r>
  <r>
    <d v="2025-11-27T11:50:16"/>
    <s v="МБУ ДО СШ &quot;Буревестник&quot; г. Севск"/>
    <x v="6"/>
    <x v="9"/>
    <s v="Севск"/>
    <s v="242440 Брянская область, г. Севск, ул. Розы Люксембург, д. 50"/>
    <s v="8(48356) 9-70-65"/>
    <s v="burevestniksevsk@yandex.ru"/>
    <s v="СШ"/>
    <s v="Нет"/>
    <n v="69"/>
    <x v="11"/>
    <x v="1"/>
    <x v="0"/>
    <x v="0"/>
    <n v="0"/>
    <n v="0"/>
    <n v="0"/>
    <n v="0"/>
    <n v="1"/>
    <n v="0"/>
    <n v="0"/>
    <n v="0"/>
    <n v="0"/>
    <n v="0"/>
    <n v="0"/>
    <n v="0"/>
    <s v="Соревновательной практики достаточно"/>
    <s v="Да"/>
    <s v="Нет"/>
    <n v="0"/>
    <n v="0"/>
    <n v="0"/>
    <m/>
    <m/>
    <m/>
    <m/>
    <s v="Нет"/>
    <s v="Нет"/>
    <m/>
  </r>
  <r>
    <d v="2025-11-25T14:23:59"/>
    <s v="Орлята СК"/>
    <x v="6"/>
    <x v="9"/>
    <s v="Супонево"/>
    <s v="С.Супонево, ул.Советская, д.10А"/>
    <n v="4832921598"/>
    <s v="&quot;suponevo-2-032@yandex.ru&quot; &lt;suponevo-2-032@yandex.ru&gt;"/>
    <s v="СШ"/>
    <s v="Нет"/>
    <n v="79"/>
    <x v="50"/>
    <x v="1"/>
    <x v="0"/>
    <x v="0"/>
    <n v="0"/>
    <n v="0"/>
    <n v="9"/>
    <n v="5"/>
    <n v="6"/>
    <n v="0"/>
    <n v="0"/>
    <n v="0"/>
    <n v="0"/>
    <n v="5"/>
    <n v="10"/>
    <n v="0"/>
    <s v="До 10 лет"/>
    <s v="Да"/>
    <s v="Нет"/>
    <n v="1"/>
    <n v="1"/>
    <s v="Арещенко Л.А."/>
    <m/>
    <m/>
    <m/>
    <m/>
    <s v="Нет"/>
    <s v="Нет"/>
    <m/>
  </r>
  <r>
    <d v="2025-11-19T19:59:48"/>
    <s v="ГАУ ДО ВО &quot;СШ &quot;Ротор&quot;"/>
    <x v="6"/>
    <x v="61"/>
    <s v="Волгоград"/>
    <s v="400074, г. Волгоград, ул. Баррикадная, 25"/>
    <s v="+7 (8442) 99-78-06"/>
    <s v="rotor@volganet.ru"/>
    <s v="СШ"/>
    <s v="Нет"/>
    <n v="484"/>
    <x v="126"/>
    <x v="1"/>
    <x v="3"/>
    <x v="4"/>
    <n v="4"/>
    <n v="13"/>
    <n v="8"/>
    <n v="6"/>
    <n v="5"/>
    <n v="8"/>
    <n v="10"/>
    <n v="5"/>
    <n v="6"/>
    <n v="18"/>
    <n v="6"/>
    <n v="0"/>
    <s v="До 15 лет, До 17 лет, До 19 лет"/>
    <s v="Да"/>
    <s v="Нет"/>
    <n v="4"/>
    <n v="1"/>
    <s v="Иванова М.А. B-УЕФА, Братухин П.А. В-УЕФА, Арстанов Р.З. С-УЕФА, Михайлов Н.А. B-УЕФА детско-юношеский футбол"/>
    <n v="1"/>
    <n v="3"/>
    <m/>
    <m/>
    <s v="Да"/>
    <s v="Да"/>
    <m/>
  </r>
  <r>
    <d v="2025-11-21T13:24:30"/>
    <s v="Мунипальное бюджетное учреждение дополнительного образования Спортивная школа олимпийского резерва № 11 &quot;Зенит-Волгоград&quot;"/>
    <x v="6"/>
    <x v="61"/>
    <s v="Волгоград"/>
    <s v="г. Волгоград, ул. им. Гули Королевой, 8"/>
    <n v="8442358221"/>
    <s v="chkola11zenit@mail.ru"/>
    <s v="СШОР"/>
    <s v="ДФЦ"/>
    <n v="850"/>
    <x v="127"/>
    <x v="5"/>
    <x v="2"/>
    <x v="5"/>
    <n v="0"/>
    <n v="2"/>
    <n v="5"/>
    <n v="14"/>
    <n v="23"/>
    <n v="10"/>
    <n v="24"/>
    <n v="26"/>
    <n v="15"/>
    <n v="5"/>
    <n v="0"/>
    <n v="0"/>
    <s v="До 10 лет, До 12 лет, До 13 лет, До 15 лет, До 17 лет, До 19 лет"/>
    <s v="Да"/>
    <s v="Да"/>
    <n v="5"/>
    <n v="1"/>
    <s v="Пронченко В.И. С-УЕФА_x000a_Науменко И.М. С-УЕФА_x000a_Курьянов И.М.  С-УЕФА"/>
    <n v="3"/>
    <m/>
    <m/>
    <m/>
    <s v="Да"/>
    <s v="Нет"/>
    <s v="Включить команды МБУ ДО СШОР № 11 &quot;Зенит-Волгоград&quot;  в Юношескую футбольную лигу сезона 2026 года среди девочек до 14 лет и среди девушек до 16 лет от Волгоградской области. "/>
  </r>
  <r>
    <d v="2025-12-04T16:18:12"/>
    <s v="СК ВГСПУ"/>
    <x v="6"/>
    <x v="61"/>
    <s v="Волгоград"/>
    <s v="просп. имени В.И. Ленина, 27, Волгоград"/>
    <s v="(8442) 60-28-76"/>
    <s v="vspu@vspu.ru"/>
    <s v="СК"/>
    <s v="Нет"/>
    <n v="46"/>
    <x v="95"/>
    <x v="0"/>
    <x v="3"/>
    <x v="7"/>
    <n v="0"/>
    <n v="0"/>
    <n v="0"/>
    <n v="0"/>
    <n v="0"/>
    <n v="0"/>
    <n v="0"/>
    <n v="0"/>
    <n v="0"/>
    <n v="0"/>
    <n v="0"/>
    <n v="0"/>
    <m/>
    <s v="Нет"/>
    <s v="Нет"/>
    <n v="1"/>
    <n v="1"/>
    <n v="0"/>
    <m/>
    <m/>
    <m/>
    <m/>
    <s v="Нет"/>
    <s v="Нет"/>
    <m/>
  </r>
  <r>
    <d v="2025-11-26T15:07:40"/>
    <s v="ВРДЮСОО по развитию футбола им. Л. Слуцкого"/>
    <x v="6"/>
    <x v="61"/>
    <s v="Волгоград"/>
    <s v="ул. гв. майора Степанищева, 2"/>
    <n v="89173383333"/>
    <s v="fsc_slutsky_vlg@mail.ru"/>
    <s v="ВРДЮСОО"/>
    <s v="Нет"/>
    <n v="409"/>
    <x v="0"/>
    <x v="1"/>
    <x v="0"/>
    <x v="0"/>
    <n v="0"/>
    <n v="0"/>
    <n v="0"/>
    <n v="0"/>
    <n v="0"/>
    <n v="3"/>
    <n v="3"/>
    <n v="4"/>
    <n v="0"/>
    <n v="0"/>
    <n v="0"/>
    <n v="0"/>
    <s v="Соревновательной практики достаточно"/>
    <s v="Да"/>
    <s v="Нет"/>
    <n v="1"/>
    <n v="0"/>
    <n v="0"/>
    <m/>
    <m/>
    <m/>
    <m/>
    <s v="Нет"/>
    <s v="Нет"/>
    <m/>
  </r>
  <r>
    <d v="2025-12-04T16:03:06"/>
    <s v="ЖФК Аксинья"/>
    <x v="6"/>
    <x v="61"/>
    <s v="Волгоград"/>
    <s v="ул. Гули Королевой 9"/>
    <n v="58221"/>
    <s v="нет"/>
    <s v="ЖФК"/>
    <s v="Нет"/>
    <n v="10"/>
    <x v="0"/>
    <x v="5"/>
    <x v="3"/>
    <x v="7"/>
    <n v="0"/>
    <n v="0"/>
    <n v="0"/>
    <n v="0"/>
    <n v="0"/>
    <n v="0"/>
    <n v="0"/>
    <n v="0"/>
    <n v="0"/>
    <n v="0"/>
    <n v="0"/>
    <n v="0"/>
    <s v="До 19 лет"/>
    <s v="Нет"/>
    <s v="Нет"/>
    <n v="1"/>
    <n v="1"/>
    <n v="0"/>
    <m/>
    <m/>
    <m/>
    <m/>
    <s v="Нет"/>
    <s v="Нет"/>
    <m/>
  </r>
  <r>
    <d v="2025-11-24T18:55:47"/>
    <s v="МБУ СШ 17 г. Камышин Волгоградской области"/>
    <x v="6"/>
    <x v="61"/>
    <s v="Камышин"/>
    <s v="ул. Текстильная 2"/>
    <n v="89608894954"/>
    <s v="dema0884@mail.ru"/>
    <s v="Сш"/>
    <s v="Нет"/>
    <n v="150"/>
    <x v="83"/>
    <x v="1"/>
    <x v="0"/>
    <x v="0"/>
    <n v="0"/>
    <n v="3"/>
    <n v="9"/>
    <n v="8"/>
    <n v="9"/>
    <n v="15"/>
    <n v="15"/>
    <n v="17"/>
    <n v="12"/>
    <n v="4"/>
    <n v="1"/>
    <n v="5"/>
    <s v="До 13 лет, До 15 лет, Соревновательной практики достаточно"/>
    <s v="Да"/>
    <s v="Нет"/>
    <n v="2"/>
    <n v="1"/>
    <s v="Демченко Никита Валерьевич лицензия В-Уефа"/>
    <m/>
    <n v="1"/>
    <m/>
    <m/>
    <s v="Нет"/>
    <s v="Нет"/>
    <m/>
  </r>
  <r>
    <d v="2025-11-27T12:20:23"/>
    <s v="Муниципальное учреждение &quot;Спортивная школа имени Богатырева А.М.&quot; "/>
    <x v="6"/>
    <x v="61"/>
    <s v="Николаевск"/>
    <s v=" ул. Октябрьская , 23а"/>
    <s v="8(844 94) 6-12-50"/>
    <s v="dush64@yandex.ru"/>
    <s v="СШ"/>
    <s v="Нет"/>
    <n v="290"/>
    <x v="39"/>
    <x v="1"/>
    <x v="0"/>
    <x v="0"/>
    <n v="0"/>
    <n v="0"/>
    <n v="0"/>
    <n v="0"/>
    <n v="10"/>
    <n v="28"/>
    <n v="8"/>
    <n v="0"/>
    <n v="0"/>
    <n v="0"/>
    <n v="0"/>
    <n v="0"/>
    <s v="Соревновательной практики достаточно"/>
    <s v="Да"/>
    <s v="Нет"/>
    <n v="1"/>
    <n v="0"/>
    <n v="0"/>
    <m/>
    <m/>
    <m/>
    <m/>
    <s v="Да"/>
    <s v="Нет"/>
    <m/>
  </r>
  <r>
    <d v="2025-12-04T16:13:33"/>
    <s v="Новоаненская СШ Беркут"/>
    <x v="6"/>
    <x v="61"/>
    <s v="Новоанинский"/>
    <s v="Ленина 81"/>
    <n v="4736049"/>
    <s v="novan_do.sport@volganet.ru"/>
    <s v="СШ"/>
    <s v="Нет"/>
    <n v="8"/>
    <x v="5"/>
    <x v="1"/>
    <x v="2"/>
    <x v="1"/>
    <n v="1"/>
    <n v="0"/>
    <n v="0"/>
    <n v="0"/>
    <n v="0"/>
    <n v="0"/>
    <n v="0"/>
    <n v="0"/>
    <n v="0"/>
    <n v="0"/>
    <n v="0"/>
    <n v="0"/>
    <s v="Соревновательной практики достаточно"/>
    <s v="Нет"/>
    <s v="Нет"/>
    <n v="1"/>
    <n v="1"/>
    <n v="0"/>
    <m/>
    <m/>
    <m/>
    <m/>
    <s v="Нет"/>
    <s v="Нет"/>
    <m/>
  </r>
  <r>
    <d v="2025-11-27T12:01:10"/>
    <s v="МАУ ДО СШ Среднеахтубинского района"/>
    <x v="6"/>
    <x v="61"/>
    <s v="Средняя Ахтуба"/>
    <s v="Волгоградская область, Среднеахтубинский район, р. п. Средняя Ахтуба, ул. Вятская, 2а"/>
    <s v="(84479) 5-36-02"/>
    <s v="ssh-ahtyba@yandex.ru"/>
    <s v="СШ"/>
    <s v="Нет"/>
    <n v="289"/>
    <x v="45"/>
    <x v="1"/>
    <x v="0"/>
    <x v="0"/>
    <n v="0"/>
    <n v="0"/>
    <n v="1"/>
    <n v="4"/>
    <n v="6"/>
    <n v="2"/>
    <n v="3"/>
    <n v="5"/>
    <n v="4"/>
    <n v="2"/>
    <n v="1"/>
    <n v="0"/>
    <s v="Соревновательной практики достаточно"/>
    <s v="Да"/>
    <s v="Нет"/>
    <n v="1"/>
    <n v="0"/>
    <n v="0"/>
    <m/>
    <m/>
    <m/>
    <m/>
    <s v="Да"/>
    <s v="Нет"/>
    <m/>
  </r>
  <r>
    <d v="2025-12-08T12:50:06"/>
    <s v="СК Импульс"/>
    <x v="6"/>
    <x v="61"/>
    <s v="Волгоград"/>
    <s v="400131, г. Волгоград, пл. Павших Борцов, д. 1"/>
    <s v="+7 (905) 466-29-08"/>
    <s v="ssc_volgmed_impulse@mail.ru"/>
    <s v="ск"/>
    <s v="Нет"/>
    <n v="18"/>
    <x v="5"/>
    <x v="5"/>
    <x v="3"/>
    <x v="3"/>
    <n v="0"/>
    <n v="0"/>
    <n v="0"/>
    <n v="0"/>
    <n v="0"/>
    <n v="0"/>
    <n v="0"/>
    <n v="0"/>
    <n v="0"/>
    <n v="0"/>
    <n v="0"/>
    <n v="0"/>
    <s v="Соревновательной практики достаточно"/>
    <s v="Нет"/>
    <s v="Нет"/>
    <n v="1"/>
    <n v="1"/>
    <n v="0"/>
    <m/>
    <m/>
    <m/>
    <m/>
    <s v="Нет"/>
    <s v="Нет"/>
    <m/>
  </r>
  <r>
    <d v="2025-11-27T12:08:49"/>
    <s v="МБУ ДО СШ 2 "/>
    <x v="6"/>
    <x v="61"/>
    <s v="Камышин"/>
    <s v="г. Камышин, ул. Короленко, 24"/>
    <s v="8 (84457) 9-33-73"/>
    <s v="dush2kam@mail.ru"/>
    <s v="СШ"/>
    <s v="Нет"/>
    <n v="376"/>
    <x v="128"/>
    <x v="12"/>
    <x v="0"/>
    <x v="0"/>
    <n v="1"/>
    <n v="3"/>
    <n v="9"/>
    <n v="0"/>
    <n v="10"/>
    <n v="20"/>
    <n v="20"/>
    <n v="5"/>
    <n v="4"/>
    <n v="5"/>
    <n v="2"/>
    <n v="2"/>
    <s v="Соревновательной практики достаточно"/>
    <s v="Да"/>
    <s v="Нет"/>
    <n v="1"/>
    <n v="0"/>
    <n v="0"/>
    <m/>
    <m/>
    <m/>
    <m/>
    <s v="Да"/>
    <s v="Нет"/>
    <m/>
  </r>
  <r>
    <d v="2025-11-27T14:06:05"/>
    <s v="МКУ ДО Бобровская спортивная школа им. В.Л. Паткина"/>
    <x v="6"/>
    <x v="32"/>
    <s v="Бобров"/>
    <s v="Воронежская область, г. Бобров, ул. Парижской Коммуны, д. 59а"/>
    <s v="8 (47350) 4-16-50"/>
    <s v="bobrovdussh@govvrn.ru"/>
    <s v="ДО"/>
    <s v="Нет"/>
    <n v="78"/>
    <x v="17"/>
    <x v="1"/>
    <x v="0"/>
    <x v="0"/>
    <n v="0"/>
    <n v="6"/>
    <n v="8"/>
    <n v="2"/>
    <n v="0"/>
    <n v="0"/>
    <n v="0"/>
    <n v="0"/>
    <n v="0"/>
    <n v="0"/>
    <n v="0"/>
    <n v="0"/>
    <s v="Соревновательной практики достаточно"/>
    <s v="Да"/>
    <s v="Нет"/>
    <n v="1"/>
    <n v="0"/>
    <n v="0"/>
    <m/>
    <m/>
    <m/>
    <m/>
    <s v="Нет"/>
    <s v="Нет"/>
    <m/>
  </r>
  <r>
    <d v="2025-11-21T10:59:01"/>
    <s v="Муниципальное бюджетное образовательное учреждение дополнительного образования Бутурлиновская спортивная школа Бутурлиновского муниципального района Воронежской области"/>
    <x v="6"/>
    <x v="32"/>
    <s v="Бутурлиновка"/>
    <s v="Воронежская обл., г.Бутурлиновка, ул.Дорожная, д.71"/>
    <s v="8-47361-2-83-32"/>
    <s v="motor-sport2013@yandex.ru"/>
    <s v="СШ"/>
    <s v="Нет"/>
    <n v="150"/>
    <x v="129"/>
    <x v="1"/>
    <x v="0"/>
    <x v="4"/>
    <n v="1"/>
    <n v="8"/>
    <n v="14"/>
    <n v="20"/>
    <n v="14"/>
    <n v="5"/>
    <n v="3"/>
    <n v="1"/>
    <n v="1"/>
    <n v="0"/>
    <n v="0"/>
    <n v="0"/>
    <s v="Соревновательной практики достаточно"/>
    <s v="Да"/>
    <s v="Нет"/>
    <n v="2"/>
    <n v="1"/>
    <s v="Лункашу Л.И., Дятлов А.А."/>
    <m/>
    <m/>
    <m/>
    <m/>
    <s v="Нет"/>
    <s v="Нет"/>
    <m/>
  </r>
  <r>
    <d v="2025-11-19T14:47:21"/>
    <s v="МКУДО &quot;Верхнемамонская ДЮСШ&quot;"/>
    <x v="6"/>
    <x v="32"/>
    <s v="Верхний Мамон"/>
    <s v="396460, Воронежская область, Верхнемамонский район, с. Верхний Мамон, ул. 60 лет Октября, д. 11А"/>
    <s v="8(47355) 5- 62- 31"/>
    <s v="dyussh.vmamon@govvrn.ru   "/>
    <s v="ДЮСШ"/>
    <s v="Нет"/>
    <n v="114"/>
    <x v="78"/>
    <x v="1"/>
    <x v="0"/>
    <x v="0"/>
    <n v="0"/>
    <n v="0"/>
    <n v="0"/>
    <n v="0"/>
    <n v="2"/>
    <n v="1"/>
    <n v="2"/>
    <n v="6"/>
    <n v="4"/>
    <n v="2"/>
    <n v="1"/>
    <n v="1"/>
    <s v="Соревновательной практики достаточно"/>
    <s v="Да"/>
    <s v="Да"/>
    <n v="1"/>
    <n v="0"/>
    <s v="Жигульский А.С."/>
    <m/>
    <m/>
    <m/>
    <m/>
    <s v="Да"/>
    <s v="Нет"/>
    <m/>
  </r>
  <r>
    <d v="2025-11-28T13:31:19"/>
    <s v="МКУДО &quot;Воробьевская ДЮСШ&quot;"/>
    <x v="6"/>
    <x v="32"/>
    <s v="Воробьевка"/>
    <s v="Воробьевка, ул.Калинина, 24В"/>
    <s v="3-16-66"/>
    <s v="vrbdussh@mail.ru"/>
    <s v="ДЮСШ"/>
    <s v="Нет"/>
    <n v="369"/>
    <x v="2"/>
    <x v="1"/>
    <x v="0"/>
    <x v="5"/>
    <n v="6"/>
    <n v="4"/>
    <n v="9"/>
    <n v="10"/>
    <n v="0"/>
    <n v="0"/>
    <n v="3"/>
    <n v="5"/>
    <n v="5"/>
    <n v="7"/>
    <n v="5"/>
    <n v="3"/>
    <s v="Соревновательной практики достаточно"/>
    <s v="Да"/>
    <s v="Нет"/>
    <n v="1"/>
    <n v="1"/>
    <n v="0"/>
    <m/>
    <m/>
    <m/>
    <m/>
    <s v="Да"/>
    <s v="Нет"/>
    <m/>
  </r>
  <r>
    <d v="2025-11-21T12:21:21"/>
    <s v="АФК &quot;ФАКЕЛ&quot;"/>
    <x v="6"/>
    <x v="32"/>
    <s v="Воронеж"/>
    <s v="394006, г. Воронеж, пер. Красноармейский, 3А"/>
    <s v="+7 (473) 272-71-47"/>
    <s v="office@fakelfc.ru"/>
    <s v="футбольная академия"/>
    <s v="Футбольная академия"/>
    <n v="319"/>
    <x v="73"/>
    <x v="1"/>
    <x v="5"/>
    <x v="4"/>
    <n v="6"/>
    <n v="9"/>
    <n v="8"/>
    <n v="11"/>
    <n v="15"/>
    <n v="10"/>
    <n v="12"/>
    <n v="10"/>
    <n v="11"/>
    <n v="9"/>
    <n v="3"/>
    <n v="0"/>
    <s v="Соревновательной практики достаточно"/>
    <s v="Нет"/>
    <s v="Нет"/>
    <n v="7"/>
    <n v="5"/>
    <s v="Шестопалова Л.В. В-УЕФА_x000a_Саенко М.П. С-УЕФА_x000a_Амелина Е.С. С-УЕФА_x000a_Богданова Н.В. С-УЕФА_x000a_Гаврилова М.С. С-РФС физ.подготовка_x000a_Сопнев С.В. А-УЕФА элитный юношеский футбол_x000a_Красных В.В. С-УЕФА"/>
    <n v="5"/>
    <n v="1"/>
    <n v="1"/>
    <m/>
    <s v="Да"/>
    <s v="Да"/>
    <m/>
  </r>
  <r>
    <d v="2025-11-28T13:54:43"/>
    <s v="ЖФК &quot;Танаис&quot;-Воронеж"/>
    <x v="6"/>
    <x v="32"/>
    <s v="Воронеж"/>
    <s v="Воронеж, б-р Победы, д. 50, офис 6 "/>
    <s v="+7 (903) 854-47-65"/>
    <s v="нет"/>
    <s v="ЖФК"/>
    <s v="Нет"/>
    <n v="43"/>
    <x v="111"/>
    <x v="1"/>
    <x v="0"/>
    <x v="0"/>
    <n v="0"/>
    <n v="11"/>
    <n v="10"/>
    <n v="3"/>
    <n v="5"/>
    <n v="4"/>
    <n v="4"/>
    <n v="0"/>
    <n v="6"/>
    <n v="0"/>
    <n v="0"/>
    <n v="0"/>
    <s v="До 15 лет"/>
    <s v="Нет"/>
    <s v="Нет"/>
    <n v="2"/>
    <n v="0"/>
    <s v="нет"/>
    <m/>
    <m/>
    <m/>
    <m/>
    <s v="Нет"/>
    <s v="Нет"/>
    <m/>
  </r>
  <r>
    <d v="2025-11-27T13:52:39"/>
    <s v="ЖФК &quot;ШТУРМ&quot;"/>
    <x v="6"/>
    <x v="32"/>
    <s v="Воронеж"/>
    <s v="Воронеж, Переулок Минина 3"/>
    <n v="89155430913"/>
    <s v="Sturmfc@mail.ru"/>
    <s v="ЖФК"/>
    <s v="Нет"/>
    <n v="24"/>
    <x v="59"/>
    <x v="6"/>
    <x v="4"/>
    <x v="3"/>
    <n v="5"/>
    <n v="5"/>
    <n v="0"/>
    <n v="0"/>
    <n v="0"/>
    <n v="0"/>
    <n v="0"/>
    <n v="0"/>
    <n v="0"/>
    <n v="0"/>
    <n v="0"/>
    <n v="0"/>
    <s v="Соревновательной практики достаточно"/>
    <s v="Нет"/>
    <s v="Нет"/>
    <n v="2"/>
    <n v="1"/>
    <n v="0"/>
    <m/>
    <m/>
    <m/>
    <m/>
    <s v="Нет"/>
    <s v="Нет"/>
    <m/>
  </r>
  <r>
    <d v="2025-11-28T13:28:09"/>
    <s v="МБУДО ЦДО &quot;Созвездие&quot;"/>
    <x v="6"/>
    <x v="32"/>
    <s v="Воронеж"/>
    <s v="ул. Генерала Лизюкова 6"/>
    <n v="89038544765"/>
    <s v="a.shevnev@bk.ru"/>
    <s v="Доп образование"/>
    <s v="Нет"/>
    <n v="69"/>
    <x v="129"/>
    <x v="1"/>
    <x v="0"/>
    <x v="14"/>
    <n v="5"/>
    <n v="9"/>
    <n v="12"/>
    <n v="0"/>
    <n v="5"/>
    <n v="14"/>
    <n v="7"/>
    <n v="8"/>
    <n v="2"/>
    <n v="0"/>
    <n v="0"/>
    <n v="0"/>
    <s v="Соревновательной практики достаточно"/>
    <s v="Нет"/>
    <s v="Нет"/>
    <n v="2"/>
    <n v="1"/>
    <n v="0"/>
    <m/>
    <m/>
    <m/>
    <m/>
    <s v="Нет"/>
    <s v="Нет"/>
    <m/>
  </r>
  <r>
    <d v="2025-11-17T15:53:42"/>
    <s v="ГБУ ДО ВО СШ по футболу &quot;Факел&quot;"/>
    <x v="6"/>
    <x v="32"/>
    <s v="Воронеж"/>
    <s v="ул. Писателя Маршака, д.1а"/>
    <n v="2635916"/>
    <s v="sportf@list.ru"/>
    <s v="СШ"/>
    <s v="Нет"/>
    <n v="331"/>
    <x v="79"/>
    <x v="7"/>
    <x v="4"/>
    <x v="4"/>
    <n v="3"/>
    <n v="5"/>
    <n v="4"/>
    <n v="8"/>
    <n v="9"/>
    <n v="5"/>
    <n v="5"/>
    <n v="8"/>
    <n v="1"/>
    <n v="0"/>
    <n v="0"/>
    <n v="0"/>
    <s v="До 10 лет, До 12 лет, До 13 лет, До 15 лет, До 17 лет, До 19 лет, соревновательной практики для команд девочек и девушек недостаточно во всех возрастных категориях"/>
    <s v="Да"/>
    <s v="Да"/>
    <n v="3"/>
    <n v="3"/>
    <s v="-"/>
    <m/>
    <m/>
    <m/>
    <m/>
    <s v="Да"/>
    <s v="Да"/>
    <m/>
  </r>
  <r>
    <d v="2025-11-26T15:21:45"/>
    <s v="МКУ ДО ДЮСШ Хохольская"/>
    <x v="6"/>
    <x v="32"/>
    <s v="Гремячье"/>
    <s v="Воронежская область Хохольский р-н с.Гремячье ул. Чехова 5А"/>
    <n v="84737193130"/>
    <s v="sporthohol@mail.ru"/>
    <s v="ДЮСШ"/>
    <s v="Нет"/>
    <n v="390"/>
    <x v="43"/>
    <x v="1"/>
    <x v="0"/>
    <x v="10"/>
    <n v="13"/>
    <n v="10"/>
    <n v="15"/>
    <n v="0"/>
    <n v="0"/>
    <n v="0"/>
    <n v="0"/>
    <n v="0"/>
    <n v="0"/>
    <n v="0"/>
    <n v="7"/>
    <n v="0"/>
    <s v="Соревновательной практики достаточно"/>
    <s v="Да"/>
    <s v="Нет"/>
    <n v="1"/>
    <n v="0"/>
    <n v="0"/>
    <m/>
    <m/>
    <m/>
    <m/>
    <s v="Да"/>
    <s v="Нет"/>
    <m/>
  </r>
  <r>
    <d v="2025-12-01T14:17:57"/>
    <s v="Муниципальное казенное учреждение дополнительного образования &quot;Грибановская спортивная школа&quot;"/>
    <x v="6"/>
    <x v="32"/>
    <s v="Грибановский"/>
    <s v="397240, Воронежская область, Грибановский район, пгт Грибановский, ул. Комарова, д. 7"/>
    <s v="(47348)3-00-35"/>
    <s v="griban-dussh.grib@govvrn.ru"/>
    <s v="СШ"/>
    <s v="Нет"/>
    <n v="152"/>
    <x v="23"/>
    <x v="1"/>
    <x v="0"/>
    <x v="7"/>
    <n v="8"/>
    <n v="2"/>
    <n v="0"/>
    <n v="2"/>
    <n v="0"/>
    <n v="0"/>
    <n v="0"/>
    <n v="2"/>
    <n v="0"/>
    <n v="0"/>
    <n v="0"/>
    <n v="0"/>
    <s v="Соревновательной практики достаточно"/>
    <s v="Да"/>
    <s v="Да"/>
    <n v="1"/>
    <n v="0"/>
    <n v="0"/>
    <m/>
    <m/>
    <m/>
    <m/>
    <s v="Да"/>
    <s v="Нет"/>
    <m/>
  </r>
  <r>
    <d v="2025-11-17T15:01:48"/>
    <s v="Мкоу ДО Калачеевская СШ им. В.И. Бакулина"/>
    <x v="6"/>
    <x v="32"/>
    <s v="Калач"/>
    <s v="Ул.Советская д.37"/>
    <n v="84736322516"/>
    <s v="dussh@mail.ru"/>
    <s v="СШ"/>
    <s v="Нет"/>
    <n v="239"/>
    <x v="121"/>
    <x v="1"/>
    <x v="0"/>
    <x v="0"/>
    <n v="0"/>
    <n v="1"/>
    <n v="4"/>
    <n v="4"/>
    <n v="4"/>
    <n v="16"/>
    <n v="16"/>
    <n v="11"/>
    <n v="7"/>
    <n v="4"/>
    <n v="1"/>
    <n v="0"/>
    <s v="До 17 лет, До 19 лет"/>
    <s v="Нет"/>
    <s v="Нет"/>
    <n v="3"/>
    <n v="2"/>
    <s v="Нет"/>
    <m/>
    <m/>
    <m/>
    <m/>
    <s v="Да"/>
    <s v="Нет"/>
    <m/>
  </r>
  <r>
    <d v="2025-12-01T15:45:09"/>
    <s v="МКУ ДО &quot;ДЮСШ&quot; Кантемировского муниципального района Воронежской области"/>
    <x v="6"/>
    <x v="32"/>
    <s v="Кантемировка"/>
    <s v="Воронежская область, р.п.Кантемировка, улица Первомайская дом 14"/>
    <s v="8(47367)61484"/>
    <s v="dush74@mail.ru"/>
    <s v="ДЮСШ"/>
    <s v="Нет"/>
    <n v="83"/>
    <x v="93"/>
    <x v="1"/>
    <x v="0"/>
    <x v="0"/>
    <n v="0"/>
    <n v="0"/>
    <n v="0"/>
    <n v="1"/>
    <n v="0"/>
    <n v="1"/>
    <n v="1"/>
    <n v="0"/>
    <n v="0"/>
    <n v="0"/>
    <n v="0"/>
    <n v="0"/>
    <m/>
    <s v="Да"/>
    <s v="Нет"/>
    <n v="1"/>
    <n v="0"/>
    <n v="0"/>
    <m/>
    <m/>
    <m/>
    <m/>
    <s v="Нет"/>
    <s v="Нет"/>
    <m/>
  </r>
  <r>
    <d v="2025-12-01T11:44:23"/>
    <s v="МКУ ДО &quot;СШ&quot;Восточная&quot;"/>
    <x v="6"/>
    <x v="32"/>
    <s v="Лиски"/>
    <s v="397902, Воронежская Область, р-н Лискинский, г. Лиски, ул. 40 Лет Победы, д.3"/>
    <s v="+7 (47391) 3-84-30"/>
    <s v="Vostochnaya_DYUSSH@govvrn.ru"/>
    <s v="СШ"/>
    <s v="Нет"/>
    <n v="79"/>
    <x v="17"/>
    <x v="1"/>
    <x v="0"/>
    <x v="14"/>
    <n v="9"/>
    <n v="0"/>
    <n v="0"/>
    <n v="0"/>
    <n v="0"/>
    <n v="0"/>
    <n v="0"/>
    <n v="0"/>
    <n v="0"/>
    <n v="0"/>
    <n v="0"/>
    <n v="0"/>
    <s v="Соревновательной практики достаточно"/>
    <s v="Нет"/>
    <s v="Нет"/>
    <n v="1"/>
    <n v="0"/>
    <n v="0"/>
    <m/>
    <m/>
    <m/>
    <m/>
    <s v="Нет"/>
    <s v="Нет"/>
    <m/>
  </r>
  <r>
    <d v="2025-11-28T10:22:48"/>
    <s v="МКУ ДО &quot;Спортивная школа городского округа город Нововоронеж&quot;"/>
    <x v="6"/>
    <x v="32"/>
    <s v="Нововоронеж"/>
    <s v="Воронежская область, г. Нововоронеж, ул. Строителей, д. 1"/>
    <s v="+7 (473) 645-19-60"/>
    <s v="nvsport@govvrn.ru"/>
    <s v="СШ"/>
    <s v="Нет"/>
    <n v="219"/>
    <x v="4"/>
    <x v="1"/>
    <x v="0"/>
    <x v="9"/>
    <n v="10"/>
    <n v="4"/>
    <n v="0"/>
    <n v="0"/>
    <n v="0"/>
    <n v="0"/>
    <n v="0"/>
    <n v="0"/>
    <n v="0"/>
    <n v="0"/>
    <n v="0"/>
    <n v="0"/>
    <s v="Соревновательной практики достаточно"/>
    <s v="Да"/>
    <s v="Нет"/>
    <n v="1"/>
    <n v="0"/>
    <n v="0"/>
    <m/>
    <m/>
    <m/>
    <m/>
    <s v="Да"/>
    <s v="Нет"/>
    <m/>
  </r>
  <r>
    <d v="2025-11-18T14:01:57"/>
    <s v="МКУДО Новохоперская ДЮСШ"/>
    <x v="6"/>
    <x v="32"/>
    <s v="Новохоперск"/>
    <s v="Советская 144"/>
    <s v="3-16-12"/>
    <s v="dush.nvh@mail.ru"/>
    <s v="ДЮСШ"/>
    <s v="Нет"/>
    <n v="250"/>
    <x v="45"/>
    <x v="1"/>
    <x v="0"/>
    <x v="0"/>
    <n v="0"/>
    <n v="0"/>
    <n v="0"/>
    <n v="2"/>
    <n v="5"/>
    <n v="13"/>
    <n v="0"/>
    <n v="2"/>
    <n v="2"/>
    <n v="2"/>
    <n v="2"/>
    <n v="0"/>
    <s v="Соревновательной практики достаточно"/>
    <s v="Да"/>
    <s v="Нет"/>
    <n v="1"/>
    <n v="1"/>
    <s v="-"/>
    <m/>
    <m/>
    <m/>
    <m/>
    <s v="Да"/>
    <s v="Нет"/>
    <s v="-"/>
  </r>
  <r>
    <d v="2025-11-24T16:57:05"/>
    <s v="МКОУ ДО &quot;Павловская СШ&quot;"/>
    <x v="6"/>
    <x v="32"/>
    <s v="Павловск"/>
    <s v="396420,Россия, Воронежская область, г. Павловск, проспект Революции – 102 «А»"/>
    <n v="74736226880"/>
    <s v=" pavlovsk.dyussh@govvrn.ru"/>
    <s v="СШ"/>
    <s v="Нет"/>
    <n v="180"/>
    <x v="62"/>
    <x v="1"/>
    <x v="0"/>
    <x v="0"/>
    <n v="0"/>
    <n v="0"/>
    <n v="0"/>
    <n v="10"/>
    <n v="10"/>
    <n v="10"/>
    <n v="10"/>
    <n v="10"/>
    <n v="10"/>
    <n v="0"/>
    <n v="0"/>
    <n v="0"/>
    <s v="Соревновательной практики достаточно"/>
    <s v="Да"/>
    <s v="Нет"/>
    <n v="4"/>
    <n v="1"/>
    <s v="нет"/>
    <m/>
    <m/>
    <m/>
    <m/>
    <s v="Да"/>
    <s v="Нет"/>
    <s v="Спасибо, вопросов нет"/>
  </r>
  <r>
    <d v="2025-12-02T10:15:06"/>
    <s v="МКОУ ДО «Павловская СШ»"/>
    <x v="6"/>
    <x v="32"/>
    <s v="Павловск"/>
    <s v="Воронежская обл.; г. Павловск, пр. Революции -102 «А»"/>
    <s v="8(4732) 2-68-80"/>
    <s v="pavlovsk.dyussh@govvrn.ru"/>
    <s v="СШ"/>
    <s v="Нет"/>
    <n v="135"/>
    <x v="23"/>
    <x v="1"/>
    <x v="0"/>
    <x v="5"/>
    <n v="6"/>
    <n v="2"/>
    <n v="2"/>
    <n v="2"/>
    <n v="1"/>
    <n v="0"/>
    <n v="0"/>
    <n v="0"/>
    <n v="0"/>
    <n v="2"/>
    <n v="0"/>
    <n v="0"/>
    <s v="Соревновательной практики достаточно"/>
    <s v="Да"/>
    <s v="Нет"/>
    <n v="1"/>
    <n v="0"/>
    <s v="нет"/>
    <m/>
    <m/>
    <m/>
    <m/>
    <s v="Нет"/>
    <s v="Нет"/>
    <m/>
  </r>
  <r>
    <d v="2025-11-28T10:16:39"/>
    <s v="Петропавловская детско-юношеская спортивная школа"/>
    <x v="6"/>
    <x v="32"/>
    <s v="Петропавловка"/>
    <s v="397670, Воронежская область, Петропавловский район,  с. Петропавловка, ул. Победы, д. 30/1"/>
    <s v="8-473-65-2-15-05"/>
    <s v="mkoudysch@yandex.ru"/>
    <s v="СШ"/>
    <s v="Нет"/>
    <n v="158"/>
    <x v="25"/>
    <x v="1"/>
    <x v="0"/>
    <x v="2"/>
    <n v="1"/>
    <n v="1"/>
    <n v="4"/>
    <n v="5"/>
    <n v="3"/>
    <n v="3"/>
    <n v="3"/>
    <n v="7"/>
    <n v="7"/>
    <n v="6"/>
    <n v="0"/>
    <n v="0"/>
    <s v="Соревновательной практики достаточно"/>
    <s v="Да"/>
    <s v="Нет"/>
    <n v="1"/>
    <n v="0"/>
    <n v="0"/>
    <m/>
    <m/>
    <m/>
    <m/>
    <s v="Нет"/>
    <s v="Нет"/>
    <m/>
  </r>
  <r>
    <d v="2025-11-28T23:17:10"/>
    <s v="МБОУ СОШ 7"/>
    <x v="5"/>
    <x v="34"/>
    <s v="Корзуново"/>
    <s v="Улица печенгская"/>
    <n v="9318033337"/>
    <s v="Vlad-ko08@yandex.ru"/>
    <s v="ШСК"/>
    <s v="Нет"/>
    <n v="40"/>
    <x v="23"/>
    <x v="1"/>
    <x v="0"/>
    <x v="0"/>
    <n v="3"/>
    <n v="4"/>
    <n v="0"/>
    <n v="2"/>
    <n v="0"/>
    <n v="0"/>
    <n v="0"/>
    <n v="1"/>
    <n v="8"/>
    <n v="0"/>
    <n v="2"/>
    <n v="0"/>
    <s v="До 10 лет, Соревновательной практики не достаточно по всем возрастам!!"/>
    <s v="Да"/>
    <s v="Да"/>
    <n v="1"/>
    <n v="0"/>
    <s v="Костенко В.А."/>
    <m/>
    <m/>
    <m/>
    <m/>
    <s v="Нет"/>
    <s v="Нет"/>
    <s v="Хотелось бы больше соревнований и игровой практики"/>
  </r>
  <r>
    <d v="2025-11-18T09:21:06"/>
    <s v="МКУ ДО &quot;Терновская ДЮСШ&quot;"/>
    <x v="6"/>
    <x v="32"/>
    <s v="Терновка"/>
    <s v="Воронежская обл., Терновской р-он, с. Терновка, ул. Советская, д.51 "/>
    <s v="8(47347)-5-15-44 "/>
    <s v="terndush.ternov@govvrn.ru"/>
    <s v="ДЮСШ"/>
    <s v="Нет"/>
    <n v="141"/>
    <x v="31"/>
    <x v="1"/>
    <x v="0"/>
    <x v="0"/>
    <n v="3"/>
    <n v="5"/>
    <n v="6"/>
    <n v="6"/>
    <n v="4"/>
    <n v="3"/>
    <n v="2"/>
    <n v="2"/>
    <n v="2"/>
    <n v="2"/>
    <n v="1"/>
    <n v="1"/>
    <m/>
    <s v="Да"/>
    <s v="Нет"/>
    <n v="3"/>
    <n v="0"/>
    <s v="Поздняков В. М., Щербатых Е. И., Ключевский А. В."/>
    <m/>
    <m/>
    <m/>
    <m/>
    <s v="Да"/>
    <s v="Нет"/>
    <m/>
  </r>
  <r>
    <d v="2025-12-01T11:47:11"/>
    <s v="МУНИЦИПАЛЬНОЕ БЮДЖЕТНОЕ УЧРЕЖДЕНИЕ «БОРОВСКАЯ СПОРТИВНАЯ ШКОЛА «ЗВЕЗДА»"/>
    <x v="6"/>
    <x v="62"/>
    <s v="Боровск"/>
    <s v="249010, КАЛУЖСКАЯ ОБЛАСТЬ, Р-Н БОРОВСКИЙ, Г. БОРОВСК, УЛ. 1 МАЯ, д.54"/>
    <n v="8484386593"/>
    <s v="zvezda.borovsk@mail.ru"/>
    <s v="СШ"/>
    <s v="Нет"/>
    <n v="167"/>
    <x v="15"/>
    <x v="5"/>
    <x v="9"/>
    <x v="7"/>
    <n v="0"/>
    <n v="0"/>
    <n v="0"/>
    <n v="1"/>
    <n v="0"/>
    <n v="1"/>
    <n v="0"/>
    <n v="0"/>
    <n v="2"/>
    <n v="3"/>
    <n v="2"/>
    <n v="0"/>
    <s v="Соревновательной практики достаточно"/>
    <s v="Нет"/>
    <s v="Нет"/>
    <n v="1"/>
    <n v="1"/>
    <n v="0"/>
    <m/>
    <m/>
    <m/>
    <m/>
    <s v="Нет"/>
    <s v="Нет"/>
    <m/>
  </r>
  <r>
    <d v="2025-11-24T16:56:40"/>
    <s v="ГАУ ДО КО &quot;СШ по футболу &quot;Калуга&quot;"/>
    <x v="6"/>
    <x v="62"/>
    <s v="Калуга"/>
    <s v="г. Калуга, ул. Анненки, д.5"/>
    <n v="4842403632"/>
    <s v="dushkaluga@yandex.ru"/>
    <s v="СШ"/>
    <s v="ДФЦ"/>
    <n v="800"/>
    <x v="31"/>
    <x v="18"/>
    <x v="0"/>
    <x v="0"/>
    <n v="1"/>
    <n v="2"/>
    <n v="0"/>
    <n v="3"/>
    <n v="1"/>
    <n v="3"/>
    <n v="0"/>
    <n v="2"/>
    <n v="1"/>
    <n v="2"/>
    <n v="1"/>
    <n v="1"/>
    <s v="До 13 лет"/>
    <s v="Да"/>
    <s v="Да"/>
    <n v="2"/>
    <n v="2"/>
    <n v="0"/>
    <m/>
    <m/>
    <m/>
    <m/>
    <s v="Да"/>
    <s v="Да"/>
    <s v="-"/>
  </r>
  <r>
    <d v="2025-11-18T10:09:50"/>
    <s v="МБУ ДО &quot;СШ &quot;Торпедо&quot; г. Калуги"/>
    <x v="6"/>
    <x v="62"/>
    <s v="Калуга"/>
    <s v="Калуга, ул. Ленина 50"/>
    <s v="84842-56-78-00"/>
    <s v="torpedo.kaluga@yandex.ru"/>
    <s v="СШ"/>
    <s v="ДФЦ"/>
    <n v="958"/>
    <x v="28"/>
    <x v="1"/>
    <x v="0"/>
    <x v="0"/>
    <n v="0"/>
    <n v="0"/>
    <n v="0"/>
    <n v="0"/>
    <n v="0"/>
    <n v="0"/>
    <n v="0"/>
    <n v="0"/>
    <n v="15"/>
    <n v="18"/>
    <n v="0"/>
    <n v="0"/>
    <s v="Соревновательной практики достаточно"/>
    <s v="Да"/>
    <s v="Нет"/>
    <n v="3"/>
    <n v="0"/>
    <s v="нет"/>
    <m/>
    <m/>
    <m/>
    <m/>
    <s v="Да"/>
    <s v="Нет"/>
    <m/>
  </r>
  <r>
    <d v="2025-11-25T11:14:40"/>
    <s v="МБУ ДО &quot;СШ №5&quot;"/>
    <x v="6"/>
    <x v="62"/>
    <s v="Калуга"/>
    <s v="Суворова, 118"/>
    <s v="8 (4842) 57-85-92"/>
    <s v="dush5@spark-mail.ru"/>
    <s v="СШ"/>
    <s v="Нет"/>
    <n v="266"/>
    <x v="130"/>
    <x v="33"/>
    <x v="3"/>
    <x v="11"/>
    <n v="6"/>
    <n v="8"/>
    <n v="9"/>
    <n v="13"/>
    <n v="14"/>
    <n v="15"/>
    <n v="10"/>
    <n v="16"/>
    <n v="9"/>
    <n v="8"/>
    <n v="4"/>
    <n v="0"/>
    <s v="Соревновательной практики достаточно"/>
    <s v="Да"/>
    <s v="Нет"/>
    <n v="4"/>
    <n v="3"/>
    <s v="Добычина Г.А.,  Аброськина А.А., Маркин А.В., Ядзевич Н.М."/>
    <m/>
    <m/>
    <m/>
    <m/>
    <s v="Да"/>
    <s v="Да"/>
    <m/>
  </r>
  <r>
    <d v="2025-11-28T13:35:20"/>
    <s v="МКОУ ДО СШ &quot;Лидер&quot; "/>
    <x v="6"/>
    <x v="62"/>
    <s v="Киров"/>
    <s v="Калужская область г. Киров ул Ленина 23а"/>
    <n v="84845655671"/>
    <s v="lider-kirov@mail.ru"/>
    <s v="СШ"/>
    <s v="Нет"/>
    <n v="137"/>
    <x v="95"/>
    <x v="1"/>
    <x v="0"/>
    <x v="0"/>
    <n v="0"/>
    <n v="0"/>
    <n v="0"/>
    <n v="0"/>
    <n v="0"/>
    <n v="0"/>
    <n v="2"/>
    <n v="2"/>
    <n v="2"/>
    <n v="1"/>
    <n v="2"/>
    <n v="0"/>
    <s v="Соревновательной практики достаточно"/>
    <s v="Да"/>
    <s v="Нет"/>
    <n v="2"/>
    <n v="0"/>
    <s v="Иванькин Максим Николаевич_x000a_С-УЕФА высшая категория _x000a_Слесарев Дмитрий Олегович_x000a_С-УЕФА &quot;_x000a_"/>
    <n v="1"/>
    <m/>
    <m/>
    <m/>
    <s v="Нет"/>
    <s v="Нет"/>
    <m/>
  </r>
  <r>
    <d v="2025-11-28T10:28:34"/>
    <s v="МКУ СШ Дзержинского района"/>
    <x v="6"/>
    <x v="62"/>
    <s v="Кондрово"/>
    <s v="Дзержинский район г. Кондрово пр.Труда д. 10"/>
    <n v="89206131969"/>
    <s v="dyussh2012@mail.ru"/>
    <s v="СШ"/>
    <s v="Нет"/>
    <n v="292"/>
    <x v="85"/>
    <x v="6"/>
    <x v="9"/>
    <x v="1"/>
    <n v="0"/>
    <n v="3"/>
    <n v="11"/>
    <n v="5"/>
    <n v="11"/>
    <n v="9"/>
    <n v="3"/>
    <n v="7"/>
    <n v="2"/>
    <n v="1"/>
    <n v="0"/>
    <n v="0"/>
    <s v="Соревновательной практики достаточно"/>
    <s v="Да"/>
    <s v="Нет"/>
    <n v="1"/>
    <n v="1"/>
    <n v="0"/>
    <m/>
    <m/>
    <m/>
    <m/>
    <s v="Да"/>
    <s v="Нет"/>
    <m/>
  </r>
  <r>
    <d v="2025-11-28T13:46:48"/>
    <s v="Финт Курск"/>
    <x v="6"/>
    <x v="63"/>
    <s v="Курск"/>
    <s v="Пр-т Кулакова 146к3"/>
    <n v="89202664967"/>
    <s v="frola07masha@gmail.com"/>
    <s v="частный клуб"/>
    <s v="Нет"/>
    <n v="109"/>
    <x v="31"/>
    <x v="1"/>
    <x v="0"/>
    <x v="0"/>
    <n v="0"/>
    <n v="0"/>
    <n v="0"/>
    <n v="0"/>
    <n v="4"/>
    <n v="4"/>
    <n v="4"/>
    <n v="6"/>
    <n v="4"/>
    <n v="6"/>
    <n v="7"/>
    <n v="2"/>
    <s v="нет соревнований"/>
    <s v="Нет"/>
    <s v="Нет"/>
    <n v="1"/>
    <n v="0"/>
    <n v="0"/>
    <m/>
    <m/>
    <m/>
    <m/>
    <s v="Нет"/>
    <s v="Нет"/>
    <m/>
  </r>
  <r>
    <d v="2025-11-17T16:28:28"/>
    <s v="Женская футбольная команда &quot;Топаз&quot;"/>
    <x v="6"/>
    <x v="63"/>
    <s v="Курск"/>
    <s v="Ул. Краснополянская, 2А"/>
    <n v="89202664967"/>
    <s v="frola07masha@gmail.com"/>
    <s v="Частная футбольная школа для девочек"/>
    <s v="Нет"/>
    <n v="70"/>
    <x v="85"/>
    <x v="1"/>
    <x v="0"/>
    <x v="0"/>
    <n v="0"/>
    <n v="0"/>
    <n v="0"/>
    <n v="2"/>
    <n v="7"/>
    <n v="10"/>
    <n v="7"/>
    <n v="7"/>
    <n v="11"/>
    <n v="9"/>
    <n v="17"/>
    <n v="0"/>
    <s v="До 10 лет, До 12 лет, До 13 лет, До 15 лет, До 17 лет, До 19 лет, В регионе вооьще нет соревнований по девочкам, за исключением ШФЛ 1-2р в год"/>
    <s v="Нет"/>
    <s v="Да"/>
    <n v="1"/>
    <n v="1"/>
    <s v="Болотова М.В."/>
    <m/>
    <m/>
    <m/>
    <m/>
    <s v="Нет"/>
    <s v="Нет"/>
    <s v="Для нашей команды нет поля и зала для тренировок с хорошими условиями."/>
  </r>
  <r>
    <d v="2025-12-01T14:21:24"/>
    <s v="ФК Авангард"/>
    <x v="6"/>
    <x v="63"/>
    <s v="Курск"/>
    <s v="ул. Ленина, 58"/>
    <s v="8 (4712) 52-06-13"/>
    <s v=" fk-av-shkola@mail.ru"/>
    <s v="СШ"/>
    <s v="ДФЦ"/>
    <n v="244"/>
    <x v="30"/>
    <x v="1"/>
    <x v="0"/>
    <x v="8"/>
    <n v="0"/>
    <n v="0"/>
    <n v="0"/>
    <n v="0"/>
    <n v="15"/>
    <n v="0"/>
    <n v="0"/>
    <n v="0"/>
    <n v="5"/>
    <n v="0"/>
    <n v="0"/>
    <n v="0"/>
    <s v="в данный момент нет возможности для соревнований"/>
    <s v="Нет"/>
    <s v="Нет"/>
    <n v="1"/>
    <n v="0"/>
    <n v="0"/>
    <m/>
    <m/>
    <m/>
    <m/>
    <s v="Да"/>
    <s v="Нет"/>
    <m/>
  </r>
  <r>
    <d v="2025-11-27T13:49:18"/>
    <s v="МБОУ ДО &quot;Рыльская ДЮСШ&quot;"/>
    <x v="6"/>
    <x v="63"/>
    <s v="Рыльск"/>
    <s v="г Рыльск ул Кирова д.2 М"/>
    <n v="89045244820"/>
    <s v="d_ssh@mail.ru"/>
    <s v="ДЮСШ"/>
    <s v="Нет"/>
    <n v="235"/>
    <x v="21"/>
    <x v="1"/>
    <x v="0"/>
    <x v="0"/>
    <n v="0"/>
    <n v="1"/>
    <n v="1"/>
    <n v="3"/>
    <n v="3"/>
    <n v="0"/>
    <n v="1"/>
    <n v="1"/>
    <n v="1"/>
    <n v="2"/>
    <n v="0"/>
    <n v="0"/>
    <s v="нет возможности принимать участие в соревнованиях"/>
    <s v="Нет"/>
    <s v="Нет"/>
    <n v="0"/>
    <n v="0"/>
    <n v="0"/>
    <m/>
    <m/>
    <m/>
    <m/>
    <s v="Да"/>
    <s v="Нет"/>
    <s v="В 2025 году регулярные тренировки не проводились"/>
  </r>
  <r>
    <d v="2025-11-20T18:13:52"/>
    <s v="МБУ ДО &quot;СШОР&quot;"/>
    <x v="6"/>
    <x v="63"/>
    <s v="Железногорск"/>
    <s v="Курская область, г. Железногорск, ул. Димитрова, 20"/>
    <s v="8(47148)77754, 8(47148)77756"/>
    <s v="olimp046@mail.ru"/>
    <s v="СШОР"/>
    <s v="Нет"/>
    <n v="465"/>
    <x v="8"/>
    <x v="1"/>
    <x v="0"/>
    <x v="0"/>
    <n v="0"/>
    <n v="0"/>
    <n v="0"/>
    <n v="0"/>
    <n v="0"/>
    <n v="0"/>
    <n v="0"/>
    <n v="0"/>
    <n v="1"/>
    <n v="0"/>
    <n v="1"/>
    <n v="0"/>
    <s v="До 10 лет, До 12 лет, До 13 лет, До 15 лет, До 17 лет, До 19 лет"/>
    <s v="Да"/>
    <s v="Да"/>
    <n v="1"/>
    <n v="0"/>
    <s v="нет"/>
    <m/>
    <m/>
    <m/>
    <m/>
    <s v="Да"/>
    <s v="Нет"/>
    <m/>
  </r>
  <r>
    <d v="2025-11-24T16:36:31"/>
    <s v="МБУ ДО ДЮСШ г.Грязи"/>
    <x v="6"/>
    <x v="64"/>
    <s v="Грязи"/>
    <s v="ул.Крылова 4"/>
    <n v="84746121120"/>
    <s v="sportcentrgrjazi2012@yandex.ru"/>
    <s v="ДЮСШ"/>
    <s v="Нет"/>
    <n v="235"/>
    <x v="3"/>
    <x v="1"/>
    <x v="0"/>
    <x v="0"/>
    <n v="0"/>
    <n v="0"/>
    <n v="0"/>
    <n v="0"/>
    <n v="0"/>
    <n v="3"/>
    <n v="4"/>
    <n v="3"/>
    <n v="3"/>
    <n v="2"/>
    <n v="0"/>
    <n v="0"/>
    <s v="Соревновательной практики достаточно"/>
    <s v="Да"/>
    <s v="Да"/>
    <n v="3"/>
    <n v="0"/>
    <s v="нет"/>
    <m/>
    <m/>
    <m/>
    <m/>
    <s v="Да"/>
    <s v="Нет"/>
    <s v="-"/>
  </r>
  <r>
    <d v="2025-12-02T10:18:01"/>
    <s v="МАУ ДО ДЮСШ с. Долгоруково"/>
    <x v="6"/>
    <x v="64"/>
    <s v="Долгоруково"/>
    <s v="с. Долгоруково, ул. Терешковой д. 23а"/>
    <s v="2-63-36"/>
    <s v="bassein48@mail.ru"/>
    <s v="СШ"/>
    <s v="Нет"/>
    <n v="102"/>
    <x v="93"/>
    <x v="1"/>
    <x v="0"/>
    <x v="0"/>
    <n v="0"/>
    <n v="0"/>
    <n v="0"/>
    <n v="0"/>
    <n v="3"/>
    <n v="0"/>
    <n v="0"/>
    <n v="0"/>
    <n v="0"/>
    <n v="0"/>
    <n v="0"/>
    <n v="0"/>
    <s v="только смешанные "/>
    <s v="Да"/>
    <s v="Нет"/>
    <n v="0"/>
    <n v="0"/>
    <n v="0"/>
    <m/>
    <m/>
    <m/>
    <m/>
    <s v="Нет"/>
    <s v="Нет"/>
    <m/>
  </r>
  <r>
    <d v="2025-11-27T13:45:28"/>
    <s v="МБСУ ФК &quot;Елец&quot;"/>
    <x v="6"/>
    <x v="64"/>
    <s v="Елец"/>
    <s v="г. Елец, ул Чехова 42"/>
    <n v="89205242009"/>
    <s v="fc-elets@yandex.ru"/>
    <s v="ФК"/>
    <s v="Нет"/>
    <n v="346"/>
    <x v="7"/>
    <x v="1"/>
    <x v="0"/>
    <x v="0"/>
    <n v="0"/>
    <n v="0"/>
    <n v="0"/>
    <n v="0"/>
    <n v="5"/>
    <n v="5"/>
    <n v="5"/>
    <n v="0"/>
    <n v="0"/>
    <n v="2"/>
    <n v="0"/>
    <n v="0"/>
    <m/>
    <s v="Да"/>
    <s v="Нет"/>
    <n v="0"/>
    <n v="0"/>
    <n v="0"/>
    <m/>
    <m/>
    <m/>
    <m/>
    <s v="Да"/>
    <s v="Нет"/>
    <m/>
  </r>
  <r>
    <d v="2025-11-18T20:39:06"/>
    <s v="Муниципальное бюджетное образовательное учреждение дополнительного образования &quot;Спортивная школа № 12&quot;"/>
    <x v="6"/>
    <x v="64"/>
    <s v="Липецк"/>
    <s v="398020, г. Липецк, ул. Гранитная, 2а"/>
    <n v="84742274941"/>
    <s v="dussh-12.football@yandex.ru"/>
    <s v="СШ"/>
    <s v="Нет"/>
    <n v="566"/>
    <x v="103"/>
    <x v="1"/>
    <x v="0"/>
    <x v="0"/>
    <n v="0"/>
    <n v="3"/>
    <n v="3"/>
    <n v="2"/>
    <n v="3"/>
    <n v="8"/>
    <n v="8"/>
    <n v="12"/>
    <n v="5"/>
    <n v="8"/>
    <n v="6"/>
    <n v="1"/>
    <s v="До 10 лет, До 12 лет, До 13 лет, До 15 лет, До 17 лет, До 19 лет"/>
    <s v="Нет"/>
    <s v="Нет"/>
    <n v="1"/>
    <n v="0"/>
    <s v="Зиянгиров И.Д. С-УЕФА"/>
    <n v="1"/>
    <m/>
    <m/>
    <m/>
    <s v="Нет"/>
    <s v="Нет"/>
    <s v="1. Увеличить количество официальных соревнований для девочек с 7 лет. 2. Соревнования проводить по годам рождения."/>
  </r>
  <r>
    <d v="2025-11-28T13:43:05"/>
    <s v="ГАУ ДО ЛО &quot;ОК СШОР&quot; "/>
    <x v="6"/>
    <x v="64"/>
    <s v="Липецк"/>
    <s v="398002, Липецкая область, город Липецк, ул Гагарина, д. 70а "/>
    <s v="+7 (4742) 72-69-69"/>
    <s v="okdysh@mail.ru"/>
    <s v="СШОР"/>
    <s v="ДФЦ"/>
    <n v="765"/>
    <x v="84"/>
    <x v="1"/>
    <x v="0"/>
    <x v="0"/>
    <n v="0"/>
    <n v="10"/>
    <n v="7"/>
    <n v="0"/>
    <n v="6"/>
    <n v="0"/>
    <n v="0"/>
    <n v="6"/>
    <n v="3"/>
    <n v="3"/>
    <n v="6"/>
    <n v="4"/>
    <s v="До 10 лет, До 13 лет"/>
    <s v="Нет"/>
    <s v="Нет"/>
    <n v="1"/>
    <n v="1"/>
    <n v="0"/>
    <m/>
    <m/>
    <m/>
    <m/>
    <s v="Да"/>
    <s v="Нет"/>
    <m/>
  </r>
  <r>
    <d v="2025-12-01T11:49:37"/>
    <s v="МБУ ДО ДЮСШ "/>
    <x v="6"/>
    <x v="64"/>
    <s v="Усмань"/>
    <s v="Новоселов 4а"/>
    <s v="4-16-53"/>
    <s v="sport.hkola@yandex.ru"/>
    <s v="ДЮСШ"/>
    <s v="Нет"/>
    <n v="98"/>
    <x v="34"/>
    <x v="1"/>
    <x v="0"/>
    <x v="0"/>
    <n v="0"/>
    <n v="0"/>
    <n v="1"/>
    <n v="4"/>
    <n v="8"/>
    <n v="0"/>
    <n v="0"/>
    <n v="4"/>
    <n v="0"/>
    <n v="1"/>
    <n v="2"/>
    <n v="1"/>
    <s v="Соревновательной практики достаточно"/>
    <s v="Нет"/>
    <s v="Нет"/>
    <n v="1"/>
    <n v="0"/>
    <n v="0"/>
    <m/>
    <m/>
    <m/>
    <m/>
    <s v="Нет"/>
    <s v="Нет"/>
    <m/>
  </r>
  <r>
    <d v="2025-11-27T13:34:07"/>
    <s v="МБУ ДО центр &quot;Мечта&quot;"/>
    <x v="6"/>
    <x v="65"/>
    <s v="Дмитровск"/>
    <s v="303240 Орловская область, г. Дмитровск, ул. Советская, 84а"/>
    <n v="74864921858"/>
    <s v="oo_dm_mechta@orel-region.ru"/>
    <s v="учреждение дополнительного образования"/>
    <s v="Нет"/>
    <n v="79"/>
    <x v="54"/>
    <x v="1"/>
    <x v="0"/>
    <x v="0"/>
    <n v="0"/>
    <n v="0"/>
    <n v="4"/>
    <n v="11"/>
    <n v="4"/>
    <n v="0"/>
    <n v="0"/>
    <n v="3"/>
    <n v="0"/>
    <n v="0"/>
    <n v="0"/>
    <n v="0"/>
    <m/>
    <s v="Да"/>
    <s v="Нет"/>
    <n v="0"/>
    <n v="0"/>
    <n v="0"/>
    <m/>
    <m/>
    <m/>
    <m/>
    <s v="Нет"/>
    <s v="Нет"/>
    <m/>
  </r>
  <r>
    <d v="2025-11-18T16:57:55"/>
    <s v="Муниципальное бюджетное учреждение дополнительного образования &quot;Спортивная школа&quot; города Ливны"/>
    <x v="6"/>
    <x v="65"/>
    <s v="Ливны"/>
    <s v="303850 Орловская область, город Ливны, ул. Ленина, д.26, пом.34"/>
    <s v="8(48677)20060"/>
    <s v="olimpiecz13@mail.ru"/>
    <s v="СШ"/>
    <s v="Нет"/>
    <n v="219"/>
    <x v="27"/>
    <x v="1"/>
    <x v="0"/>
    <x v="0"/>
    <n v="1"/>
    <n v="1"/>
    <n v="6"/>
    <n v="4"/>
    <n v="5"/>
    <n v="9"/>
    <n v="4"/>
    <n v="2"/>
    <n v="0"/>
    <n v="2"/>
    <n v="0"/>
    <n v="0"/>
    <s v="Соревновательной практики достаточно"/>
    <s v="Да"/>
    <s v="Нет"/>
    <n v="2"/>
    <n v="0"/>
    <s v="Кириллов Д.А._x000a_Селин А.В."/>
    <m/>
    <m/>
    <m/>
    <m/>
    <s v="Да"/>
    <s v="Нет"/>
    <m/>
  </r>
  <r>
    <d v="2025-11-18T15:52:20"/>
    <s v="МБУДО &quot;СШ Мценского района&quot;"/>
    <x v="6"/>
    <x v="65"/>
    <s v="Мценский район"/>
    <s v="Мценский района, Тельчье, улица Садовая, дом 20"/>
    <n v="79536217791"/>
    <s v="dyussh.mr.yandex.ru"/>
    <s v="СШ"/>
    <s v="Нет"/>
    <n v="74"/>
    <x v="0"/>
    <x v="1"/>
    <x v="0"/>
    <x v="0"/>
    <n v="0"/>
    <n v="0"/>
    <n v="0"/>
    <n v="0"/>
    <n v="0"/>
    <n v="2"/>
    <n v="3"/>
    <n v="3"/>
    <n v="1"/>
    <n v="1"/>
    <n v="0"/>
    <n v="0"/>
    <s v="Соревновательной практики достаточно"/>
    <s v="Да"/>
    <s v="Да"/>
    <n v="2"/>
    <n v="0"/>
    <n v="0"/>
    <m/>
    <m/>
    <m/>
    <m/>
    <s v="Нет"/>
    <s v="Нет"/>
    <m/>
  </r>
  <r>
    <d v="2025-11-21T14:39:07"/>
    <s v="БУ ДО ОО «СШ «Академия футбола имени Ю.П. Семина»"/>
    <x v="6"/>
    <x v="65"/>
    <s v="Орел"/>
    <s v="302028, Орловская область, г. Орел, ул. Тургенева, д. 55"/>
    <n v="4862307347"/>
    <s v="oo_bu_rusichi@orel-region.ru"/>
    <s v="СШ"/>
    <s v="ДФЦ"/>
    <n v="1340"/>
    <x v="131"/>
    <x v="23"/>
    <x v="8"/>
    <x v="14"/>
    <n v="6"/>
    <n v="2"/>
    <n v="5"/>
    <n v="5"/>
    <n v="14"/>
    <n v="8"/>
    <n v="8"/>
    <n v="13"/>
    <n v="5"/>
    <n v="5"/>
    <n v="1"/>
    <n v="0"/>
    <s v="Соревновательной практики достаточно"/>
    <s v="Да"/>
    <s v="Да"/>
    <n v="6"/>
    <n v="1"/>
    <s v="Акимов Руслан Викторович, Сафонов Максим Сергеевич, Николаев Максим Владимирович"/>
    <m/>
    <m/>
    <m/>
    <m/>
    <s v="Да"/>
    <s v="Да"/>
    <m/>
  </r>
  <r>
    <d v="2025-11-28T10:38:59"/>
    <s v="СШ Русичи"/>
    <x v="6"/>
    <x v="65"/>
    <s v="Орел"/>
    <s v="г. Орел стадион им. Ленина"/>
    <n v="79527670233"/>
    <s v="bu_rusihi@orel-region.ru"/>
    <s v="СШ"/>
    <s v="Нет"/>
    <n v="14"/>
    <x v="16"/>
    <x v="1"/>
    <x v="0"/>
    <x v="0"/>
    <n v="0"/>
    <n v="0"/>
    <n v="0"/>
    <n v="0"/>
    <n v="2"/>
    <n v="0"/>
    <n v="3"/>
    <n v="5"/>
    <n v="4"/>
    <n v="0"/>
    <n v="0"/>
    <n v="0"/>
    <s v="На соревнования выезжаем только в Брянскую область и фестивали в Ливнах"/>
    <s v="Нет"/>
    <s v="Нет"/>
    <n v="1"/>
    <n v="1"/>
    <n v="0"/>
    <m/>
    <m/>
    <m/>
    <m/>
    <s v="Нет"/>
    <s v="Нет"/>
    <m/>
  </r>
  <r>
    <d v="2025-11-28T10:41:26"/>
    <s v="ОрелГУ"/>
    <x v="6"/>
    <x v="65"/>
    <s v="Орел"/>
    <s v="Комсомольская 95"/>
    <s v="8-4862-751318"/>
    <s v="info@oreluniver.ru"/>
    <s v="СК"/>
    <s v="Нет"/>
    <n v="67"/>
    <x v="78"/>
    <x v="30"/>
    <x v="0"/>
    <x v="0"/>
    <n v="0"/>
    <n v="0"/>
    <n v="0"/>
    <n v="0"/>
    <n v="0"/>
    <n v="0"/>
    <n v="0"/>
    <n v="0"/>
    <n v="0"/>
    <n v="0"/>
    <n v="0"/>
    <n v="0"/>
    <s v="Соревновательной практики достаточно"/>
    <s v="Нет"/>
    <s v="Нет"/>
    <n v="1"/>
    <n v="1"/>
    <n v="0"/>
    <m/>
    <m/>
    <m/>
    <m/>
    <s v="Нет"/>
    <s v="Нет"/>
    <m/>
  </r>
  <r>
    <d v="2025-11-18T09:20:33"/>
    <s v="Муниципальное бюджетное учреждение дополнительного образования &quot;Спортивная школа №3 г. Орла&quot;"/>
    <x v="6"/>
    <x v="65"/>
    <s v="Орёл"/>
    <s v="г. Орёл, ул. Латышских стрелков, д. 103"/>
    <s v="+7 (4862) 77-10-53"/>
    <s v="oo_orel_ssh3@orel-region.ru"/>
    <s v="СШ"/>
    <s v="Нет"/>
    <n v="1556"/>
    <x v="28"/>
    <x v="1"/>
    <x v="0"/>
    <x v="0"/>
    <n v="0"/>
    <n v="0"/>
    <n v="0"/>
    <n v="0"/>
    <n v="0"/>
    <n v="0"/>
    <n v="3"/>
    <n v="4"/>
    <n v="9"/>
    <n v="9"/>
    <n v="8"/>
    <n v="0"/>
    <s v="Соревновательной практики достаточно"/>
    <s v="Да"/>
    <s v="Да"/>
    <n v="14"/>
    <n v="0"/>
    <s v="Ноздрин В.А. - С-УЕФА"/>
    <n v="1"/>
    <m/>
    <m/>
    <m/>
    <s v="Да"/>
    <s v="Нет"/>
    <m/>
  </r>
  <r>
    <d v="2025-11-20T16:36:54"/>
    <s v="МБУ ДО &quot;ДЮСШ им. генерала М.Д. Скобелева&quot;"/>
    <x v="6"/>
    <x v="66"/>
    <s v="Александро-Невский"/>
    <s v="Россия, Рязанская область, Александро-Невский район, рабочий посёлок Александро-Невский, Заводская улица дом 35"/>
    <n v="89156176138"/>
    <s v="dusshnevsk@mail.ru"/>
    <s v="ДЮСШ"/>
    <s v="Нет"/>
    <n v="45"/>
    <x v="54"/>
    <x v="1"/>
    <x v="0"/>
    <x v="0"/>
    <n v="1"/>
    <n v="0"/>
    <n v="3"/>
    <n v="6"/>
    <n v="7"/>
    <n v="1"/>
    <n v="0"/>
    <n v="0"/>
    <n v="0"/>
    <n v="1"/>
    <n v="2"/>
    <n v="1"/>
    <s v="До 10 лет, До 12 лет"/>
    <s v="Да"/>
    <s v="Да"/>
    <n v="1"/>
    <n v="0"/>
    <s v="Каширский А.Н."/>
    <m/>
    <m/>
    <m/>
    <m/>
    <s v="Нет"/>
    <s v="Нет"/>
    <m/>
  </r>
  <r>
    <d v="2025-12-01T16:01:41"/>
    <s v="МУ ДО &quot;Захаровская ДЮСШ&quot;"/>
    <x v="6"/>
    <x v="66"/>
    <s v="Захарово"/>
    <s v="Рязанская область, с. Захарово, ул. Победы, д. 49а"/>
    <n v="79537462200"/>
    <s v="zaxarovodush@yandex.ru"/>
    <s v="ДЮСШ"/>
    <s v="Нет"/>
    <n v="98"/>
    <x v="71"/>
    <x v="1"/>
    <x v="0"/>
    <x v="0"/>
    <n v="0"/>
    <n v="1"/>
    <n v="5"/>
    <n v="1"/>
    <n v="1"/>
    <n v="0"/>
    <n v="0"/>
    <n v="0"/>
    <n v="2"/>
    <n v="2"/>
    <n v="0"/>
    <n v="0"/>
    <m/>
    <s v="Да"/>
    <s v="Нет"/>
    <n v="1"/>
    <n v="1"/>
    <n v="0"/>
    <m/>
    <m/>
    <m/>
    <m/>
    <s v="Нет"/>
    <s v="Нет"/>
    <m/>
  </r>
  <r>
    <d v="2025-11-17T17:59:43"/>
    <s v="МБУ ДО Кораблинская ДЮСШ"/>
    <x v="6"/>
    <x v="66"/>
    <s v="Кораблино"/>
    <s v="г. Кораблино, ул. Маяковского, д.30"/>
    <n v="84914350679"/>
    <s v="sportkor2013@mail.ru"/>
    <s v="ДЮСШ"/>
    <s v="Нет"/>
    <n v="184"/>
    <x v="13"/>
    <x v="1"/>
    <x v="0"/>
    <x v="0"/>
    <n v="1"/>
    <n v="1"/>
    <n v="3"/>
    <n v="8"/>
    <n v="10"/>
    <n v="2"/>
    <n v="3"/>
    <n v="1"/>
    <n v="0"/>
    <n v="2"/>
    <n v="0"/>
    <n v="1"/>
    <s v="Соревновательной практики достаточно"/>
    <s v="Да"/>
    <s v="Да"/>
    <n v="1"/>
    <n v="0"/>
    <s v="Дербиков Кирилл Александрович, С-УЕФА"/>
    <n v="1"/>
    <m/>
    <m/>
    <m/>
    <s v="Нет"/>
    <s v="Нет"/>
    <s v="По возможности проводите больше очных конференций для тренеров по женскому футболу как в 2022 году. Конференция была очень полезна для развития."/>
  </r>
  <r>
    <d v="2025-12-01T14:31:06"/>
    <s v="ГАУ ДО РО &quot;СШ &quot;Рекорд&quot;"/>
    <x v="6"/>
    <x v="66"/>
    <s v="Кораблино"/>
    <s v="ул. Маяковского, д. 30Б"/>
    <n v="84914351775"/>
    <s v="fskrekord@ryazan.gov.ru"/>
    <s v="СШ"/>
    <s v="Нет"/>
    <n v="49"/>
    <x v="8"/>
    <x v="1"/>
    <x v="0"/>
    <x v="0"/>
    <n v="0"/>
    <n v="0"/>
    <n v="0"/>
    <n v="0"/>
    <n v="0"/>
    <n v="0"/>
    <n v="0"/>
    <n v="0"/>
    <n v="2"/>
    <n v="0"/>
    <n v="0"/>
    <n v="0"/>
    <m/>
    <s v="Да"/>
    <s v="Нет"/>
    <n v="0"/>
    <n v="0"/>
    <n v="0"/>
    <m/>
    <m/>
    <m/>
    <m/>
    <s v="Нет"/>
    <s v="Нет"/>
    <m/>
  </r>
  <r>
    <d v="2025-11-27T12:46:52"/>
    <s v="Муниципальное бюджетное учреждение дополнительного образования «Детско-юношеская спортивная школа» Пронского района Рязанской области"/>
    <x v="6"/>
    <x v="66"/>
    <s v="Новомичуринск"/>
    <s v="Новомичуринск, микрорайон Д, 21Д"/>
    <s v="8(49141)42028"/>
    <s v="dyussh.pronsk@ryazan.gov.ru"/>
    <s v="ДЮСШ"/>
    <s v="Нет"/>
    <n v="103"/>
    <x v="8"/>
    <x v="1"/>
    <x v="0"/>
    <x v="0"/>
    <n v="0"/>
    <n v="0"/>
    <n v="0"/>
    <n v="0"/>
    <n v="0"/>
    <n v="0"/>
    <n v="0"/>
    <n v="0"/>
    <n v="1"/>
    <n v="0"/>
    <n v="1"/>
    <n v="0"/>
    <s v="Соревновательной практики достаточно"/>
    <s v="Да"/>
    <s v="Нет"/>
    <n v="0"/>
    <n v="0"/>
    <n v="0"/>
    <m/>
    <m/>
    <m/>
    <m/>
    <s v="Нет"/>
    <s v="Нет"/>
    <m/>
  </r>
  <r>
    <d v="2025-12-01T14:24:36"/>
    <s v="СК &quot;Рязань&quot; (структурное подразделение &quot;Спортивная школа по футболу&quot;"/>
    <x v="6"/>
    <x v="66"/>
    <s v="Рязань"/>
    <s v="390000, г. Рязань, ул. Маяковского д. 46"/>
    <s v="+7(4912) 55-03-14"/>
    <s v="futbol@bk.ru"/>
    <s v="СШ"/>
    <s v="Нет"/>
    <n v="487"/>
    <x v="4"/>
    <x v="1"/>
    <x v="0"/>
    <x v="0"/>
    <n v="0"/>
    <n v="0"/>
    <n v="0"/>
    <n v="0"/>
    <n v="2"/>
    <n v="3"/>
    <n v="6"/>
    <n v="3"/>
    <n v="3"/>
    <n v="6"/>
    <n v="0"/>
    <n v="0"/>
    <s v="Соревновательной практики достаточно"/>
    <s v="Да"/>
    <s v="Нет"/>
    <n v="1"/>
    <n v="1"/>
    <n v="0"/>
    <m/>
    <m/>
    <m/>
    <m/>
    <s v="Да"/>
    <s v="Нет"/>
    <m/>
  </r>
  <r>
    <d v="2025-11-21T13:23:05"/>
    <s v="ГАУ РО &quot;ФК &quot;Рязань&quot;"/>
    <x v="6"/>
    <x v="66"/>
    <s v="Рязань"/>
    <s v="ул. Маяковского, д. 46"/>
    <s v="+7(4912) 70-78-07"/>
    <s v=" academy@pfcryazan.ru"/>
    <s v="СШ"/>
    <s v="ДФЦ"/>
    <n v="504"/>
    <x v="111"/>
    <x v="1"/>
    <x v="0"/>
    <x v="0"/>
    <n v="0"/>
    <n v="0"/>
    <n v="0"/>
    <n v="7"/>
    <n v="7"/>
    <n v="7"/>
    <n v="7"/>
    <n v="7"/>
    <n v="7"/>
    <n v="1"/>
    <n v="0"/>
    <n v="0"/>
    <s v="До 10 лет, До 12 лет, До 13 лет, До 15 лет"/>
    <s v="Нет"/>
    <s v="Да"/>
    <n v="1"/>
    <n v="0"/>
    <s v="Субботин Д.А. В-УЕФА"/>
    <m/>
    <n v="1"/>
    <m/>
    <m/>
    <s v="Да"/>
    <s v="Да"/>
    <m/>
  </r>
  <r>
    <d v="2025-11-28T13:51:07"/>
    <s v="МОУ &quot;Чучковская СШ&quot;"/>
    <x v="6"/>
    <x v="66"/>
    <s v="Чучково"/>
    <s v="391420, Рязанская область, Чучковский район, р.п. Чучково, ул. Новая, д.9"/>
    <s v="+7 (49138) 7-15-30"/>
    <s v="sh.chuchkovo@mail.ru"/>
    <s v="СШ"/>
    <s v="Нет"/>
    <n v="27"/>
    <x v="35"/>
    <x v="1"/>
    <x v="0"/>
    <x v="0"/>
    <n v="0"/>
    <n v="0"/>
    <n v="0"/>
    <n v="5"/>
    <n v="4"/>
    <n v="4"/>
    <n v="3"/>
    <n v="6"/>
    <n v="5"/>
    <n v="0"/>
    <n v="0"/>
    <n v="0"/>
    <s v="Соревновательной практики достаточно"/>
    <s v="Нет"/>
    <s v="Нет"/>
    <n v="1"/>
    <n v="1"/>
    <s v="нет"/>
    <m/>
    <m/>
    <m/>
    <m/>
    <s v="Нет"/>
    <s v="Нет"/>
    <m/>
  </r>
  <r>
    <d v="2025-12-02T10:31:28"/>
    <s v="Спортивный клуб детско-юношеского спорта &quot;СГУС&quot;"/>
    <x v="6"/>
    <x v="67"/>
    <s v="Смоленск"/>
    <s v="Смоленск, пр-т Гагарина 23 а"/>
    <n v="74812307205"/>
    <s v="olgakuzenkova70@gmail.com"/>
    <s v="СК"/>
    <s v="Нет"/>
    <n v="257"/>
    <x v="81"/>
    <x v="1"/>
    <x v="0"/>
    <x v="0"/>
    <n v="0"/>
    <n v="0"/>
    <n v="0"/>
    <n v="0"/>
    <n v="0"/>
    <n v="0"/>
    <n v="5"/>
    <n v="4"/>
    <n v="6"/>
    <n v="4"/>
    <n v="1"/>
    <n v="6"/>
    <s v="До 10 лет"/>
    <s v="Да"/>
    <s v="Нет"/>
    <n v="1"/>
    <n v="1"/>
    <n v="0"/>
    <m/>
    <m/>
    <m/>
    <m/>
    <s v="Нет"/>
    <s v="Нет"/>
    <m/>
  </r>
  <r>
    <d v="2025-12-01T11:52:07"/>
    <s v="АНО СК &quot;РЕГИОН-67&quot;"/>
    <x v="6"/>
    <x v="67"/>
    <s v="Смоленск"/>
    <s v="ул. Индустриальная 9А"/>
    <n v="79038903790"/>
    <s v="academyfootball@bk.ru"/>
    <s v="АНО"/>
    <s v="Нет"/>
    <n v="98"/>
    <x v="71"/>
    <x v="1"/>
    <x v="0"/>
    <x v="0"/>
    <n v="0"/>
    <n v="0"/>
    <n v="0"/>
    <n v="2"/>
    <n v="2"/>
    <n v="0"/>
    <n v="0"/>
    <n v="2"/>
    <n v="0"/>
    <n v="0"/>
    <n v="4"/>
    <n v="2"/>
    <s v="Соревновательной практики достаточно"/>
    <s v="Да"/>
    <s v="Нет"/>
    <n v="1"/>
    <n v="0"/>
    <n v="0"/>
    <m/>
    <m/>
    <m/>
    <m/>
    <s v="Нет"/>
    <s v="Нет"/>
    <m/>
  </r>
  <r>
    <d v="2025-11-19T15:05:08"/>
    <s v="муниципальное бюджетное учреждение дополнительного образования спортивная школа № 5 по футболу"/>
    <x v="6"/>
    <x v="67"/>
    <s v="Смоленск"/>
    <s v="ул.Попова д.20Б"/>
    <n v="784812310450"/>
    <s v="smolsport5@mail.ru"/>
    <s v="СШ"/>
    <s v="ДФЦ"/>
    <n v="845"/>
    <x v="62"/>
    <x v="1"/>
    <x v="0"/>
    <x v="0"/>
    <n v="2"/>
    <n v="8"/>
    <n v="8"/>
    <n v="6"/>
    <n v="5"/>
    <n v="4"/>
    <n v="5"/>
    <n v="5"/>
    <n v="5"/>
    <n v="6"/>
    <n v="6"/>
    <n v="0"/>
    <s v="в Смоленской области нет официальных соревнований для девочек, девушек"/>
    <s v="Да"/>
    <s v="Да"/>
    <n v="1"/>
    <n v="0"/>
    <s v="Попов Александр Валентинович &quot;С&quot; - УЕФА"/>
    <m/>
    <m/>
    <m/>
    <m/>
    <s v="Да"/>
    <s v="Да"/>
    <s v="Больше информации в регионы о проведении соревнований, проведение мастер-классов , открытых уроков, приглашение тренеров на семинары, круглые столы"/>
  </r>
  <r>
    <d v="2025-11-28T16:11:44"/>
    <s v="МБУДО &quot;Холмовская спортивная школа&quot;"/>
    <x v="6"/>
    <x v="67"/>
    <s v="Холм-Жирковский"/>
    <s v="пер.Парковый, д.2Б"/>
    <n v="84813921462"/>
    <s v="sportholm2015@yandex.ru "/>
    <s v="ДЮСШ"/>
    <s v="Нет"/>
    <n v="42"/>
    <x v="9"/>
    <x v="1"/>
    <x v="0"/>
    <x v="0"/>
    <n v="0"/>
    <n v="0"/>
    <n v="0"/>
    <n v="2"/>
    <n v="3"/>
    <n v="0"/>
    <n v="0"/>
    <n v="0"/>
    <n v="0"/>
    <n v="0"/>
    <n v="0"/>
    <n v="0"/>
    <s v="нет необходимости"/>
    <s v="Да"/>
    <s v="Нет"/>
    <n v="0"/>
    <n v="0"/>
    <n v="0"/>
    <m/>
    <m/>
    <m/>
    <m/>
    <s v="Нет"/>
    <s v="Нет"/>
    <m/>
  </r>
  <r>
    <d v="2025-11-28T16:14:44"/>
    <s v="АзбукАСпорта"/>
    <x v="6"/>
    <x v="67"/>
    <s v="Ярцево"/>
    <s v="Ярцево Южная 4"/>
    <n v="89107841844"/>
    <s v="нет"/>
    <s v="частная школа"/>
    <s v="Нет"/>
    <n v="65"/>
    <x v="34"/>
    <x v="10"/>
    <x v="0"/>
    <x v="0"/>
    <n v="0"/>
    <n v="0"/>
    <n v="0"/>
    <n v="0"/>
    <n v="1"/>
    <n v="2"/>
    <n v="3"/>
    <n v="2"/>
    <n v="2"/>
    <n v="0"/>
    <n v="0"/>
    <n v="0"/>
    <s v="Соревновательной практики достаточно"/>
    <s v="Да"/>
    <s v="Нет"/>
    <n v="1"/>
    <n v="1"/>
    <n v="0"/>
    <m/>
    <m/>
    <m/>
    <m/>
    <s v="Нет"/>
    <s v="Нет"/>
    <m/>
  </r>
  <r>
    <d v="2025-11-28T15:19:30"/>
    <s v="МБУ ДО ДЮСШ "/>
    <x v="6"/>
    <x v="67"/>
    <s v="Сафоново "/>
    <s v="Смоленская область, город Сафоново, ул Гагарина 7"/>
    <s v="8(48142)43941"/>
    <s v="mbydodush@yandex.ru"/>
    <s v="ДЮСШ"/>
    <s v="Нет"/>
    <n v="140"/>
    <x v="132"/>
    <x v="2"/>
    <x v="5"/>
    <x v="4"/>
    <n v="2"/>
    <n v="3"/>
    <n v="3"/>
    <n v="3"/>
    <n v="8"/>
    <n v="8"/>
    <n v="10"/>
    <n v="5"/>
    <n v="8"/>
    <n v="5"/>
    <n v="10"/>
    <n v="5"/>
    <s v="До 10 лет, До 12 лет, До 13 лет, До 15 лет, До 17 лет, До 19 лет"/>
    <s v="Нет"/>
    <s v="Да"/>
    <n v="1"/>
    <n v="0"/>
    <s v="Нет"/>
    <m/>
    <m/>
    <m/>
    <m/>
    <s v="Да"/>
    <s v="Да"/>
    <m/>
  </r>
  <r>
    <d v="2025-12-03T10:04:21"/>
    <s v="МБОУ ДО &quot;Знаменская ДЮСШ&quot;"/>
    <x v="6"/>
    <x v="68"/>
    <s v="Знаменка"/>
    <s v="ул. Парковая д.1"/>
    <n v="74755225343"/>
    <s v="zamsport@r52.tambov.gov.ru"/>
    <s v="ДЮСШ"/>
    <s v="Нет"/>
    <n v="236"/>
    <x v="5"/>
    <x v="1"/>
    <x v="0"/>
    <x v="0"/>
    <n v="0"/>
    <n v="0"/>
    <n v="0"/>
    <n v="0"/>
    <n v="0"/>
    <n v="0"/>
    <n v="0"/>
    <n v="0"/>
    <n v="0"/>
    <n v="6"/>
    <n v="2"/>
    <n v="0"/>
    <s v="в данный момент нет необходимости"/>
    <s v="Да"/>
    <s v="Нет"/>
    <n v="0"/>
    <n v="0"/>
    <n v="0"/>
    <m/>
    <m/>
    <m/>
    <m/>
    <s v="Нет"/>
    <s v="Нет"/>
    <m/>
  </r>
  <r>
    <d v="2025-11-17T23:37:23"/>
    <s v="ШСК &quot;Надежды спорта&quot;"/>
    <x v="6"/>
    <x v="68"/>
    <s v="Мичуринск"/>
    <s v="393761, Тамбовская область, город Мичуринск, Полтавская ул., д.159 "/>
    <s v="+7 (4754) 55-08-62"/>
    <s v="michschool7@obr.g45.tambov.gov.ru"/>
    <s v="СШ "/>
    <s v="Нет"/>
    <n v="50"/>
    <x v="50"/>
    <x v="1"/>
    <x v="0"/>
    <x v="0"/>
    <n v="2"/>
    <n v="3"/>
    <n v="3"/>
    <n v="5"/>
    <n v="9"/>
    <n v="5"/>
    <n v="7"/>
    <n v="1"/>
    <n v="0"/>
    <n v="0"/>
    <n v="0"/>
    <n v="0"/>
    <s v="До 10 лет, До 12 лет, До 13 лет, До 15 лет, До 17 лет, До 19 лет"/>
    <s v="Да"/>
    <s v="Нет"/>
    <n v="1"/>
    <n v="0"/>
    <s v="Терехов Алексей Андреевич "/>
    <m/>
    <m/>
    <m/>
    <m/>
    <s v="Да"/>
    <s v="Нет"/>
    <s v="Увеличить количество соревнований среди девочек. Поддержка областной фередации футбола. Помощь для получение тренерской категории"/>
  </r>
  <r>
    <d v="2025-11-18T11:36:57"/>
    <s v="Тамбовское областное государственное автономное учреждение дополнительного образования &quot;Спортивная школа олимпийского резерва № 4 &quot;Мичуринск&quot;"/>
    <x v="6"/>
    <x v="68"/>
    <s v="Мичуринск"/>
    <s v="Тамбовская обл., г. Мичуринск, ул. Красная, д. 64"/>
    <n v="89156641005"/>
    <s v="sport.michurinsk@sport.tambov.gov.ru"/>
    <s v="СШОР"/>
    <s v="Нет"/>
    <n v="114"/>
    <x v="8"/>
    <x v="1"/>
    <x v="0"/>
    <x v="0"/>
    <n v="0"/>
    <n v="0"/>
    <n v="0"/>
    <n v="0"/>
    <n v="2"/>
    <n v="0"/>
    <n v="0"/>
    <n v="0"/>
    <n v="0"/>
    <n v="0"/>
    <n v="0"/>
    <n v="0"/>
    <s v="До 15 лет"/>
    <s v="Да"/>
    <s v="Да"/>
    <n v="1"/>
    <n v="0"/>
    <s v="Буданцев Игорь Владимирович"/>
    <m/>
    <m/>
    <m/>
    <m/>
    <s v="Да"/>
    <s v="Нет"/>
    <m/>
  </r>
  <r>
    <d v="2025-11-18T15:41:14"/>
    <s v="МБУДО &quot;Сосновская спортивная школа&quot;"/>
    <x v="6"/>
    <x v="68"/>
    <s v="Сосновка"/>
    <s v="Тамбовская обл.Сосновский МО.Р/П Сосновка,ул.Котовского 12а"/>
    <n v="4753226173"/>
    <s v="sosnduz@r32.tambov.gov.ru"/>
    <s v="МБУДО &quot;Сосновская спортивная школа&quot;"/>
    <s v="Нет"/>
    <n v="60"/>
    <x v="93"/>
    <x v="1"/>
    <x v="0"/>
    <x v="0"/>
    <n v="0"/>
    <n v="0"/>
    <n v="0"/>
    <n v="0"/>
    <n v="0"/>
    <n v="0"/>
    <n v="2"/>
    <n v="0"/>
    <n v="0"/>
    <n v="1"/>
    <n v="0"/>
    <n v="0"/>
    <s v="До 10 лет, До 12 лет, До 13 лет, До 15 лет, До 17 лет, До 19 лет"/>
    <s v="Да"/>
    <s v="Да"/>
    <n v="1"/>
    <n v="1"/>
    <s v="Кобзев В.С."/>
    <m/>
    <m/>
    <m/>
    <m/>
    <s v="Нет"/>
    <s v="Нет"/>
    <s v="нет"/>
  </r>
  <r>
    <d v="2025-11-18T10:47:21"/>
    <s v="ГУ ДО &quot;СШОР №1 &quot;АКАДЕМИЯ ФУТБОЛА&quot;"/>
    <x v="6"/>
    <x v="68"/>
    <s v="ТАМБОВ"/>
    <s v="392000 ТАМБОВ, УЛ .ГАСТЕЛЛО, Д.46 "/>
    <n v="84752783204"/>
    <s v="AKADEMIA68@YANDEX.RU"/>
    <s v="СШОР"/>
    <s v="РЦ"/>
    <n v="1125"/>
    <x v="40"/>
    <x v="7"/>
    <x v="5"/>
    <x v="0"/>
    <n v="6"/>
    <n v="8"/>
    <n v="8"/>
    <n v="8"/>
    <n v="4"/>
    <n v="2"/>
    <n v="0"/>
    <n v="0"/>
    <n v="0"/>
    <n v="0"/>
    <n v="0"/>
    <n v="0"/>
    <s v="До 12 лет, До 13 лет, До 15 лет"/>
    <s v="Нет"/>
    <s v="Нет"/>
    <n v="1"/>
    <n v="0"/>
    <s v="МАЛЮТИН В.А. С-УЕФА"/>
    <n v="1"/>
    <m/>
    <m/>
    <m/>
    <s v="Да"/>
    <s v="Нет"/>
    <m/>
  </r>
  <r>
    <d v="2025-12-01T14:28:05"/>
    <s v="МУДО ДЮСШ"/>
    <x v="6"/>
    <x v="69"/>
    <s v="Богородицк"/>
    <s v="ул.Пролетарская д.58"/>
    <n v="84876121596"/>
    <s v="mudo.dyussh.vindmana@tularegion.org"/>
    <s v="ДЮСШ"/>
    <s v="Нет"/>
    <n v="67"/>
    <x v="8"/>
    <x v="1"/>
    <x v="0"/>
    <x v="0"/>
    <n v="0"/>
    <n v="0"/>
    <n v="0"/>
    <n v="0"/>
    <n v="0"/>
    <n v="0"/>
    <n v="0"/>
    <n v="0"/>
    <n v="1"/>
    <n v="1"/>
    <n v="0"/>
    <n v="0"/>
    <s v="нет необходимости"/>
    <s v="Да"/>
    <s v="Нет"/>
    <n v="0"/>
    <n v="0"/>
    <n v="0"/>
    <m/>
    <m/>
    <m/>
    <m/>
    <s v="Нет"/>
    <s v="Нет"/>
    <m/>
  </r>
  <r>
    <d v="2025-11-27T12:43:54"/>
    <s v="МБУДО &quot;Киреевская ДЮСШ&quot;"/>
    <x v="6"/>
    <x v="69"/>
    <s v="Киреевск"/>
    <s v="ул. Зеленая 18а"/>
    <s v="8(48754)61325"/>
    <s v="kireevsk.mkudo_dyussh@tularegion.org"/>
    <s v="ДЮСШ"/>
    <s v="Нет"/>
    <n v="87"/>
    <x v="0"/>
    <x v="1"/>
    <x v="0"/>
    <x v="0"/>
    <n v="0"/>
    <n v="0"/>
    <n v="0"/>
    <n v="5"/>
    <n v="0"/>
    <n v="0"/>
    <n v="3"/>
    <n v="0"/>
    <n v="0"/>
    <n v="0"/>
    <n v="1"/>
    <n v="1"/>
    <s v="девочек мало, нет смешанных соревнований"/>
    <s v="Да"/>
    <s v="Нет"/>
    <n v="0"/>
    <n v="0"/>
    <n v="0"/>
    <m/>
    <m/>
    <m/>
    <m/>
    <s v="Да"/>
    <s v="Нет"/>
    <m/>
  </r>
  <r>
    <d v="2025-11-17T17:03:59"/>
    <s v="Муниципальное бюджетное образовательное учреждение дополнительного образования детей «Детско-юношеская спортивная школа» имени С.С. Реутова"/>
    <x v="6"/>
    <x v="69"/>
    <s v="рабочий посёлок Чернь"/>
    <s v="301090, Тульская обл., п. Чернь, ул. Свободная, д.147"/>
    <s v="8 (48756) 2-12-09"/>
    <s v="dusch.chern@tularegion.org"/>
    <s v="ДЮСШ"/>
    <s v="Нет"/>
    <n v="64"/>
    <x v="66"/>
    <x v="1"/>
    <x v="0"/>
    <x v="0"/>
    <n v="0"/>
    <n v="0"/>
    <n v="0"/>
    <n v="1"/>
    <n v="0"/>
    <n v="0"/>
    <n v="0"/>
    <n v="4"/>
    <n v="0"/>
    <n v="1"/>
    <n v="1"/>
    <n v="0"/>
    <s v="Соревновательной практики достаточно"/>
    <s v="Да"/>
    <s v="Да"/>
    <n v="1"/>
    <n v="0"/>
    <s v="Шадский Виктор Сергеевич"/>
    <m/>
    <m/>
    <m/>
    <m/>
    <s v="Да"/>
    <s v="Нет"/>
    <m/>
  </r>
  <r>
    <d v="2025-11-24T10:34:19"/>
    <s v="АНО &quot;ПФК &quot;АРСЕНАЛ&quot;"/>
    <x v="6"/>
    <x v="69"/>
    <s v="Тула"/>
    <s v="300012, г. Тула, пр. Ленина, 87"/>
    <n v="74872525287"/>
    <s v="academy@arsenaltula.ru"/>
    <s v="Центр подготовки юных футболистов-Академия &quot;Арсенал&quot;"/>
    <s v="Футбольная академия"/>
    <n v="339"/>
    <x v="73"/>
    <x v="3"/>
    <x v="2"/>
    <x v="1"/>
    <n v="11"/>
    <n v="8"/>
    <n v="10"/>
    <n v="7"/>
    <n v="9"/>
    <n v="10"/>
    <n v="9"/>
    <n v="12"/>
    <n v="11"/>
    <n v="4"/>
    <n v="1"/>
    <n v="0"/>
    <s v="До 13 лет, До 15 лет"/>
    <s v="Нет"/>
    <s v="Нет"/>
    <n v="6"/>
    <n v="2"/>
    <s v="Мазов В.В. В-УЕФА, Икаев А.С. С-УЕФА, Родионов А.С. С-УЕФА, Плотникова Е.Б. С-УЕФА, Прошкина Я.А. -"/>
    <n v="3"/>
    <n v="1"/>
    <m/>
    <m/>
    <s v="Нет"/>
    <s v="Нет"/>
    <s v="нет"/>
  </r>
  <r>
    <d v="2025-11-26T15:30:39"/>
    <s v="ЖФК Тула"/>
    <x v="6"/>
    <x v="69"/>
    <s v="Тула"/>
    <s v="Рязанская 18 кв 14"/>
    <n v="89066234265"/>
    <s v="wfc-tula@yandex.ru"/>
    <s v="ЖФК"/>
    <s v="Нет"/>
    <n v="92"/>
    <x v="67"/>
    <x v="33"/>
    <x v="8"/>
    <x v="3"/>
    <n v="4"/>
    <n v="4"/>
    <n v="4"/>
    <n v="0"/>
    <n v="0"/>
    <n v="0"/>
    <n v="0"/>
    <n v="12"/>
    <n v="12"/>
    <n v="14"/>
    <n v="15"/>
    <n v="0"/>
    <s v="До 10 лет, До 12 лет, До 13 лет, До 15 лет, До 17 лет"/>
    <s v="Нет"/>
    <s v="Нет"/>
    <n v="3"/>
    <n v="0"/>
    <n v="0"/>
    <m/>
    <m/>
    <m/>
    <m/>
    <s v="Нет"/>
    <s v="Нет"/>
    <m/>
  </r>
  <r>
    <d v="2025-11-18T10:13:48"/>
    <s v="МБУДО СШ &quot;Олимп&quot;"/>
    <x v="6"/>
    <x v="69"/>
    <s v="Тула"/>
    <s v="Тульская область, п. Ленинский, ул. Гагарина, 9"/>
    <n v="74872724824"/>
    <s v="mbuolimp@tularegion.org"/>
    <s v="СШ"/>
    <s v="Нет"/>
    <n v="161"/>
    <x v="16"/>
    <x v="1"/>
    <x v="0"/>
    <x v="2"/>
    <n v="1"/>
    <n v="2"/>
    <n v="2"/>
    <n v="4"/>
    <n v="1"/>
    <n v="1"/>
    <n v="2"/>
    <n v="0"/>
    <n v="0"/>
    <n v="0"/>
    <n v="0"/>
    <n v="0"/>
    <s v="До 10 лет, До 12 лет, До 13 лет"/>
    <s v="Нет"/>
    <s v="Нет"/>
    <n v="1"/>
    <n v="0"/>
    <s v="нет"/>
    <m/>
    <m/>
    <m/>
    <m/>
    <s v="Да"/>
    <s v="Да"/>
    <m/>
  </r>
  <r>
    <d v="2025-11-24T16:03:49"/>
    <s v="ГУ ДО ТО &quot;СШ &quot;ЦИВС&quot;"/>
    <x v="6"/>
    <x v="69"/>
    <s v="Тула"/>
    <s v="Тульская область, поселок Обидимо, ул Советская 2а"/>
    <n v="84872269771"/>
    <s v="shi.obidimo@tularegion.ru"/>
    <s v="СШ"/>
    <s v="Нет"/>
    <n v="550"/>
    <x v="18"/>
    <x v="1"/>
    <x v="0"/>
    <x v="0"/>
    <n v="0"/>
    <n v="0"/>
    <n v="0"/>
    <n v="13"/>
    <n v="12"/>
    <n v="10"/>
    <n v="10"/>
    <n v="5"/>
    <n v="0"/>
    <n v="0"/>
    <n v="0"/>
    <n v="0"/>
    <s v="До 12 лет, До 13 лет, До 15 лет"/>
    <s v="Нет"/>
    <s v="Нет"/>
    <n v="2"/>
    <n v="0"/>
    <s v="Шароваров Д.М. Бондарев С.О. С-УЕФА"/>
    <n v="1"/>
    <m/>
    <m/>
    <m/>
    <s v="Да"/>
    <s v="Нет"/>
    <m/>
  </r>
  <r>
    <d v="2025-12-02T22:09:58"/>
    <s v="ДФК «Форвард»"/>
    <x v="1"/>
    <x v="5"/>
    <s v="Нариманов "/>
    <s v="Школьная 9"/>
    <n v="89885925902"/>
    <s v="alibek.bal90@mail.ru"/>
    <s v="Частная футбольная школа "/>
    <s v="Нет"/>
    <n v="50"/>
    <x v="17"/>
    <x v="1"/>
    <x v="0"/>
    <x v="0"/>
    <n v="0"/>
    <n v="0"/>
    <n v="0"/>
    <n v="5"/>
    <n v="2"/>
    <n v="3"/>
    <n v="2"/>
    <n v="1"/>
    <n v="0"/>
    <n v="1"/>
    <n v="2"/>
    <n v="0"/>
    <s v="До 10 лет"/>
    <s v="Да"/>
    <s v="Да"/>
    <n v="3"/>
    <n v="0"/>
    <s v="Балмухамбетов А.А"/>
    <m/>
    <m/>
    <m/>
    <m/>
    <s v="Да"/>
    <s v="Нет"/>
    <m/>
  </r>
  <r>
    <d v="2025-12-01T20:35:54"/>
    <s v="МКУ ДО «ДЮСШ» п. Володарский "/>
    <x v="1"/>
    <x v="5"/>
    <s v="Поселок Володарский"/>
    <s v="ул.Суворова 9 «а»"/>
    <n v="8514291048"/>
    <s v="vol.sport.4@mail.ru"/>
    <s v="ДЮСШ"/>
    <s v="Нет"/>
    <n v="198"/>
    <x v="23"/>
    <x v="1"/>
    <x v="0"/>
    <x v="0"/>
    <n v="0"/>
    <n v="0"/>
    <n v="0"/>
    <n v="0"/>
    <n v="0"/>
    <n v="14"/>
    <n v="3"/>
    <n v="2"/>
    <n v="0"/>
    <n v="1"/>
    <n v="0"/>
    <n v="0"/>
    <s v="Соревновательной практики достаточно"/>
    <s v="Да"/>
    <s v="Да"/>
    <n v="1"/>
    <n v="0"/>
    <n v="0"/>
    <m/>
    <m/>
    <m/>
    <m/>
    <s v="Нет"/>
    <s v="Нет"/>
    <m/>
  </r>
  <r>
    <d v="2025-12-12T05:40:57"/>
    <s v="МБОУ &quot;СОШ№2&quot; с.Чугуевка"/>
    <x v="0"/>
    <x v="4"/>
    <s v="Чугуевка"/>
    <s v="ул.Комарова 50А"/>
    <n v="84237222502"/>
    <s v="tokareva_sveta1995@bk.ru"/>
    <s v="СШ"/>
    <s v="Нет"/>
    <n v="153"/>
    <x v="123"/>
    <x v="1"/>
    <x v="0"/>
    <x v="0"/>
    <n v="1"/>
    <n v="0"/>
    <n v="2"/>
    <n v="7"/>
    <n v="8"/>
    <n v="6"/>
    <n v="10"/>
    <n v="18"/>
    <n v="9"/>
    <n v="5"/>
    <n v="0"/>
    <n v="0"/>
    <s v="Соревновательной практики достаточно"/>
    <s v="Да"/>
    <s v="Да"/>
    <n v="1"/>
    <n v="0"/>
    <s v="Токарев Владимир Львович"/>
    <m/>
    <m/>
    <m/>
    <m/>
    <s v="Да"/>
    <s v="Нет"/>
    <m/>
  </r>
  <r>
    <d v="2025-11-22T09:42:28"/>
    <s v="МБОУ «Куньинская СОШ»"/>
    <x v="5"/>
    <x v="37"/>
    <s v="Кунья"/>
    <s v="Псковская область, Куньинский район, посёлок Кунья, улица Больничная, дом 9, индекс 182010"/>
    <s v="2-13-38"/>
    <s v="org76&amp;pskovedu.ru."/>
    <s v="СШ"/>
    <s v="Нет"/>
    <n v="85"/>
    <x v="46"/>
    <x v="12"/>
    <x v="13"/>
    <x v="0"/>
    <n v="6"/>
    <n v="1"/>
    <n v="3"/>
    <n v="6"/>
    <n v="3"/>
    <n v="5"/>
    <n v="5"/>
    <n v="2"/>
    <n v="1"/>
    <n v="0"/>
    <n v="0"/>
    <n v="0"/>
    <s v="Соревновательной практики достаточно, Только нам мало выделяют средств для участия в них"/>
    <s v="Да"/>
    <s v="Нет"/>
    <n v="1"/>
    <n v="0"/>
    <s v="Гринев Вячеслав Анатольевич, лицензии нет"/>
    <m/>
    <m/>
    <m/>
    <m/>
    <s v="Нет"/>
    <s v="Нет"/>
    <s v="В нашем Центре Внешкольной Работы не ставят специализацию «Футбол», поэтому не выделяют средства и транспорт на товарищеские и официальные турниры по футболу, которых в области много - Псков, Великие Луки, Пустошка, Пушгоры, Порхов, Бежаницы, Невель, Остров, Чернево. От этого падает интерес к футболу в школе, мы отстаем в спортивном развитии от сверстников. Даются деньги только на «Локобол», «Кожаный мяч», «Футзал в школу», «Футбол в школу», «Кубок Анастасии» в Пустошке. В поселке только один автобус имеет лицензию на перевозку детей, автобус и водитель перегружены. На турниры в соседние Великие Луки (30 км) можем выезжать на рейсовых автобусах за свои средства. _x000a_В поселке заброшен, не действует бывший поселковый стадион, нет большого поля. Спортплощадка около школы содержит небольшой стадион (30 на 50 метров), который содержится в порядке - неплохое травяное покрытие, ворота, сетки, заградительные сетки за воротами, беговые дорожки. Также есть футбольная коробка, построенная 15 лет назад - ворота с сетками в хорошей сохранности, оградительная сетка и борта тоже. Но покрытие выкрошилось, денег на новое покрытие не найти, бюджетом района они не выделяются. Мячей и формы достаточно."/>
  </r>
  <r>
    <d v="2025-12-10T04:44:44"/>
    <s v="Улу-Юльская СОШ "/>
    <x v="8"/>
    <x v="51"/>
    <s v="Улу-Юл "/>
    <s v="П. Улу-Юл, ул. Советская 18"/>
    <n v="83824544244"/>
    <s v="ulschool@pervomaisky.gov70.ru"/>
    <s v="СШ"/>
    <s v="Нет"/>
    <n v="50"/>
    <x v="15"/>
    <x v="1"/>
    <x v="0"/>
    <x v="0"/>
    <n v="0"/>
    <n v="1"/>
    <n v="6"/>
    <n v="2"/>
    <n v="2"/>
    <n v="2"/>
    <n v="3"/>
    <n v="6"/>
    <n v="3"/>
    <n v="0"/>
    <n v="0"/>
    <n v="0"/>
    <s v="Соревновательной практики достаточно"/>
    <s v="Да"/>
    <s v="Да"/>
    <n v="1"/>
    <n v="0"/>
    <s v="Нет"/>
    <m/>
    <m/>
    <m/>
    <m/>
    <s v="Да"/>
    <s v="Нет"/>
    <s v="Нету"/>
  </r>
  <r>
    <d v="2025-12-02T18:48:14"/>
    <s v="Спортивный клуб Астрахань "/>
    <x v="1"/>
    <x v="5"/>
    <s v="Астрахань "/>
    <s v="Город Астрахань улица Ползунова 1Б"/>
    <s v="8 (937) 900-35-57"/>
    <s v="sc-astrakhan@mail.ru"/>
    <s v="Спортивный клуб"/>
    <s v="Нет"/>
    <n v="260"/>
    <x v="62"/>
    <x v="1"/>
    <x v="0"/>
    <x v="0"/>
    <n v="0"/>
    <n v="0"/>
    <n v="0"/>
    <n v="5"/>
    <n v="13"/>
    <n v="9"/>
    <n v="17"/>
    <n v="12"/>
    <n v="4"/>
    <n v="0"/>
    <n v="0"/>
    <n v="0"/>
    <s v="До 10 лет, До 12 лет, До 13 лет, До 15 лет"/>
    <s v="Нет"/>
    <s v="Нет"/>
    <n v="2"/>
    <n v="0"/>
    <n v="0"/>
    <m/>
    <m/>
    <m/>
    <m/>
    <s v="Да"/>
    <s v="Да"/>
    <m/>
  </r>
  <r>
    <d v="2025-11-20T18:03:06"/>
    <s v="МАОУ &quot;Урмарская СОШ им.Г.Е.Егорова&quot; "/>
    <x v="4"/>
    <x v="29"/>
    <s v="Урмары "/>
    <s v="429400, Урмарский район, п.Урмары, пер.Школьный, д.3  "/>
    <s v="  8(83544) 2-19-21"/>
    <s v="urmar-urmarsosh@rchuv.ru"/>
    <s v="СШ"/>
    <s v="Нет"/>
    <n v="60"/>
    <x v="15"/>
    <x v="1"/>
    <x v="0"/>
    <x v="0"/>
    <n v="0"/>
    <n v="0"/>
    <n v="0"/>
    <n v="0"/>
    <n v="15"/>
    <n v="10"/>
    <n v="0"/>
    <n v="0"/>
    <n v="0"/>
    <n v="0"/>
    <n v="0"/>
    <n v="0"/>
    <s v="До 13 лет"/>
    <s v="Да"/>
    <s v="Да"/>
    <n v="2"/>
    <n v="1"/>
    <s v="Нет"/>
    <m/>
    <m/>
    <m/>
    <m/>
    <s v="Нет"/>
    <s v="Нет"/>
    <m/>
  </r>
  <r>
    <d v="2025-12-02T14:16:34"/>
    <s v="АНО &quot;СФК &quot;Волгарь&quot;"/>
    <x v="1"/>
    <x v="5"/>
    <s v="Астрахань"/>
    <s v="г. Астрахань, ул. Латышева, 3"/>
    <n v="8512540112"/>
    <s v="sfc@volgar-fc.ru"/>
    <s v="Департамент по развитию женского футбола"/>
    <s v="Футбольная академия"/>
    <n v="483"/>
    <x v="133"/>
    <x v="15"/>
    <x v="4"/>
    <x v="15"/>
    <n v="5"/>
    <n v="12"/>
    <n v="8"/>
    <n v="10"/>
    <n v="9"/>
    <n v="9"/>
    <n v="11"/>
    <n v="10"/>
    <n v="10"/>
    <n v="10"/>
    <n v="4"/>
    <n v="2"/>
    <s v="Соревновательной практики достаточно"/>
    <s v="Нет"/>
    <s v="Да"/>
    <n v="4"/>
    <n v="2"/>
    <s v="Проживалов С.В. - В-УЕФА, Аитов Х.А. - В-УЕФА, Попова А.Н. -С-УЕФА, Трещилина К.Ю.-б/л"/>
    <n v="1"/>
    <n v="2"/>
    <m/>
    <m/>
    <s v="Да"/>
    <s v="Нет"/>
    <m/>
  </r>
  <r>
    <d v="2025-12-02T11:20:21"/>
    <s v="МБУ ДО г. Астрахани «СШ 1»"/>
    <x v="1"/>
    <x v="5"/>
    <s v="Астрахань"/>
    <s v="Г. Астрахань, ул. Капитана Краснова, 26"/>
    <n v="88512585892"/>
    <s v="cdo-3@mail.ru"/>
    <s v="СШ"/>
    <s v="Нет"/>
    <n v="270"/>
    <x v="64"/>
    <x v="1"/>
    <x v="0"/>
    <x v="0"/>
    <n v="5"/>
    <n v="4"/>
    <n v="2"/>
    <n v="7"/>
    <n v="12"/>
    <n v="12"/>
    <n v="12"/>
    <n v="12"/>
    <n v="14"/>
    <n v="14"/>
    <n v="14"/>
    <n v="18"/>
    <s v="Соревновательной практики достаточно"/>
    <s v="Нет"/>
    <s v="Нет"/>
    <n v="3"/>
    <n v="2"/>
    <s v="Абдуллов Н.А -С-УЕФА, Арюкова Р.В.-С-УЕФА"/>
    <n v="2"/>
    <m/>
    <m/>
    <m/>
    <s v="Да"/>
    <s v="Нет"/>
    <m/>
  </r>
  <r>
    <d v="2025-12-02T17:15:34"/>
    <s v="ГАУ КБР &quot;ПФК &quot;Спартак-Нальчик&quot;"/>
    <x v="1"/>
    <x v="70"/>
    <s v="Нальчик"/>
    <s v="г. Нальчик, ул. Шогенцукова, д.13"/>
    <s v="88662-42-35-20"/>
    <s v="info.spartak-nalchik@mail.ru"/>
    <s v="Структурное подразделение"/>
    <s v="ДФЦ"/>
    <n v="340"/>
    <x v="17"/>
    <x v="1"/>
    <x v="0"/>
    <x v="4"/>
    <n v="0"/>
    <n v="0"/>
    <n v="4"/>
    <n v="4"/>
    <n v="3"/>
    <n v="3"/>
    <n v="0"/>
    <n v="0"/>
    <n v="0"/>
    <n v="0"/>
    <n v="0"/>
    <n v="0"/>
    <s v="До 15 лет"/>
    <s v="Нет"/>
    <s v="Нет"/>
    <n v="1"/>
    <n v="0"/>
    <s v="Лобжанидзе Гия Георгиевич С-УЕФА"/>
    <n v="1"/>
    <m/>
    <m/>
    <m/>
    <s v="Да"/>
    <s v="Нет"/>
    <m/>
  </r>
  <r>
    <d v="2025-11-19T14:07:58"/>
    <s v="Муниципальное казенное учреждение дополнительного образования &quot;Спортивная школа по футболу&quot;"/>
    <x v="1"/>
    <x v="70"/>
    <s v="Нальчик"/>
    <s v="КБР, г. Нальчик, ул. Шогенцукова, 13"/>
    <s v="8-965-285-77-77"/>
    <s v="mkoudosdushor@mail.ru"/>
    <s v="СШ"/>
    <s v="ДФЦ"/>
    <n v="285"/>
    <x v="30"/>
    <x v="1"/>
    <x v="0"/>
    <x v="0"/>
    <n v="0"/>
    <n v="0"/>
    <n v="0"/>
    <n v="0"/>
    <n v="6"/>
    <n v="6"/>
    <n v="4"/>
    <n v="5"/>
    <n v="4"/>
    <n v="5"/>
    <n v="0"/>
    <n v="0"/>
    <s v="До 10 лет"/>
    <s v="Нет"/>
    <s v="Да"/>
    <n v="1"/>
    <n v="0"/>
    <s v="Джанкишиев А.А. С-УЕФА"/>
    <n v="1"/>
    <m/>
    <m/>
    <m/>
    <s v="Да"/>
    <s v="Нет"/>
    <m/>
  </r>
  <r>
    <m/>
    <s v="РГБУ ДО  &quot;Комплексная спортивная школа &quot;Победа&quot;"/>
    <x v="1"/>
    <x v="71"/>
    <s v="Усть - Джегута "/>
    <s v="г. Усть - Джегута, мкр. Московский "/>
    <n v="78782284584"/>
    <s v="rgbudopobeda01@mail.ru"/>
    <m/>
    <m/>
    <n v="85.8"/>
    <x v="28"/>
    <x v="1"/>
    <x v="9"/>
    <x v="5"/>
    <n v="8"/>
    <n v="8"/>
    <n v="2"/>
    <n v="0"/>
    <n v="2"/>
    <n v="0"/>
    <n v="0"/>
    <n v="0"/>
    <n v="0"/>
    <n v="0"/>
    <n v="0"/>
    <n v="0"/>
    <m/>
    <m/>
    <m/>
    <m/>
    <m/>
    <m/>
    <m/>
    <m/>
    <m/>
    <m/>
    <m/>
    <m/>
    <m/>
  </r>
  <r>
    <d v="2025-12-09T13:46:11"/>
    <s v="МБУ СШ Олимп"/>
    <x v="1"/>
    <x v="72"/>
    <s v="Мостовской"/>
    <s v="пгт. Мостовской , ул. Переправенская 11"/>
    <n v="89186854601"/>
    <s v=""/>
    <s v="СШ"/>
    <s v="Нет"/>
    <n v="400"/>
    <x v="29"/>
    <x v="1"/>
    <x v="0"/>
    <x v="0"/>
    <n v="0"/>
    <n v="0"/>
    <n v="5"/>
    <n v="5"/>
    <n v="5"/>
    <n v="5"/>
    <n v="0"/>
    <n v="0"/>
    <n v="0"/>
    <n v="10"/>
    <n v="10"/>
    <n v="0"/>
    <s v="До 15 лет, До 19 лет"/>
    <s v="Нет"/>
    <s v="Да"/>
    <n v="3"/>
    <n v="0"/>
    <s v="Максимов Виталий Александрович, Кузнецов Дмитрий Сергеевич,                                                           Свинухова Ольга Валентиновна"/>
    <m/>
    <m/>
    <m/>
    <m/>
    <s v="Да"/>
    <s v="Нет"/>
    <m/>
  </r>
  <r>
    <d v="2025-12-09T13:28:17"/>
    <s v="МБУ ДО СШ 2"/>
    <x v="1"/>
    <x v="72"/>
    <s v="Курганинск"/>
    <s v="Калина 41"/>
    <n v="88614727633"/>
    <s v="kurg.sport2@mail.ru"/>
    <s v="СШ"/>
    <s v="Нет"/>
    <n v="300"/>
    <x v="0"/>
    <x v="1"/>
    <x v="0"/>
    <x v="0"/>
    <n v="0"/>
    <n v="0"/>
    <n v="0"/>
    <n v="0"/>
    <n v="0"/>
    <n v="1"/>
    <n v="3"/>
    <n v="2"/>
    <n v="3"/>
    <n v="1"/>
    <n v="0"/>
    <n v="0"/>
    <s v="До 10 лет, "/>
    <s v="Да"/>
    <s v="Да"/>
    <n v="1"/>
    <n v="0"/>
    <s v="Максимов Виталий Александрович"/>
    <m/>
    <m/>
    <m/>
    <m/>
    <s v="Да"/>
    <s v="Нет"/>
    <m/>
  </r>
  <r>
    <d v="2025-12-09T16:34:35"/>
    <s v="МБОУ ДО &quot;СШ &quot;Юниор&quot;"/>
    <x v="1"/>
    <x v="72"/>
    <s v="Шкуринская"/>
    <s v="Краснодарский край, Кущевский р-н, ст-ца Шкуринская, ул. Ленина, 87"/>
    <s v="8(8618)45-1-89"/>
    <s v="junior-sport2016@yandex.ru"/>
    <s v="СШ"/>
    <s v="Нет"/>
    <n v="145"/>
    <x v="30"/>
    <x v="1"/>
    <x v="0"/>
    <x v="5"/>
    <n v="2"/>
    <n v="1"/>
    <n v="3"/>
    <n v="4"/>
    <n v="0"/>
    <n v="4"/>
    <n v="4"/>
    <n v="4"/>
    <n v="3"/>
    <n v="0"/>
    <n v="0"/>
    <n v="0"/>
    <s v="Соревновательной практики достаточно"/>
    <s v="Да"/>
    <s v="Нет"/>
    <n v="2"/>
    <n v="0"/>
    <s v="Попов Вячеслав Васильевич, Тарба Денис Рудикович"/>
    <m/>
    <m/>
    <m/>
    <m/>
    <s v="Да"/>
    <s v="Нет"/>
    <m/>
  </r>
  <r>
    <m/>
    <s v="МАУ ДО СШ «Лидер»"/>
    <x v="1"/>
    <x v="72"/>
    <s v="Ленинградская"/>
    <s v="Ленинградский район,  ст. Ленинградская, ул. Ленина, 96Б"/>
    <s v="8 (86145) 7-23-09"/>
    <s v="mboododush2015@yandex.ru"/>
    <s v="СШ"/>
    <s v="Нет"/>
    <n v="185"/>
    <x v="0"/>
    <x v="1"/>
    <x v="0"/>
    <x v="0"/>
    <n v="0"/>
    <n v="0"/>
    <n v="0"/>
    <n v="0"/>
    <n v="1"/>
    <n v="1"/>
    <n v="3"/>
    <n v="3"/>
    <n v="1"/>
    <n v="1"/>
    <n v="0"/>
    <n v="0"/>
    <s v="Соревновательной практики достаточно"/>
    <s v="Да"/>
    <s v="Нет"/>
    <n v="2"/>
    <n v="0"/>
    <s v="Смирнов Вадим Владимирович, Смирнов Валерий Владимирович"/>
    <m/>
    <m/>
    <m/>
    <m/>
    <s v="Да"/>
    <s v="Нет"/>
    <m/>
  </r>
  <r>
    <d v="2025-12-09T15:47:08"/>
    <s v="МКУ ДО СШ «Спартак» "/>
    <x v="1"/>
    <x v="72"/>
    <s v="Абинск"/>
    <s v="353320, Краснодарский край, Абинский р-н, Абинск г, Советов ул, дом № 35"/>
    <s v="+7 (86150) 202 65 00 доб (701)"/>
    <s v="spartak-abinsk@mail.ru"/>
    <s v="СШ"/>
    <s v="Нет"/>
    <n v="316"/>
    <x v="45"/>
    <x v="1"/>
    <x v="0"/>
    <x v="0"/>
    <n v="0"/>
    <n v="0"/>
    <n v="1"/>
    <n v="2"/>
    <n v="4"/>
    <n v="2"/>
    <n v="6"/>
    <n v="4"/>
    <n v="3"/>
    <n v="2"/>
    <n v="4"/>
    <n v="0"/>
    <s v="Соревновательной практики достаточно"/>
    <s v="Да"/>
    <s v="Нет"/>
    <n v="1"/>
    <n v="0"/>
    <s v="Черепухин В.Г."/>
    <m/>
    <m/>
    <m/>
    <m/>
    <s v="Да"/>
    <s v="Нет"/>
    <m/>
  </r>
  <r>
    <d v="2025-11-25T17:40:17"/>
    <s v="МБУ ДО СШ 7"/>
    <x v="1"/>
    <x v="72"/>
    <s v="Анапа"/>
    <s v="г Анапа ст. Анапская ул Тбилисская 1в"/>
    <s v="(86133) 7-27-95"/>
    <s v="dush7@anapaedu.ru​​​​​​​"/>
    <s v="ДЮСШ"/>
    <s v="Нет"/>
    <n v="130"/>
    <x v="20"/>
    <x v="1"/>
    <x v="0"/>
    <x v="0"/>
    <n v="0"/>
    <n v="0"/>
    <n v="0"/>
    <n v="2"/>
    <n v="3"/>
    <n v="7"/>
    <n v="5"/>
    <n v="6"/>
    <n v="7"/>
    <n v="8"/>
    <n v="0"/>
    <n v="0"/>
    <s v="Соревновательной практики достаточно"/>
    <s v="Да"/>
    <s v="Да"/>
    <n v="2"/>
    <n v="0"/>
    <s v="Гармаш А.А."/>
    <m/>
    <m/>
    <m/>
    <m/>
    <s v="Да"/>
    <s v="Нет"/>
    <m/>
  </r>
  <r>
    <d v="2025-12-07T22:12:45"/>
    <s v="МБУ ДО СШ ЦП ВВС «Олимп»"/>
    <x v="1"/>
    <x v="72"/>
    <s v="Анапа"/>
    <s v="353422 Краснодарский край, город-курорт Анапа, п. Виноградный, улица Таманская, 2в"/>
    <s v="8(86133)96258"/>
    <s v="olimp@anapaedu.ru"/>
    <s v="СШ"/>
    <s v="Нет"/>
    <n v="550"/>
    <x v="2"/>
    <x v="1"/>
    <x v="0"/>
    <x v="0"/>
    <n v="3"/>
    <n v="1"/>
    <n v="4"/>
    <n v="6"/>
    <n v="5"/>
    <n v="7"/>
    <n v="2"/>
    <n v="3"/>
    <n v="14"/>
    <n v="14"/>
    <n v="3"/>
    <n v="0"/>
    <s v="Соревновательной практики достаточно"/>
    <s v="Да"/>
    <s v="Да"/>
    <n v="3"/>
    <n v="1"/>
    <s v="Булгаков Алексей Анатольевич, Касина Ульяна Викторовна, Гончаров Юрий Петрович"/>
    <m/>
    <m/>
    <m/>
    <m/>
    <s v="Да"/>
    <s v="Нет"/>
    <m/>
  </r>
  <r>
    <d v="2025-11-18T16:57:07"/>
    <s v="МКУ ДО СШ &quot;Олимп&quot; Апшеронского района"/>
    <x v="1"/>
    <x v="72"/>
    <s v="Апшеронск"/>
    <s v="352690, Краснодарский край, г. Апшеронск, ул. Спорта, 2"/>
    <s v="8-861-52-2-54-95"/>
    <s v="olimpmaster@bk.ru"/>
    <s v="СШ"/>
    <s v="Нет"/>
    <n v="393"/>
    <x v="3"/>
    <x v="1"/>
    <x v="0"/>
    <x v="0"/>
    <n v="0"/>
    <n v="0"/>
    <n v="2"/>
    <n v="7"/>
    <n v="0"/>
    <n v="3"/>
    <n v="2"/>
    <n v="1"/>
    <n v="0"/>
    <n v="0"/>
    <n v="0"/>
    <n v="0"/>
    <s v="До 10 лет, До 12 лет, До 13 лет, До 15 лет"/>
    <s v="Да"/>
    <s v="Да"/>
    <n v="3"/>
    <n v="0"/>
    <s v="нет"/>
    <m/>
    <m/>
    <m/>
    <m/>
    <s v="Да"/>
    <s v="Нет"/>
    <m/>
  </r>
  <r>
    <d v="2025-12-02T15:44:52"/>
    <s v="МКУ ДО СШ &quot;Авангард&quot; Апшеронск"/>
    <x v="1"/>
    <x v="72"/>
    <s v="Апшеронск "/>
    <s v="Апшеронск, ул. Королева, 128"/>
    <s v="2-74-79"/>
    <s v="maoydoddusha@mail.ru"/>
    <s v="СШ"/>
    <s v="Нет"/>
    <n v="358"/>
    <x v="33"/>
    <x v="1"/>
    <x v="0"/>
    <x v="0"/>
    <n v="0"/>
    <n v="2"/>
    <n v="4"/>
    <n v="2"/>
    <n v="6"/>
    <n v="13"/>
    <n v="10"/>
    <n v="8"/>
    <n v="7"/>
    <n v="11"/>
    <n v="7"/>
    <n v="3"/>
    <s v="До 10 лет"/>
    <s v="Да"/>
    <s v="Да"/>
    <n v="2"/>
    <n v="0"/>
    <s v="Гвоздёв Александр Николаевич _x000a_Синенко Алексей Николаевич "/>
    <m/>
    <m/>
    <m/>
    <m/>
    <s v="Да"/>
    <s v="Нет"/>
    <s v="Нет"/>
  </r>
  <r>
    <s v="0612.2025 15:45:03"/>
    <s v="МАУ ДО СШ по футболу г.Армавир"/>
    <x v="1"/>
    <x v="72"/>
    <s v="Армавир "/>
    <s v="Свердлова 92"/>
    <s v="2-34-00"/>
    <s v="school.football.armavir@mail.ru"/>
    <s v="СШ"/>
    <s v="Нет"/>
    <n v="781"/>
    <x v="25"/>
    <x v="1"/>
    <x v="0"/>
    <x v="0"/>
    <n v="0"/>
    <n v="0"/>
    <n v="0"/>
    <n v="0"/>
    <n v="0"/>
    <n v="0"/>
    <n v="15"/>
    <n v="16"/>
    <n v="10"/>
    <n v="0"/>
    <n v="0"/>
    <n v="0"/>
    <s v="До 10 лет, До 12 лет"/>
    <s v="Да"/>
    <s v="Да"/>
    <n v="1"/>
    <n v="1"/>
    <s v="Джугелия Лилия Валерьевна"/>
    <m/>
    <m/>
    <m/>
    <m/>
    <s v="Да"/>
    <s v="Да"/>
    <s v="Нет"/>
  </r>
  <r>
    <d v="2025-12-09T16:05:42"/>
    <s v="МБУ ДО &quot;СШ Белоглинского района&quot;"/>
    <x v="1"/>
    <x v="72"/>
    <s v="Белая Глина"/>
    <s v="353040, Краснодарский край, Белоглинский р-н, Белая Глина с, Красная ул., дом № 106А"/>
    <s v="+7(86154) 7-24-05"/>
    <s v="sportblg2012@yandex.ru"/>
    <s v="СШ"/>
    <s v="Нет"/>
    <n v="128"/>
    <x v="78"/>
    <x v="1"/>
    <x v="0"/>
    <x v="0"/>
    <n v="0"/>
    <n v="0"/>
    <n v="0"/>
    <n v="0"/>
    <n v="2"/>
    <n v="2"/>
    <n v="4"/>
    <n v="1"/>
    <n v="4"/>
    <n v="5"/>
    <n v="1"/>
    <n v="0"/>
    <s v="Соревновательной практики достаточно"/>
    <s v="Да"/>
    <s v="Нет"/>
    <n v="3"/>
    <n v="0"/>
    <s v="Шевердинов С.А.,Пахомов В.Ф., Ефремов Ю.А."/>
    <m/>
    <m/>
    <m/>
    <m/>
    <s v="Да"/>
    <s v="Нет"/>
    <m/>
  </r>
  <r>
    <d v="2025-11-18T14:52:22"/>
    <s v="МАУ ДО &quot;СШ &quot;Родина&quot; станицы Бесскорбной&quot;"/>
    <x v="1"/>
    <x v="72"/>
    <s v="Бесскорбная"/>
    <s v="352200 Новокубанский район, станица Бесскорбная, улица Ленина, дом 200"/>
    <s v="8(861)952-31-12"/>
    <s v="pk-rodina@mail.ru"/>
    <s v="СШ"/>
    <s v="Нет"/>
    <n v="269"/>
    <x v="134"/>
    <x v="1"/>
    <x v="0"/>
    <x v="0"/>
    <n v="0"/>
    <n v="3"/>
    <n v="16"/>
    <n v="15"/>
    <n v="10"/>
    <n v="16"/>
    <n v="26"/>
    <n v="34"/>
    <n v="26"/>
    <n v="12"/>
    <n v="0"/>
    <n v="0"/>
    <s v="Соревновательной практики достаточно"/>
    <s v="Да"/>
    <s v="Да"/>
    <n v="2"/>
    <n v="0"/>
    <n v="0"/>
    <m/>
    <m/>
    <m/>
    <m/>
    <s v="Да"/>
    <s v="Нет"/>
    <s v="Вопросов нет"/>
  </r>
  <r>
    <d v="2025-12-09T19:50:15"/>
    <s v="МБУ ДО спортивная школа ст. Брюховецкой"/>
    <x v="1"/>
    <x v="72"/>
    <s v="Брюховецкая"/>
    <s v="352750, Краснодарский край, Брюховецкий район, ст. Брюховецкая, ул. О.Кошевого, 119 А"/>
    <s v="(861-56) 20-488"/>
    <s v="brsport2006@yandex.ru"/>
    <s v="СШ"/>
    <s v="Нет"/>
    <n v="128"/>
    <x v="71"/>
    <x v="1"/>
    <x v="0"/>
    <x v="0"/>
    <n v="0"/>
    <n v="0"/>
    <n v="0"/>
    <n v="0"/>
    <n v="0"/>
    <n v="0"/>
    <n v="2"/>
    <n v="5"/>
    <n v="3"/>
    <n v="2"/>
    <n v="0"/>
    <n v="0"/>
    <s v="Соревновательной практики достаточно"/>
    <s v="Да"/>
    <s v="Нет"/>
    <n v="2"/>
    <n v="0"/>
    <s v="Астанков С.А., Гузий Д.А."/>
    <m/>
    <m/>
    <m/>
    <m/>
    <s v="Да"/>
    <s v="Нет"/>
    <m/>
  </r>
  <r>
    <d v="2025-12-02T18:39:03"/>
    <s v="МБУ СШ Спарта "/>
    <x v="1"/>
    <x v="72"/>
    <s v="Геленджик "/>
    <s v="С.Кабардинка, ул. Горная, 60"/>
    <n v="88614165191"/>
    <s v="dush.sparta@ mail.ru"/>
    <s v="СШ"/>
    <s v="Нет"/>
    <n v="600"/>
    <x v="22"/>
    <x v="1"/>
    <x v="0"/>
    <x v="0"/>
    <n v="1"/>
    <n v="3"/>
    <n v="2"/>
    <n v="10"/>
    <n v="10"/>
    <n v="8"/>
    <n v="8"/>
    <n v="10"/>
    <n v="2"/>
    <n v="4"/>
    <n v="1"/>
    <n v="2"/>
    <s v="До 13 лет"/>
    <s v="Нет"/>
    <s v="Нет"/>
    <n v="1"/>
    <n v="1"/>
    <s v="Загуменная Елена Сергеевна "/>
    <m/>
    <m/>
    <m/>
    <m/>
    <s v="Да"/>
    <s v="Нет"/>
    <s v="Больше соревнований в младших возрастных группах"/>
  </r>
  <r>
    <d v="2025-12-08T15:07:22"/>
    <s v="МБУ ДО СШ Спарта"/>
    <x v="1"/>
    <x v="72"/>
    <s v="Геленджик Кабардинка"/>
    <s v="353480, с. Кабардинка, ул. Революционная, д. 90"/>
    <n v="88614165191"/>
    <s v="dush-sparta@mail.ru"/>
    <s v="СШ"/>
    <s v="Нет"/>
    <n v="466"/>
    <x v="103"/>
    <x v="1"/>
    <x v="0"/>
    <x v="0"/>
    <n v="2"/>
    <n v="3"/>
    <n v="2"/>
    <n v="14"/>
    <n v="8"/>
    <n v="10"/>
    <n v="7"/>
    <n v="6"/>
    <n v="2"/>
    <n v="5"/>
    <n v="0"/>
    <n v="0"/>
    <s v="Соревновательной практики достаточно"/>
    <s v="Нет"/>
    <s v="Нет"/>
    <n v="1"/>
    <n v="1"/>
    <s v="Загуменная Е.С,"/>
    <m/>
    <m/>
    <m/>
    <m/>
    <s v="Да"/>
    <s v="Нет"/>
    <m/>
  </r>
  <r>
    <d v="2025-12-09T16:46:15"/>
    <s v="МБУ ДО СШ № 1   МО ГУЛЬКЕВИЧСКИЙ РАЙОН ИМЕНИ ЗАСЛУЖЕНОГО ТРЕНЕРА  РОССИИ А.Ф. БОНДАРЕВА  "/>
    <x v="1"/>
    <x v="72"/>
    <s v="Гулькевичи"/>
    <s v="Комсомольская ул., 80, г. Гулькевичи,Гу лькевич.          ский район,  Краснодарский край,"/>
    <s v="86160  3-33-67"/>
    <s v=" e-mail: sdyshor1.gul@mail.ru"/>
    <s v="СШ"/>
    <s v="Нет"/>
    <n v="298"/>
    <x v="34"/>
    <x v="1"/>
    <x v="0"/>
    <x v="0"/>
    <n v="0"/>
    <n v="2"/>
    <n v="2"/>
    <n v="2"/>
    <n v="0"/>
    <n v="3"/>
    <n v="4"/>
    <n v="1"/>
    <n v="1"/>
    <n v="6"/>
    <n v="0"/>
    <n v="0"/>
    <s v="Соревновательной практики достаточно"/>
    <s v="Да"/>
    <s v="Да"/>
    <n v="3"/>
    <n v="0"/>
    <s v="Шетинин Е.В., Сидоренко В.В., Лазарида Л.Г."/>
    <m/>
    <m/>
    <m/>
    <m/>
    <s v="Да"/>
    <s v="Нет"/>
    <m/>
  </r>
  <r>
    <d v="2025-12-09T19:30:32"/>
    <s v="МАУ ДО &quot;СШ № 3&quot; МО ДИНСКОЙ РАЙОН"/>
    <x v="1"/>
    <x v="72"/>
    <s v="Динская"/>
    <s v="СТ. ДИНСКАЯ, УЛ. ТЕЛЬМАНА 139/1"/>
    <n v="88616229970"/>
    <s v="sportschooldinsk@mail.ru"/>
    <s v="СШ"/>
    <s v="Нет"/>
    <n v="373"/>
    <x v="17"/>
    <x v="1"/>
    <x v="0"/>
    <x v="0"/>
    <n v="0"/>
    <n v="1"/>
    <n v="2"/>
    <n v="1"/>
    <n v="3"/>
    <n v="4"/>
    <n v="1"/>
    <n v="4"/>
    <n v="0"/>
    <n v="0"/>
    <n v="0"/>
    <n v="0"/>
    <s v="Соревновательной практики достаточно"/>
    <s v="Да"/>
    <s v="Нет"/>
    <n v="1"/>
    <n v="0"/>
    <s v="Каримов Н.И."/>
    <m/>
    <m/>
    <m/>
    <m/>
    <s v="Да"/>
    <s v="Нет"/>
    <m/>
  </r>
  <r>
    <d v="2025-11-18T22:59:39"/>
    <s v="АНО &quot;Центр подготовки футболистов &quot;ЧЕМПИОН&quot;"/>
    <x v="1"/>
    <x v="72"/>
    <s v="Ейск"/>
    <s v="ул. Красная, д. 66/6, кв. 19"/>
    <n v="79102166669"/>
    <s v="maxim46rus@rambler.ru"/>
    <s v="Автономная некоммерческая организация (СО НКО)"/>
    <s v="Нет"/>
    <n v="120"/>
    <x v="30"/>
    <x v="1"/>
    <x v="0"/>
    <x v="0"/>
    <n v="0"/>
    <n v="0"/>
    <n v="0"/>
    <n v="0"/>
    <n v="1"/>
    <n v="3"/>
    <n v="7"/>
    <n v="6"/>
    <n v="6"/>
    <n v="4"/>
    <n v="2"/>
    <n v="1"/>
    <s v="До 10 лет"/>
    <s v="Да"/>
    <s v="Нет"/>
    <n v="1"/>
    <n v="0"/>
    <s v="Гнедых М.А., нет"/>
    <m/>
    <m/>
    <m/>
    <m/>
    <s v="Нет"/>
    <s v="Нет"/>
    <s v="В 2024 и 2025 гг на территории Ейского района наша организация реализовала 2 социальных проекта развития женского футбола с использованием грантов Губернатора Кубани. Более 2,3 млн рублей были направлены на проведение 319 практических и теоретических мероприятий для более 5000 благополучателей (дошкольницы, младшие школьницы, педагоги, законные представители несовершеннолетних). Был приобретен инвентарь для бесплатных занятий в секции футбола, были оплачены медицинские осмотры с визой спортивного врача, были оплачены выезды в г. Краснодар на мастер-класс от женского отделения Академии СШОР &quot;Кубань&quot; и просмотр матча группового этапа Кубка России по футболу между ФК &quot;Краснодар&quot; и ФК &quot;Крылья Советов&quot;, а также полностью оплачено участие двух команд в финальных турнирах ДФЛ &quot;Большие звезды светят малым&quot; среди девочек 2015 г.р. и &quot;Загрузи себя футболом!&quot; среди девочек 2014 г.р. Главный социальный эффект - разрушен стереотип, что футбол - не женское занятие. "/>
  </r>
  <r>
    <d v="2025-11-18T13:27:52"/>
    <s v="МАУ ДО СШ станицы Калининской"/>
    <x v="1"/>
    <x v="72"/>
    <s v="Калининская Калининского района Краснодарского края"/>
    <s v="Калининский район, ст.Калининская, пер.Лесной, д.11"/>
    <n v="88616321602"/>
    <s v="elena1112@list.ru"/>
    <s v="СШ"/>
    <s v="Нет"/>
    <n v="500"/>
    <x v="37"/>
    <x v="1"/>
    <x v="0"/>
    <x v="0"/>
    <n v="0"/>
    <n v="1"/>
    <n v="1"/>
    <n v="3"/>
    <n v="10"/>
    <n v="7"/>
    <n v="5"/>
    <n v="6"/>
    <n v="10"/>
    <n v="3"/>
    <n v="0"/>
    <n v="1"/>
    <s v="До 10 лет"/>
    <s v="Да"/>
    <s v="Нет"/>
    <n v="0"/>
    <n v="0"/>
    <s v="нет"/>
    <m/>
    <m/>
    <m/>
    <m/>
    <s v="Да"/>
    <s v="Нет"/>
    <s v="полных групп девочек в спортшколе нет, единицы разбросаны по группам и занимаются вместе с мальчиками"/>
  </r>
  <r>
    <d v="2025-11-18T11:26:49"/>
    <s v="МАУ ДО СШ &quot;Олимпиец&quot;"/>
    <x v="1"/>
    <x v="72"/>
    <s v="Каневская"/>
    <s v="Краснодарский край, Каневской район, ст. Каневская, ул. Вокзальная, 130"/>
    <s v="8(861-64)68-5-94"/>
    <s v="olimpiec2011@mail.ru"/>
    <s v="СШ"/>
    <s v="Нет"/>
    <n v="228"/>
    <x v="10"/>
    <x v="1"/>
    <x v="0"/>
    <x v="0"/>
    <n v="0"/>
    <n v="0"/>
    <n v="7"/>
    <n v="2"/>
    <n v="1"/>
    <n v="2"/>
    <n v="11"/>
    <n v="6"/>
    <n v="0"/>
    <n v="0"/>
    <n v="0"/>
    <n v="0"/>
    <s v="Соревновательной практики достаточно"/>
    <s v="Да"/>
    <s v="Нет"/>
    <n v="3"/>
    <n v="0"/>
    <s v="нет"/>
    <m/>
    <m/>
    <m/>
    <m/>
    <s v="Да"/>
    <s v="Нет"/>
    <m/>
  </r>
  <r>
    <d v="2025-11-18T12:13:08"/>
    <s v="МБУ ДО СШ &quot;Смена&quot;"/>
    <x v="1"/>
    <x v="72"/>
    <s v="Коноково"/>
    <s v="352464, Краснодарский край, Успенский район, с.Коноково, ул. Калинина 51"/>
    <n v="88614067065"/>
    <s v="smena30@mail.ru"/>
    <s v="СШ"/>
    <s v="Нет"/>
    <n v="29"/>
    <x v="0"/>
    <x v="1"/>
    <x v="0"/>
    <x v="0"/>
    <n v="0"/>
    <n v="0"/>
    <n v="0"/>
    <n v="0"/>
    <n v="2"/>
    <n v="1"/>
    <n v="1"/>
    <n v="0"/>
    <n v="4"/>
    <n v="2"/>
    <n v="0"/>
    <n v="0"/>
    <s v="До 10 лет, До 12 лет"/>
    <s v="Да"/>
    <s v="Да"/>
    <n v="2"/>
    <n v="0"/>
    <s v="Ждаков Вячеслав Михайлович, Ждаков Андрей Вячеславович"/>
    <m/>
    <m/>
    <m/>
    <m/>
    <s v="Да"/>
    <s v="Нет"/>
    <m/>
  </r>
  <r>
    <d v="2025-11-19T09:56:14"/>
    <s v="МБУ ДО КР СШ &quot;Олимпиец&quot;"/>
    <x v="1"/>
    <x v="72"/>
    <s v="Красноармейский район, станица Старонижестеблиевская"/>
    <s v="станица Старонижестеблиевская, улица Мира 193/1"/>
    <n v="8616597774"/>
    <s v="olimpiets@yandex.ru "/>
    <s v="СШ"/>
    <s v="Нет"/>
    <n v="339"/>
    <x v="18"/>
    <x v="1"/>
    <x v="0"/>
    <x v="0"/>
    <n v="0"/>
    <n v="4"/>
    <n v="7"/>
    <n v="6"/>
    <n v="3"/>
    <n v="9"/>
    <n v="3"/>
    <n v="6"/>
    <n v="7"/>
    <n v="5"/>
    <n v="0"/>
    <n v="0"/>
    <s v="Соревновательной практики достаточно"/>
    <s v="Да"/>
    <s v="Да"/>
    <n v="0"/>
    <n v="0"/>
    <s v="нет"/>
    <m/>
    <m/>
    <m/>
    <m/>
    <s v="Да"/>
    <s v="Нет"/>
    <m/>
  </r>
  <r>
    <d v="2025-12-08T23:42:04"/>
    <s v="ДФК АНО КК ФК &quot;Легион&quot;"/>
    <x v="1"/>
    <x v="72"/>
    <s v="Краснодар"/>
    <s v="350028, Краснодарский край, г. Краснодар, ул. Героев-Разведчиков, д. 28, кв. 326"/>
    <s v="+7 (938) 477-67-02"/>
    <s v="mixstyle@mail.ru"/>
    <s v="Частная школа"/>
    <s v="Нет"/>
    <n v="354"/>
    <x v="46"/>
    <x v="1"/>
    <x v="0"/>
    <x v="0"/>
    <n v="0"/>
    <n v="2"/>
    <n v="6"/>
    <n v="5"/>
    <n v="5"/>
    <n v="2"/>
    <n v="6"/>
    <n v="8"/>
    <n v="7"/>
    <n v="1"/>
    <n v="0"/>
    <n v="0"/>
    <s v="До 15 лет"/>
    <s v="Нет"/>
    <s v="Нет"/>
    <n v="2"/>
    <n v="0"/>
    <s v="Гук Алексей Николаевич - С УЕФА, Очиров Очир Викторович С УЕФА"/>
    <n v="2"/>
    <m/>
    <m/>
    <m/>
    <s v="Да"/>
    <s v="Нет"/>
    <m/>
  </r>
  <r>
    <d v="2025-12-09T11:47:46"/>
    <s v="МБУ ДО &quot;Спортивная школа № 7&quot; МОГК"/>
    <x v="1"/>
    <x v="72"/>
    <s v="Краснодар"/>
    <s v="г. Краснодар Красноармейская, ул., 73/1"/>
    <s v="(861) 992-53-91"/>
    <s v="sport_school7@krd.ru "/>
    <s v="СШ"/>
    <s v="Нет"/>
    <n v="325"/>
    <x v="45"/>
    <x v="1"/>
    <x v="0"/>
    <x v="0"/>
    <n v="0"/>
    <n v="0"/>
    <n v="0"/>
    <n v="0"/>
    <n v="4"/>
    <n v="6"/>
    <n v="4"/>
    <n v="5"/>
    <n v="5"/>
    <n v="4"/>
    <n v="0"/>
    <n v="0"/>
    <s v="Соревновательной практики достаточно"/>
    <s v="Нет"/>
    <s v="Нет"/>
    <n v="2"/>
    <n v="0"/>
    <s v="Аркатов Александр Иванович, Дьяченко Федор Сергеевич "/>
    <m/>
    <m/>
    <m/>
    <m/>
    <s v="Да"/>
    <s v="Нет"/>
    <m/>
  </r>
  <r>
    <d v="2025-11-17T14:22:33"/>
    <s v="ГБУ ДО КК &quot;СШОР &quot;АФ &quot;Кубань&quot; "/>
    <x v="1"/>
    <x v="72"/>
    <s v="Краснодар"/>
    <s v="г. Краснодар ул. Железнодорожная, 49"/>
    <s v="88612390516, 88612997246"/>
    <s v="footbolkrasnodar@mail.ru"/>
    <s v="СШОР"/>
    <s v="Нет"/>
    <n v="686"/>
    <x v="135"/>
    <x v="1"/>
    <x v="0"/>
    <x v="3"/>
    <n v="4"/>
    <n v="6"/>
    <n v="10"/>
    <n v="16"/>
    <n v="19"/>
    <n v="18"/>
    <n v="12"/>
    <n v="18"/>
    <n v="20"/>
    <n v="21"/>
    <n v="1"/>
    <n v="0"/>
    <s v="Соревновательной практики достаточно"/>
    <s v="Да"/>
    <s v="Да"/>
    <n v="8"/>
    <n v="5"/>
    <s v="Зайцева Т.В. - А-УЕФА, Порожнюк Е. А. - В-УЕФА, Фильчукова А. А., Евсеева Т. Г., Ждаков В. М., Миканадзе В. В., Мигуль А.Н.  - В-УЕФА, Коберский В. М. "/>
    <m/>
    <n v="2"/>
    <n v="1"/>
    <m/>
    <s v="Да"/>
    <s v="Да"/>
    <m/>
  </r>
  <r>
    <d v="2025-11-18T10:55:51"/>
    <s v="МБОУ ДО СШ №1"/>
    <x v="1"/>
    <x v="72"/>
    <s v="Краснодар"/>
    <s v="г. Краснодар, ул. Садовая, д. 11 литер Б"/>
    <n v="88619920628"/>
    <s v="sport1krd@bk.ru"/>
    <s v="СШ"/>
    <s v="Нет"/>
    <n v="24"/>
    <x v="93"/>
    <x v="1"/>
    <x v="0"/>
    <x v="0"/>
    <n v="0"/>
    <n v="0"/>
    <n v="0"/>
    <n v="0"/>
    <n v="0"/>
    <n v="0"/>
    <n v="1"/>
    <n v="1"/>
    <n v="0"/>
    <n v="0"/>
    <n v="1"/>
    <n v="0"/>
    <s v="До 10 лет, До 12 лет, До 13 лет, До 15 лет, До 17 лет, До 19 лет"/>
    <s v="Да"/>
    <s v="Нет"/>
    <n v="1"/>
    <n v="1"/>
    <s v="Савченко С.В."/>
    <m/>
    <m/>
    <m/>
    <m/>
    <s v="Да"/>
    <s v="Нет"/>
    <m/>
  </r>
  <r>
    <d v="2025-12-02T16:43:05"/>
    <s v="ФК Краснодар"/>
    <x v="1"/>
    <x v="72"/>
    <s v="Краснодар"/>
    <s v="ул. Жлобы, 114 А"/>
    <s v="8(861)210-89-90"/>
    <s v="academy@fckrasnodar.ru"/>
    <s v="ФК Краснодар"/>
    <s v="Футбольная академия высшей категории"/>
    <n v="21628"/>
    <x v="136"/>
    <x v="34"/>
    <x v="2"/>
    <x v="5"/>
    <n v="8"/>
    <n v="4"/>
    <n v="16"/>
    <n v="11"/>
    <n v="17"/>
    <n v="44"/>
    <n v="52"/>
    <n v="69"/>
    <n v="58"/>
    <n v="41"/>
    <n v="39"/>
    <n v="6"/>
    <s v="Соревновательной практики достаточно"/>
    <s v="Да"/>
    <s v="Да"/>
    <n v="33"/>
    <n v="4"/>
    <s v="Бабаев Г.Н.- А-УЕФА, Гладков - В-УЕФА, Бондаренко- В-УЕФА тренер вратарей, Бабаева Д.А - В-УЕФА тренер по физ.подготовке, Пташников Е.А. - А-УЕФА, Ковальчук С.А. -В-УЕФА, Тарасов П.Ю. - В-УЕФА детско-юношеский футбол, тренер по вратарям, Фролова А.В.- С-УЕФА, Беглов А.Ю. - В-УЕФА, Вахрушев О.С.- В-УЕФА."/>
    <n v="1"/>
    <n v="7"/>
    <n v="2"/>
    <m/>
    <s v="Нет"/>
    <s v="Нет"/>
    <m/>
  </r>
  <r>
    <d v="2025-11-18T13:51:46"/>
    <s v="ГБУ ДО КК СШ &quot;Академия футбола&quot;"/>
    <x v="1"/>
    <x v="72"/>
    <s v="Краснодар"/>
    <s v="улица 2-я Пятилетка, 14"/>
    <n v="88612334049"/>
    <s v="sdushor-5@mail.ru"/>
    <s v="СШ"/>
    <s v="РЦ"/>
    <n v="1160"/>
    <x v="53"/>
    <x v="1"/>
    <x v="0"/>
    <x v="0"/>
    <n v="0"/>
    <n v="0"/>
    <n v="0"/>
    <n v="0"/>
    <n v="2"/>
    <n v="11"/>
    <n v="14"/>
    <n v="18"/>
    <n v="22"/>
    <n v="11"/>
    <n v="4"/>
    <n v="0"/>
    <s v="До 13 лет"/>
    <s v="Да"/>
    <s v="Да"/>
    <n v="4"/>
    <n v="0"/>
    <s v="Аладин М.Н. С-УЕФА"/>
    <n v="1"/>
    <m/>
    <m/>
    <m/>
    <s v="Да"/>
    <s v="Да"/>
    <s v="Просим рассмотреть вопрос о включении нашей команды в число участников Всероссийских соревнований - ЮФЛ среди девочек до 14 лет"/>
  </r>
  <r>
    <d v="2025-12-08T12:45:45"/>
    <s v="ЖФК «Екатеринодар»"/>
    <x v="1"/>
    <x v="72"/>
    <s v="Краснодар "/>
    <s v="Ул 2-я Трудовая, д. 1, кВ 50"/>
    <n v="89528388852"/>
    <s v="alyanovaa@bk.ru"/>
    <s v="Любительская команда "/>
    <s v="Нет"/>
    <n v="27"/>
    <x v="35"/>
    <x v="31"/>
    <x v="0"/>
    <x v="0"/>
    <n v="0"/>
    <n v="0"/>
    <n v="0"/>
    <n v="0"/>
    <n v="0"/>
    <n v="0"/>
    <n v="0"/>
    <n v="0"/>
    <n v="0"/>
    <n v="0"/>
    <n v="0"/>
    <n v="0"/>
    <s v="До 19 лет, Категория «Женщины» "/>
    <s v="Да"/>
    <s v="Да"/>
    <n v="2"/>
    <n v="2"/>
    <s v="Нет "/>
    <m/>
    <m/>
    <m/>
    <m/>
    <s v="Нет"/>
    <s v="Нет"/>
    <m/>
  </r>
  <r>
    <d v="2025-12-09T13:09:38"/>
    <s v="МБУ ДО СШ &quot;Юность&quot; ст.Крыловской"/>
    <x v="1"/>
    <x v="72"/>
    <s v="Крыловская"/>
    <s v="ст. Крыловская ул.Энгельса, 138"/>
    <n v="88614577058"/>
    <s v="sportivnaja2015@mail.ru"/>
    <s v="СШ"/>
    <s v="Нет"/>
    <n v="210"/>
    <x v="16"/>
    <x v="1"/>
    <x v="0"/>
    <x v="0"/>
    <n v="0"/>
    <n v="0"/>
    <n v="0"/>
    <n v="0"/>
    <n v="0"/>
    <n v="0"/>
    <n v="2"/>
    <n v="6"/>
    <n v="4"/>
    <n v="2"/>
    <n v="0"/>
    <n v="0"/>
    <s v="Соревновательной практики достаточно"/>
    <s v="Да"/>
    <s v="Нет"/>
    <n v="1"/>
    <n v="0"/>
    <s v="Мельников Василий Владимирович"/>
    <m/>
    <m/>
    <m/>
    <m/>
    <s v="Да"/>
    <s v="Нет"/>
    <m/>
  </r>
  <r>
    <d v="2025-12-02T17:13:07"/>
    <s v="МБУ ДО СШ &quot;Ровесник&quot;"/>
    <x v="1"/>
    <x v="72"/>
    <s v="Крымск"/>
    <s v="г.Крымск ул.Свердова, д.3"/>
    <s v="886131 4-21-44"/>
    <s v="dushkrimsk@mail.ru"/>
    <s v="СШ"/>
    <s v="Нет"/>
    <n v="281"/>
    <x v="49"/>
    <x v="1"/>
    <x v="0"/>
    <x v="2"/>
    <n v="5"/>
    <n v="5"/>
    <n v="2"/>
    <n v="3"/>
    <n v="5"/>
    <n v="6"/>
    <n v="2"/>
    <n v="1"/>
    <n v="1"/>
    <n v="0"/>
    <n v="0"/>
    <n v="0"/>
    <s v="Соревновательной практики достаточно"/>
    <s v="Да"/>
    <s v="Да"/>
    <n v="5"/>
    <n v="1"/>
    <s v="нет"/>
    <m/>
    <m/>
    <m/>
    <m/>
    <s v="Да"/>
    <s v="Да"/>
    <m/>
  </r>
  <r>
    <d v="2025-11-19T08:29:32"/>
    <s v="МБУ ДО СШ &quot;Витязь&quot;"/>
    <x v="1"/>
    <x v="72"/>
    <s v="Крымск"/>
    <s v="Краснодарский край, г. Крымск, ул. Синева, д.9"/>
    <n v="88613122638"/>
    <s v="fk-vityaz-krimsk@mail.ru"/>
    <s v="СШ"/>
    <s v="Нет"/>
    <n v="703"/>
    <x v="29"/>
    <x v="1"/>
    <x v="0"/>
    <x v="2"/>
    <n v="1"/>
    <n v="3"/>
    <n v="2"/>
    <n v="5"/>
    <n v="9"/>
    <n v="3"/>
    <n v="5"/>
    <n v="3"/>
    <n v="6"/>
    <n v="2"/>
    <n v="0"/>
    <n v="0"/>
    <s v="Соревновательной практики достаточно"/>
    <s v="Да"/>
    <s v="Да"/>
    <n v="0"/>
    <n v="0"/>
    <s v="нет"/>
    <m/>
    <m/>
    <m/>
    <m/>
    <s v="Да"/>
    <s v="Нет"/>
    <s v="В нашей школе нет отдельных команд для девочек или девушек. Тренировочный процесс осуществляется в смешанных группах. "/>
  </r>
  <r>
    <d v="2025-12-09T15:53:17"/>
    <s v=" МБУ ДО СШ  №1 г.Курганинска"/>
    <x v="1"/>
    <x v="72"/>
    <s v="Курганенск"/>
    <s v="352430, Краснодарский край, г.Курганинск, ул .Д.Бедного, 213"/>
    <s v="8(86147)2-25-56"/>
    <s v="nina.ginko.58@mail.ru"/>
    <s v="СШ"/>
    <s v="Нет"/>
    <n v="175"/>
    <x v="32"/>
    <x v="1"/>
    <x v="0"/>
    <x v="0"/>
    <n v="0"/>
    <n v="2"/>
    <n v="3"/>
    <n v="5"/>
    <n v="2"/>
    <n v="4"/>
    <n v="4"/>
    <n v="7"/>
    <n v="5"/>
    <n v="5"/>
    <n v="2"/>
    <n v="0"/>
    <s v="Соревновательной практики достаточно"/>
    <s v="Да"/>
    <s v="Нет"/>
    <n v="1"/>
    <n v="0"/>
    <s v="Максимов Виталий Александрович"/>
    <m/>
    <m/>
    <m/>
    <m/>
    <s v="Да"/>
    <s v="Нет"/>
    <m/>
  </r>
  <r>
    <d v="2025-12-07T23:00:07"/>
    <s v="МАУ ДО КСШ &quot;Лидер&quot;"/>
    <x v="1"/>
    <x v="72"/>
    <s v="Кущевская"/>
    <s v="станица Кущевская ул. Октябрьская 8а"/>
    <s v="+7 (86168) 5-34-96"/>
    <s v="chscolkush@mail.ru"/>
    <s v="СШ"/>
    <s v="Нет"/>
    <n v="374"/>
    <x v="27"/>
    <x v="1"/>
    <x v="0"/>
    <x v="0"/>
    <n v="2"/>
    <n v="3"/>
    <n v="3"/>
    <n v="5"/>
    <n v="3"/>
    <n v="2"/>
    <n v="2"/>
    <n v="4"/>
    <n v="5"/>
    <n v="5"/>
    <n v="0"/>
    <n v="0"/>
    <s v="До 12 лет"/>
    <s v="Да"/>
    <s v="Да"/>
    <n v="1"/>
    <n v="0"/>
    <s v="Бирюков Владимир Дмитриевич"/>
    <m/>
    <m/>
    <m/>
    <m/>
    <s v="Да"/>
    <s v="Нет"/>
    <m/>
  </r>
  <r>
    <d v="2025-11-18T15:18:13"/>
    <s v="МБУДО &quot;СШ станицы Марьянского&quot;"/>
    <x v="1"/>
    <x v="72"/>
    <s v="Марьянский"/>
    <s v="Российская Федерация, 353823, Краснодарский край, Красноармейский район, станица Марьянская улица Ленина,65 ж "/>
    <n v="88616536164"/>
    <s v="sport.maryanskaya@mail.ru"/>
    <s v="СШ"/>
    <s v="Нет"/>
    <n v="148"/>
    <x v="5"/>
    <x v="1"/>
    <x v="0"/>
    <x v="0"/>
    <n v="0"/>
    <n v="0"/>
    <n v="1"/>
    <n v="0"/>
    <n v="1"/>
    <n v="0"/>
    <n v="0"/>
    <n v="2"/>
    <n v="2"/>
    <n v="0"/>
    <n v="1"/>
    <n v="1"/>
    <s v="До 10 лет"/>
    <s v="Да"/>
    <s v="Да"/>
    <n v="3"/>
    <n v="0"/>
    <s v="Тарасенко Вячеслав Андреевич_x000a_Муштаев Николай Алексеевич_x000a_Макоед Александр Иванович_x000a_"/>
    <m/>
    <m/>
    <m/>
    <m/>
    <s v="Да"/>
    <s v="Нет"/>
    <m/>
  </r>
  <r>
    <d v="2025-12-03T08:42:18"/>
    <s v="МБУ ДО СШ ст.Новоджерелиевской"/>
    <x v="1"/>
    <x v="72"/>
    <s v="Новоджерелиевская"/>
    <s v="ул.Коммунаров 30"/>
    <n v="88615665195"/>
    <s v="sportshkola-novodjer@yandex.ru"/>
    <s v="СШ"/>
    <s v="Нет"/>
    <n v="97"/>
    <x v="17"/>
    <x v="1"/>
    <x v="0"/>
    <x v="0"/>
    <n v="0"/>
    <n v="2"/>
    <n v="4"/>
    <n v="2"/>
    <n v="0"/>
    <n v="0"/>
    <n v="2"/>
    <n v="2"/>
    <n v="3"/>
    <n v="0"/>
    <n v="1"/>
    <n v="0"/>
    <m/>
    <s v="Да"/>
    <s v="Да"/>
    <n v="2"/>
    <n v="0"/>
    <s v="нет"/>
    <m/>
    <m/>
    <m/>
    <m/>
    <s v="Да"/>
    <s v="Нет"/>
    <m/>
  </r>
  <r>
    <d v="2025-11-25T16:25:51"/>
    <s v="Муниципальное автономное учреждение дополнительного образования &quot;Спортивная школа &quot;Крепыш&quot; им. Тамазова К.Х.&quot; муниципального образования Новокубанский район"/>
    <x v="1"/>
    <x v="72"/>
    <s v="Новокубанск"/>
    <s v="Краснодарский край, г. Новокубанск, ул. Первомайская, 182"/>
    <n v="88619532221"/>
    <s v="k-32221@yandex.ru"/>
    <s v="СШ"/>
    <s v="Нет"/>
    <n v="395"/>
    <x v="14"/>
    <x v="1"/>
    <x v="0"/>
    <x v="0"/>
    <n v="1"/>
    <n v="1"/>
    <n v="0"/>
    <n v="1"/>
    <n v="1"/>
    <n v="1"/>
    <n v="2"/>
    <n v="1"/>
    <n v="1"/>
    <n v="1"/>
    <n v="0"/>
    <n v="1"/>
    <s v="Соревновательной практики достаточно"/>
    <s v="Да"/>
    <s v="Нет"/>
    <n v="1"/>
    <n v="0"/>
    <s v="Балахонов С.В., В-УЕФА"/>
    <m/>
    <n v="1"/>
    <m/>
    <m/>
    <s v="Да"/>
    <s v="Да"/>
    <m/>
  </r>
  <r>
    <d v="2025-12-03T11:29:50"/>
    <s v="МАУ ДО СШ Победа"/>
    <x v="1"/>
    <x v="72"/>
    <s v="Новороссийск"/>
    <s v="Краснодарский край г.Новороссийск ул Видова 174"/>
    <s v="88617260-261"/>
    <s v="pobeda_school@mail.ru"/>
    <s v="СШ"/>
    <s v="ДФЦ"/>
    <n v="455"/>
    <x v="137"/>
    <x v="13"/>
    <x v="3"/>
    <x v="1"/>
    <n v="0"/>
    <n v="3"/>
    <n v="10"/>
    <n v="11"/>
    <n v="14"/>
    <n v="6"/>
    <n v="5"/>
    <n v="12"/>
    <n v="12"/>
    <n v="3"/>
    <n v="0"/>
    <n v="0"/>
    <s v="До 17 лет"/>
    <s v="Нет"/>
    <s v="Нет"/>
    <n v="2"/>
    <n v="0"/>
    <s v="Гигая А.С. С-УЕФА Дубровский Д.А. С-УЕФА"/>
    <n v="2"/>
    <m/>
    <m/>
    <m/>
    <s v="Да"/>
    <s v="Нет"/>
    <m/>
  </r>
  <r>
    <d v="2025-12-09T11:44:53"/>
    <s v="МАУ ДО СШ &quot;Черноморец&quot;"/>
    <x v="1"/>
    <x v="72"/>
    <s v="Новороссийск"/>
    <s v="ул. Советов 55"/>
    <n v="88617719509"/>
    <s v="mauchernomorec@mail.ru"/>
    <s v="СШ"/>
    <s v="РЦ"/>
    <n v="829"/>
    <x v="95"/>
    <x v="5"/>
    <x v="0"/>
    <x v="0"/>
    <n v="0"/>
    <n v="1"/>
    <n v="0"/>
    <n v="3"/>
    <n v="2"/>
    <n v="1"/>
    <n v="0"/>
    <n v="0"/>
    <n v="0"/>
    <n v="0"/>
    <n v="0"/>
    <n v="0"/>
    <s v="Соревновательной практики достаточно"/>
    <s v="Да"/>
    <s v="Нет"/>
    <n v="3"/>
    <n v="0"/>
    <s v="Воронков А.Н с-уефа, Никифоров В.А. с-уефа, Семизьян М.С. - с-уефа"/>
    <n v="3"/>
    <m/>
    <m/>
    <m/>
    <s v="Да"/>
    <s v="Нет"/>
    <m/>
  </r>
  <r>
    <d v="2025-12-07T10:17:20"/>
    <s v="МБУ ДО &lt;&lt;СШ&lt;&lt;Олимпия&gt;&gt;"/>
    <x v="1"/>
    <x v="72"/>
    <s v="Отрадная"/>
    <s v="Краснодарский край  Отрадненский район  ст. Отрадная ул. Комарова 52"/>
    <s v="8(86144)3-32-52"/>
    <s v="olimpia-otr@yandex.ru"/>
    <s v="СШ"/>
    <s v="Нет"/>
    <n v="300"/>
    <x v="4"/>
    <x v="1"/>
    <x v="0"/>
    <x v="0"/>
    <n v="0"/>
    <n v="0"/>
    <n v="5"/>
    <n v="5"/>
    <n v="1"/>
    <n v="1"/>
    <n v="3"/>
    <n v="0"/>
    <n v="5"/>
    <n v="1"/>
    <n v="2"/>
    <n v="0"/>
    <s v="Соревновательной практики достаточно"/>
    <s v="Да"/>
    <s v="Да"/>
    <n v="1"/>
    <n v="0"/>
    <s v="Курбанмагомедов Г. М. "/>
    <m/>
    <m/>
    <m/>
    <m/>
    <s v="Да"/>
    <s v="Нет"/>
    <s v="Проводить обучающихся семинара. Лицензировать тренеров_x000a_"/>
  </r>
  <r>
    <d v="2025-11-19T13:49:03"/>
    <s v="МБУ ДО КР СШ им.А.И.Майстренко"/>
    <x v="1"/>
    <x v="72"/>
    <s v="посёлок Октябрьский,Красноармейский район"/>
    <s v="ул.Мира,20"/>
    <n v="8616591397"/>
    <s v="ai.maistrenko@mail.ru"/>
    <s v="СШ"/>
    <s v="Нет"/>
    <n v="500"/>
    <x v="112"/>
    <x v="1"/>
    <x v="0"/>
    <x v="0"/>
    <n v="0"/>
    <n v="0"/>
    <n v="10"/>
    <n v="20"/>
    <n v="20"/>
    <n v="20"/>
    <n v="20"/>
    <n v="20"/>
    <n v="20"/>
    <n v="20"/>
    <n v="0"/>
    <n v="0"/>
    <s v="Соревновательной практики достаточно"/>
    <s v="Да"/>
    <s v="Да"/>
    <n v="4"/>
    <n v="0"/>
    <s v="Худой Ю.А. Дудка А.В. Солодунов С.В. Антонюк А.В."/>
    <m/>
    <m/>
    <m/>
    <m/>
    <s v="Да"/>
    <s v="Нет"/>
    <m/>
  </r>
  <r>
    <d v="2025-12-09T19:23:56"/>
    <s v="МБУ ДО СШ СТ. СЕВЕРСКОЙ "/>
    <x v="1"/>
    <x v="72"/>
    <s v="Северская"/>
    <s v="353240, Краснодарский край, Северский р-н, ст-ца Северская, ул Ленина, д 132"/>
    <s v=" +7 (861) 662-16-95"/>
    <s v="sever_sport@mail.ru"/>
    <s v="СШ"/>
    <s v="Нет"/>
    <n v="370"/>
    <x v="16"/>
    <x v="1"/>
    <x v="0"/>
    <x v="0"/>
    <n v="0"/>
    <n v="0"/>
    <n v="0"/>
    <n v="0"/>
    <n v="4"/>
    <n v="4"/>
    <n v="3"/>
    <n v="1"/>
    <n v="2"/>
    <n v="0"/>
    <n v="0"/>
    <n v="0"/>
    <s v="Соревновательной практики достаточно"/>
    <s v="Да"/>
    <s v="Нет"/>
    <n v="2"/>
    <n v="0"/>
    <s v="Цицюра Александр Богданович, Попандопуло Сергей Николаевич"/>
    <m/>
    <m/>
    <m/>
    <m/>
    <s v="Да"/>
    <s v="Нет"/>
    <m/>
  </r>
  <r>
    <d v="2025-12-09T14:06:53"/>
    <s v="МАУ ДО СШ «Надежда»"/>
    <x v="1"/>
    <x v="72"/>
    <s v="Советская "/>
    <s v="Краснодарский край, Новокубанский район, Ст. Советская, ул. Бурдовой, 45"/>
    <n v="88619557072"/>
    <s v="dysch-nadeghda@mail.ru"/>
    <s v="СШ"/>
    <s v="Нет"/>
    <n v="149"/>
    <x v="81"/>
    <x v="1"/>
    <x v="0"/>
    <x v="0"/>
    <n v="0"/>
    <n v="0"/>
    <n v="4"/>
    <n v="1"/>
    <n v="9"/>
    <n v="3"/>
    <n v="2"/>
    <n v="1"/>
    <n v="3"/>
    <n v="0"/>
    <n v="3"/>
    <n v="0"/>
    <s v="До 15 лет, До 17 лет"/>
    <s v="Да"/>
    <s v="Да"/>
    <n v="1"/>
    <n v="0"/>
    <s v="Борзенко А.П. С-УЕФА "/>
    <m/>
    <m/>
    <m/>
    <m/>
    <s v="Да"/>
    <s v="Нет"/>
    <m/>
  </r>
  <r>
    <m/>
    <s v="МБУ ДО СШ №7 г. Сочи"/>
    <x v="1"/>
    <x v="72"/>
    <s v="Сочи"/>
    <s v="город Сочи, ул. 20-ой Горнострелковой дивизии, д. 1/8"/>
    <s v="8(862)241-21-25"/>
    <s v="sportschool7@edu.sochi.ru_x000a_"/>
    <s v="СШ"/>
    <s v="Нет"/>
    <n v="612"/>
    <x v="16"/>
    <x v="1"/>
    <x v="0"/>
    <x v="0"/>
    <n v="0"/>
    <n v="0"/>
    <n v="0"/>
    <n v="0"/>
    <n v="2"/>
    <n v="1"/>
    <n v="5"/>
    <n v="1"/>
    <n v="3"/>
    <n v="2"/>
    <n v="0"/>
    <n v="0"/>
    <s v="Соревновательной практики достаточно"/>
    <s v="Да"/>
    <s v="Нет"/>
    <n v="2"/>
    <n v="0"/>
    <s v="Попов Вячелав Васильевич, Тарба Денис Рудикович"/>
    <m/>
    <m/>
    <m/>
    <m/>
    <s v="Да"/>
    <s v="Нет"/>
    <m/>
  </r>
  <r>
    <d v="2025-11-24T18:02:28"/>
    <s v="Женский футбольный клуб &quot;Сокол&quot; (ЖФК &quot;Сокол&quot;)"/>
    <x v="1"/>
    <x v="72"/>
    <s v="Сочи"/>
    <s v="Мацестинская 11"/>
    <s v="8-988-181-06-36"/>
    <s v="fcsokol-sochi@mail.ru"/>
    <s v="Любительский клуб"/>
    <s v="Нет"/>
    <n v="25"/>
    <x v="15"/>
    <x v="29"/>
    <x v="0"/>
    <x v="0"/>
    <n v="0"/>
    <n v="0"/>
    <n v="0"/>
    <n v="0"/>
    <n v="0"/>
    <n v="0"/>
    <n v="0"/>
    <n v="0"/>
    <n v="0"/>
    <n v="0"/>
    <n v="0"/>
    <n v="0"/>
    <s v="Абсолютной категории"/>
    <s v="Нет"/>
    <s v="Нет"/>
    <n v="1"/>
    <n v="0"/>
    <s v="Нет"/>
    <m/>
    <m/>
    <m/>
    <m/>
    <s v="Нет"/>
    <s v="Нет"/>
    <s v="Больше турниров для взрослых игроков, которых выпускают Академии, но не берут клубы"/>
  </r>
  <r>
    <d v="2025-12-01T19:28:17"/>
    <s v="АНО ДО СШ ФК Сочи"/>
    <x v="1"/>
    <x v="72"/>
    <s v="Сочи"/>
    <s v="Сочи , ул. Старонасыпная 22"/>
    <s v="8 (862) 291-50-50"/>
    <s v="info_academy@pfcsochi.ru"/>
    <s v="СШ"/>
    <s v="Футбольная академия"/>
    <n v="349"/>
    <x v="60"/>
    <x v="0"/>
    <x v="2"/>
    <x v="1"/>
    <n v="9"/>
    <n v="1"/>
    <n v="3"/>
    <n v="12"/>
    <n v="15"/>
    <n v="4"/>
    <n v="11"/>
    <n v="5"/>
    <n v="5"/>
    <n v="2"/>
    <n v="2"/>
    <n v="0"/>
    <s v="До 13 лет"/>
    <s v="Нет"/>
    <s v="Да"/>
    <n v="4"/>
    <n v="0"/>
    <s v="Куц Д. -C-uefa,Михалев А.Н - B-uefa,Розвадовский  П.Д - В - uefa, Зуев В.C uefa (B)"/>
    <n v="2"/>
    <n v="2"/>
    <m/>
    <m/>
    <s v="Да"/>
    <s v="Да"/>
    <m/>
  </r>
  <r>
    <d v="2025-12-08T23:37:00"/>
    <s v="ФК &quot;Сокол&quot;"/>
    <x v="1"/>
    <x v="72"/>
    <s v="Темрюк"/>
    <s v="г. Темрюк ул. Щорса 33"/>
    <n v="79892490570"/>
    <s v="Igor.igorek2017@mail.ru"/>
    <s v="ДФК"/>
    <s v="Нет"/>
    <n v="74"/>
    <x v="9"/>
    <x v="1"/>
    <x v="0"/>
    <x v="0"/>
    <n v="0"/>
    <n v="0"/>
    <n v="0"/>
    <n v="0"/>
    <n v="1"/>
    <n v="1"/>
    <n v="2"/>
    <n v="1"/>
    <n v="0"/>
    <n v="0"/>
    <n v="0"/>
    <n v="0"/>
    <s v="Соревновательной практики достаточно"/>
    <s v="Да"/>
    <s v="Нет"/>
    <n v="1"/>
    <n v="0"/>
    <s v="Ильяшенко Игорь Евгеньевич "/>
    <m/>
    <m/>
    <m/>
    <m/>
    <s v="Да"/>
    <s v="Нет"/>
    <m/>
  </r>
  <r>
    <d v="2025-11-19T17:51:02"/>
    <s v="Муниципальная бюджетная организация дополнительного образования &quot;Спортивная школа &quot;Труд&quot; "/>
    <x v="1"/>
    <x v="72"/>
    <s v="Тихорецк"/>
    <s v="352120, Краснодарский край, г. Тихорецк, ул. Октябрьская, 54А"/>
    <s v="8-96196-4-13-86 "/>
    <s v="cpstrud@mail.ru "/>
    <s v="СШ"/>
    <s v="Нет"/>
    <n v="595"/>
    <x v="116"/>
    <x v="1"/>
    <x v="0"/>
    <x v="0"/>
    <n v="0"/>
    <n v="0"/>
    <n v="16"/>
    <n v="16"/>
    <n v="20"/>
    <n v="20"/>
    <n v="16"/>
    <n v="0"/>
    <n v="0"/>
    <n v="0"/>
    <n v="0"/>
    <n v="0"/>
    <s v="До 13 лет, До 15 лет"/>
    <s v="Да"/>
    <s v="Да"/>
    <n v="2"/>
    <n v="1"/>
    <s v="нет"/>
    <m/>
    <m/>
    <m/>
    <m/>
    <s v="Да"/>
    <s v="Да"/>
    <m/>
  </r>
  <r>
    <d v="2025-12-09T16:39:23"/>
    <s v="МБУ ДО &quot;СШ &quot;Дружба&quot;"/>
    <x v="1"/>
    <x v="72"/>
    <s v="Удобная"/>
    <s v="Краснодарский край, Отрадненский район, ст. Удобная, ул. Школьная, д. 13 &quot;а&quot;"/>
    <n v="78614498350"/>
    <s v="drujbasport@mail.ru"/>
    <s v="СШ"/>
    <s v="Нет"/>
    <n v="248"/>
    <x v="27"/>
    <x v="1"/>
    <x v="0"/>
    <x v="0"/>
    <n v="0"/>
    <n v="0"/>
    <n v="1"/>
    <n v="5"/>
    <n v="4"/>
    <n v="7"/>
    <n v="2"/>
    <n v="6"/>
    <n v="4"/>
    <n v="5"/>
    <n v="0"/>
    <n v="0"/>
    <s v="Соревновательной практики достаточно"/>
    <s v="Да"/>
    <s v="Нет"/>
    <n v="3"/>
    <n v="0"/>
    <s v="Шахбанов Мизамутдин Зиаутдинович _x000a_Хащенко Ирина Игоревна _x000a_Чичилов Руслан Петрович "/>
    <m/>
    <m/>
    <m/>
    <m/>
    <s v="Да"/>
    <s v="Нет"/>
    <m/>
  </r>
  <r>
    <d v="2025-12-08T12:41:25"/>
    <s v="МБУ ДО &quot;СШ &quot;Дружба"/>
    <x v="1"/>
    <x v="72"/>
    <s v="Удобная"/>
    <s v="Школьная 13а"/>
    <n v="89182561938"/>
    <s v="drujbasport"/>
    <s v="СШ"/>
    <s v="Нет"/>
    <n v="264"/>
    <x v="62"/>
    <x v="1"/>
    <x v="0"/>
    <x v="0"/>
    <n v="0"/>
    <n v="0"/>
    <n v="6"/>
    <n v="14"/>
    <n v="10"/>
    <n v="12"/>
    <n v="10"/>
    <n v="8"/>
    <n v="0"/>
    <n v="0"/>
    <n v="0"/>
    <n v="0"/>
    <s v="Соревновательной практики достаточно"/>
    <s v="Да"/>
    <s v="Да"/>
    <n v="3"/>
    <n v="1"/>
    <s v="нет"/>
    <m/>
    <m/>
    <m/>
    <m/>
    <s v="Да"/>
    <s v="Нет"/>
    <m/>
  </r>
  <r>
    <d v="2025-12-02T19:00:58"/>
    <s v="МБОУ ДО СШ Виктория "/>
    <x v="1"/>
    <x v="72"/>
    <s v="Усть-Лабинск "/>
    <s v="Г. Усть-Лабинск ул. Заполотняная д. 15"/>
    <n v="88613551289"/>
    <s v="sportivnayashkola.viktoriya@yandex.ru"/>
    <s v="СШ"/>
    <s v="Нет"/>
    <n v="250"/>
    <x v="30"/>
    <x v="1"/>
    <x v="0"/>
    <x v="4"/>
    <n v="4"/>
    <n v="4"/>
    <n v="3"/>
    <n v="0"/>
    <n v="1"/>
    <n v="1"/>
    <n v="5"/>
    <n v="2"/>
    <n v="0"/>
    <n v="3"/>
    <n v="3"/>
    <n v="2"/>
    <s v="Соревновательной практики достаточно"/>
    <s v="Да"/>
    <s v="Да"/>
    <n v="5"/>
    <n v="0"/>
    <n v="0"/>
    <m/>
    <m/>
    <m/>
    <m/>
    <s v="Да"/>
    <s v="Нет"/>
    <s v="Играйте в футбол "/>
  </r>
  <r>
    <d v="2025-12-09T17:11:16"/>
    <s v="МБУ ДО СШ 3 МО Северский район"/>
    <x v="1"/>
    <x v="72"/>
    <s v="Черноморский"/>
    <s v="Северский район, пгт Черноморский, Тельмана 9"/>
    <n v="89892951492"/>
    <s v="ssh3chernomor@mail.ru"/>
    <s v="СШ"/>
    <s v="Нет"/>
    <n v="250"/>
    <x v="22"/>
    <x v="1"/>
    <x v="0"/>
    <x v="2"/>
    <n v="5"/>
    <n v="5"/>
    <n v="6"/>
    <n v="3"/>
    <n v="8"/>
    <n v="5"/>
    <n v="10"/>
    <n v="10"/>
    <n v="6"/>
    <n v="1"/>
    <n v="1"/>
    <n v="0"/>
    <s v="Соревновательной практики достаточно"/>
    <s v="Нет"/>
    <s v="Да"/>
    <n v="1"/>
    <n v="0"/>
    <s v="Руденко М. О. "/>
    <m/>
    <m/>
    <m/>
    <m/>
    <s v="Да"/>
    <s v="Нет"/>
    <s v="Улучшить инфраструктуру в нашей спортивной школе "/>
  </r>
  <r>
    <m/>
    <s v="МКУДО СШ &quot;Старт&quot; "/>
    <x v="1"/>
    <x v="72"/>
    <s v="Хадыженск"/>
    <s v="г.Хадыженск, ул.Аэродромная, 43-А"/>
    <s v="8 86152 4-19-47"/>
    <s v="sportschoolstart@yandex.ru"/>
    <m/>
    <m/>
    <n v="124.80000000000001"/>
    <x v="70"/>
    <x v="1"/>
    <x v="5"/>
    <x v="2"/>
    <n v="1"/>
    <n v="3"/>
    <n v="4"/>
    <n v="7"/>
    <n v="5"/>
    <n v="4"/>
    <n v="6"/>
    <n v="5"/>
    <n v="5"/>
    <n v="4"/>
    <n v="2"/>
    <n v="0"/>
    <m/>
    <m/>
    <m/>
    <m/>
    <m/>
    <m/>
    <m/>
    <m/>
    <m/>
    <m/>
    <m/>
    <m/>
    <m/>
  </r>
  <r>
    <d v="2025-12-09T17:08:20"/>
    <s v="МАУ ДО СШ"/>
    <x v="1"/>
    <x v="72"/>
    <s v="Выселки"/>
    <s v="ул. Ленина 196"/>
    <n v="88615773501"/>
    <s v="djussh_viselki@mail.ru"/>
    <s v="СШ"/>
    <s v="Нет"/>
    <n v="420"/>
    <x v="111"/>
    <x v="1"/>
    <x v="0"/>
    <x v="0"/>
    <n v="0"/>
    <n v="0"/>
    <n v="2"/>
    <n v="5"/>
    <n v="6"/>
    <n v="3"/>
    <n v="5"/>
    <n v="5"/>
    <n v="6"/>
    <n v="6"/>
    <n v="5"/>
    <n v="0"/>
    <s v="Соревновательной практики достаточно"/>
    <s v="Да"/>
    <s v="Да"/>
    <n v="1"/>
    <n v="0"/>
    <s v="Любин Е. А."/>
    <m/>
    <m/>
    <m/>
    <m/>
    <s v="Да"/>
    <s v="Нет"/>
    <m/>
  </r>
  <r>
    <d v="2025-11-21T14:03:17"/>
    <s v="МБУ ДО СШ "/>
    <x v="1"/>
    <x v="72"/>
    <s v="Темрюк"/>
    <s v="Темрюк, площадь Терлецкого 2/2"/>
    <n v="8614843323"/>
    <s v="ya.dyussch@yandex.ru"/>
    <s v="СШ"/>
    <s v="Нет"/>
    <n v="275"/>
    <x v="126"/>
    <x v="1"/>
    <x v="0"/>
    <x v="0"/>
    <n v="6"/>
    <n v="8"/>
    <n v="2"/>
    <n v="15"/>
    <n v="14"/>
    <n v="11"/>
    <n v="7"/>
    <n v="19"/>
    <n v="4"/>
    <n v="6"/>
    <n v="1"/>
    <n v="0"/>
    <s v="До 17 лет, До 19 лет"/>
    <s v="Да"/>
    <s v="Да"/>
    <n v="1"/>
    <n v="1"/>
    <s v="нет"/>
    <m/>
    <m/>
    <m/>
    <m/>
    <s v="Да"/>
    <s v="Нет"/>
    <s v="Создать в городе Краснодар региональный центр обучения педагогов на тренерские лицензии по футболу.  "/>
  </r>
  <r>
    <d v="2025-11-18T16:24:09"/>
    <s v="ГБО ДО РА &quot;СШ по футболу&quot;"/>
    <x v="1"/>
    <x v="73"/>
    <s v="Майкоп"/>
    <s v="ул. Конституции, 8-а"/>
    <n v="88772522329"/>
    <s v="rtspf-adygeya@yandex.ru"/>
    <s v="СШ"/>
    <s v="ДФЦ"/>
    <n v="648"/>
    <x v="35"/>
    <x v="1"/>
    <x v="0"/>
    <x v="0"/>
    <n v="0"/>
    <n v="0"/>
    <n v="1"/>
    <n v="4"/>
    <n v="4"/>
    <n v="6"/>
    <n v="6"/>
    <n v="4"/>
    <n v="1"/>
    <n v="0"/>
    <n v="0"/>
    <n v="1"/>
    <s v="недостаточное количество человек для проведения соревнований"/>
    <s v="Да"/>
    <s v="Да"/>
    <n v="1"/>
    <n v="0"/>
    <s v="Коломиец В.С."/>
    <m/>
    <m/>
    <m/>
    <m/>
    <s v="Да"/>
    <s v="Да"/>
    <m/>
  </r>
  <r>
    <d v="2025-12-02T11:56:36"/>
    <s v="Олимп "/>
    <x v="1"/>
    <x v="74"/>
    <s v="Махачкала "/>
    <s v="Гагарина 54д"/>
    <n v="89035880101"/>
    <s v="Dussho@mail.ru"/>
    <s v="СШ"/>
    <s v="Нет"/>
    <n v="700"/>
    <x v="85"/>
    <x v="15"/>
    <x v="0"/>
    <x v="0"/>
    <n v="0"/>
    <n v="0"/>
    <n v="6"/>
    <n v="7"/>
    <n v="10"/>
    <n v="20"/>
    <n v="8"/>
    <n v="6"/>
    <n v="2"/>
    <n v="2"/>
    <n v="2"/>
    <n v="3"/>
    <s v="До 10 лет, До 17 лет, До 19 лет"/>
    <s v="Нет"/>
    <s v="Нет"/>
    <n v="2"/>
    <n v="1"/>
    <s v="Магомедова Баху Хирамагомедовна , Абасов Султан Абасович "/>
    <m/>
    <m/>
    <m/>
    <m/>
    <s v="Нет"/>
    <s v="Нет"/>
    <m/>
  </r>
  <r>
    <d v="2025-12-02T00:26:38"/>
    <s v="МБУ ДО &quot;ДЮСШ по футболу &quot;Ахцах&quot;"/>
    <x v="1"/>
    <x v="74"/>
    <s v="Ахты"/>
    <s v="Ахтынский район Ахты"/>
    <n v="89894586874"/>
    <s v="bagirov.nuraddin@gmail.ru"/>
    <s v="ДЮСШ"/>
    <s v="Нет"/>
    <n v="286"/>
    <x v="1"/>
    <x v="1"/>
    <x v="0"/>
    <x v="0"/>
    <n v="0"/>
    <n v="0"/>
    <n v="0"/>
    <n v="0"/>
    <n v="4"/>
    <n v="3"/>
    <n v="6"/>
    <n v="3"/>
    <n v="2"/>
    <n v="0"/>
    <n v="0"/>
    <n v="0"/>
    <s v="До 13 лет"/>
    <s v="Нет"/>
    <s v="Нет"/>
    <n v="1"/>
    <n v="0"/>
    <s v="Нет"/>
    <m/>
    <m/>
    <m/>
    <m/>
    <s v="Нет"/>
    <s v="Нет"/>
    <m/>
  </r>
  <r>
    <d v="2025-12-02T00:14:17"/>
    <s v="МБОУ МО ГО «Каспийск» МНОГОПРОФИЛЬНЫЙ ЛИЦЕЙ 14 им. ГЕРОЯ РОССИЙСКОЙ ФЕДЕРАЦИИ Н.Э.Гаджимагомедова "/>
    <x v="1"/>
    <x v="74"/>
    <s v="Каспийск "/>
    <s v="Европейская 4"/>
    <n v="89627744411"/>
    <s v="mplyceum14@mail.ru"/>
    <s v="Многопрофильный лицей"/>
    <s v="Нет"/>
    <n v="487"/>
    <x v="96"/>
    <x v="1"/>
    <x v="0"/>
    <x v="0"/>
    <n v="0"/>
    <n v="0"/>
    <n v="0"/>
    <n v="8"/>
    <n v="22"/>
    <n v="12"/>
    <n v="6"/>
    <n v="3"/>
    <n v="1"/>
    <n v="0"/>
    <n v="0"/>
    <n v="0"/>
    <s v="До 10 лет, До 12 лет, До 13 лет"/>
    <s v="Да"/>
    <s v="Да"/>
    <n v="1"/>
    <n v="0"/>
    <s v="Нету "/>
    <m/>
    <m/>
    <m/>
    <m/>
    <s v="Нет"/>
    <s v="Нет"/>
    <m/>
  </r>
  <r>
    <d v="2025-12-01T19:06:08"/>
    <s v="Каспий - РЦО"/>
    <x v="1"/>
    <x v="74"/>
    <s v="Каспийск "/>
    <s v="Связная 25"/>
    <n v="89822155386"/>
    <s v="djovinko21@gmail.com"/>
    <s v="ГБПОУ"/>
    <s v="Нет"/>
    <n v="90"/>
    <x v="49"/>
    <x v="1"/>
    <x v="0"/>
    <x v="0"/>
    <n v="0"/>
    <n v="0"/>
    <n v="0"/>
    <n v="5"/>
    <n v="5"/>
    <n v="5"/>
    <n v="5"/>
    <n v="5"/>
    <n v="5"/>
    <n v="0"/>
    <n v="0"/>
    <n v="1"/>
    <s v="До 10 лет, До 12 лет"/>
    <s v="Да"/>
    <s v="Да"/>
    <n v="1"/>
    <n v="0"/>
    <s v="Курбанов Д.М"/>
    <m/>
    <m/>
    <m/>
    <m/>
    <s v="Нет"/>
    <s v="Нет"/>
    <m/>
  </r>
  <r>
    <d v="2025-11-24T13:35:34"/>
    <s v="Автономная некоммерческая организация «Футбольный клуб Динамо»"/>
    <x v="1"/>
    <x v="74"/>
    <s v="Махачкала"/>
    <s v="город Махачкала, улица Времена года, владение 10"/>
    <n v="9679310815"/>
    <s v="dynamo-mcx@yandex.ru"/>
    <s v="футбольная школа (ФШ)"/>
    <s v="РЦ"/>
    <n v="300"/>
    <x v="30"/>
    <x v="1"/>
    <x v="0"/>
    <x v="0"/>
    <n v="0"/>
    <n v="8"/>
    <n v="7"/>
    <n v="10"/>
    <n v="5"/>
    <n v="0"/>
    <n v="0"/>
    <n v="0"/>
    <n v="0"/>
    <n v="0"/>
    <n v="0"/>
    <n v="0"/>
    <s v="Соревновательной практики достаточно"/>
    <s v="Да"/>
    <s v="Нет"/>
    <n v="2"/>
    <n v="1"/>
    <s v="Ибрагимова Эльмира Магомедовна В-УЕФА, Зайцев Микаил Сергеевич С-УЕФА"/>
    <n v="1"/>
    <n v="1"/>
    <m/>
    <m/>
    <s v="Нет"/>
    <s v="Нет"/>
    <m/>
  </r>
  <r>
    <d v="2025-12-02T17:02:54"/>
    <s v="Бюджетное учреждение дополнительного образования Республики Калмыкия &quot;Республиканская спортивная школа олимпийского резерва по футболу &quot;Уралан&quot;"/>
    <x v="1"/>
    <x v="75"/>
    <s v="Элиста"/>
    <s v="г. Элиста, ул. Буденного 5а"/>
    <n v="88472243308"/>
    <s v="footschool@mail.ru"/>
    <s v="СШОР"/>
    <s v="ДФЦ"/>
    <n v="372"/>
    <x v="1"/>
    <x v="1"/>
    <x v="0"/>
    <x v="0"/>
    <n v="0"/>
    <n v="0"/>
    <n v="0"/>
    <n v="0"/>
    <n v="0"/>
    <n v="6"/>
    <n v="7"/>
    <n v="3"/>
    <n v="2"/>
    <n v="0"/>
    <n v="0"/>
    <n v="0"/>
    <m/>
    <s v="Нет"/>
    <s v="Нет"/>
    <n v="1"/>
    <n v="0"/>
    <s v="Даржинов А.А. С-УЕФА"/>
    <n v="1"/>
    <m/>
    <m/>
    <m/>
    <s v="Да"/>
    <s v="Нет"/>
    <m/>
  </r>
  <r>
    <d v="2025-12-02T21:08:06"/>
    <s v="МБОШИ им. Каниди"/>
    <x v="1"/>
    <x v="76"/>
    <s v="Беслан"/>
    <s v="г. Беслан ул. Окружная 7"/>
    <s v="867-3746220"/>
    <s v="moshikanidi@list.ru"/>
    <s v="МБОШИ "/>
    <s v="Нет"/>
    <n v="150"/>
    <x v="4"/>
    <x v="1"/>
    <x v="0"/>
    <x v="0"/>
    <n v="0"/>
    <n v="0"/>
    <n v="0"/>
    <n v="0"/>
    <n v="8"/>
    <n v="8"/>
    <n v="3"/>
    <n v="2"/>
    <n v="2"/>
    <n v="0"/>
    <n v="0"/>
    <n v="0"/>
    <s v="До 13 лет, До 15 лет"/>
    <s v="Да"/>
    <s v="Да"/>
    <n v="2"/>
    <n v="0"/>
    <s v="Кокаев Арам Юрьевич C РФС"/>
    <n v="1"/>
    <m/>
    <m/>
    <m/>
    <s v="Да"/>
    <s v="Нет"/>
    <m/>
  </r>
  <r>
    <d v="2025-11-19T02:43:07"/>
    <s v="Academy Afsanti"/>
    <x v="1"/>
    <x v="76"/>
    <s v="Владикавказ"/>
    <s v=" г. Владикавказ, ул. Владикавказская, д.69 «Г»."/>
    <s v="+7 906 999 15 15"/>
    <s v="salbiev111@mail.ru"/>
    <s v="Частная школа футбола"/>
    <s v="Нет"/>
    <n v="120"/>
    <x v="16"/>
    <x v="1"/>
    <x v="0"/>
    <x v="0"/>
    <n v="0"/>
    <n v="0"/>
    <n v="1"/>
    <n v="0"/>
    <n v="1"/>
    <n v="4"/>
    <n v="4"/>
    <n v="3"/>
    <n v="0"/>
    <n v="0"/>
    <n v="0"/>
    <n v="1"/>
    <s v="До 15 лет, До 17 лет, До 19 лет, Взрослые"/>
    <s v="Да"/>
    <s v="Нет"/>
    <n v="1"/>
    <n v="0"/>
    <s v="Салбиев А.С. С-УЕФА"/>
    <n v="1"/>
    <m/>
    <m/>
    <m/>
    <s v="Нет"/>
    <s v="Нет"/>
    <s v="Сейчас заходим еще в несколько школ надеюсь девочек станет больше. Хотелось бы больше методических материалов по тренировкам девочек"/>
  </r>
  <r>
    <d v="2025-11-18T15:19:05"/>
    <s v="АФ Алания "/>
    <x v="1"/>
    <x v="76"/>
    <s v="Владикавказ"/>
    <s v="Г Владикавказ пр Коста 8"/>
    <s v="8(867)2333405"/>
    <s v="Fa-alania@mail.ru"/>
    <s v="Академия Футбола Алания "/>
    <s v="Футбольная академия"/>
    <n v="120"/>
    <x v="85"/>
    <x v="1"/>
    <x v="0"/>
    <x v="0"/>
    <n v="0"/>
    <n v="7"/>
    <n v="12"/>
    <n v="12"/>
    <n v="12"/>
    <n v="12"/>
    <n v="12"/>
    <n v="3"/>
    <n v="0"/>
    <n v="0"/>
    <n v="0"/>
    <n v="0"/>
    <s v="До 10 лет, До 12 лет, До 13 лет, До 15 лет, До 17 лет, До 19 лет"/>
    <s v="Нет"/>
    <s v="Да"/>
    <n v="5"/>
    <n v="0"/>
    <s v="Гулиев С.Б B-UEFA_x000a_Мишелашвили В.Д C-UEFA_x000a_Тиникашвили Г.С C-UEFA_x000a_Дзиов А.А B-UEFA(тр вратарей)_x000a_Березов Э.А B-UEFA"/>
    <n v="2"/>
    <n v="3"/>
    <m/>
    <m/>
    <s v="Да"/>
    <s v="Нет"/>
    <s v="Хотелось бы больше внимания и ифроструктуры ,больше турниров ,чтобы дети играли дома в своей команде ,а не уезжали ,в юфл чемпионате чтобы играли весь год по своим возрастам ,а не за пару месяцев заканчивать весь чемпионат ,к которому готовишься по пол года , спасибо за внимание !"/>
  </r>
  <r>
    <d v="2025-11-18T10:36:27"/>
    <s v="ГАУ ДО СШ ЮНОСТЬ им. Н.З. Папелишвили "/>
    <x v="1"/>
    <x v="76"/>
    <s v="Владикавказ"/>
    <s v="Город Владикавказ , улица Леваневского 53"/>
    <s v="+7 (8672) 514382"/>
    <s v="yunost35@mail.ru"/>
    <s v="СШ"/>
    <s v="Нет"/>
    <n v="800"/>
    <x v="138"/>
    <x v="1"/>
    <x v="0"/>
    <x v="0"/>
    <n v="0"/>
    <n v="0"/>
    <n v="2"/>
    <n v="8"/>
    <n v="10"/>
    <n v="14"/>
    <n v="12"/>
    <n v="10"/>
    <n v="7"/>
    <n v="6"/>
    <n v="3"/>
    <n v="0"/>
    <s v="До 10 лет, До 12 лет, До 13 лет, До 15 лет, До 17 лет, До 19 лет"/>
    <s v="Нет"/>
    <s v="Да"/>
    <n v="1"/>
    <n v="0"/>
    <s v="Тиникашвили Г. С. С-УЕФА"/>
    <n v="1"/>
    <m/>
    <m/>
    <m/>
    <s v="Да"/>
    <s v="Нет"/>
    <m/>
  </r>
  <r>
    <d v="2025-11-18T10:43:56"/>
    <s v="АНО ФК «АЛАНТА-Аланы»"/>
    <x v="1"/>
    <x v="76"/>
    <s v="Владикавказ "/>
    <s v="Владикавказ ул. Весенняя"/>
    <n v="-1941"/>
    <s v="V.v.k.kibizov@yandex.ru"/>
    <s v="СШ"/>
    <s v="Нет"/>
    <n v="90"/>
    <x v="59"/>
    <x v="20"/>
    <x v="1"/>
    <x v="5"/>
    <n v="0"/>
    <n v="0"/>
    <n v="0"/>
    <n v="0"/>
    <n v="0"/>
    <n v="0"/>
    <n v="0"/>
    <n v="3"/>
    <n v="3"/>
    <n v="0"/>
    <n v="3"/>
    <n v="0"/>
    <s v="До 10 лет, До 12 лет, До 13 лет, До 15 лет, До 17 лет, До 19 лет"/>
    <s v="Да"/>
    <s v="Да"/>
    <n v="1"/>
    <n v="0"/>
    <s v="Кибизов В.В. С-УЕФА"/>
    <n v="1"/>
    <m/>
    <m/>
    <m/>
    <s v="Нет"/>
    <s v="Нет"/>
    <m/>
  </r>
  <r>
    <d v="2025-12-02T19:32:38"/>
    <s v="МБОУ Сяош3"/>
    <x v="1"/>
    <x v="76"/>
    <s v="Моздок"/>
    <s v="г. Моздок ул. Аслана Лалиева1 "/>
    <n v="88673639236"/>
    <s v="mozdok3@mail.ru"/>
    <s v="СШ"/>
    <s v="Нет"/>
    <n v="60"/>
    <x v="15"/>
    <x v="1"/>
    <x v="0"/>
    <x v="0"/>
    <n v="0"/>
    <n v="1"/>
    <n v="4"/>
    <n v="2"/>
    <n v="2"/>
    <n v="3"/>
    <n v="3"/>
    <n v="2"/>
    <n v="6"/>
    <n v="2"/>
    <n v="0"/>
    <n v="0"/>
    <s v="До 10 лет, До 12 лет, До 13 лет"/>
    <s v="Да"/>
    <s v="Да"/>
    <n v="1"/>
    <n v="0"/>
    <s v="-"/>
    <m/>
    <m/>
    <m/>
    <m/>
    <s v="Нет"/>
    <s v="Нет"/>
    <s v="Всем успехов и побед! Здоровья и благополучия!"/>
  </r>
  <r>
    <d v="2025-12-02T10:29:54"/>
    <s v="МБУДО СШ1 г.Моздока"/>
    <x v="1"/>
    <x v="76"/>
    <s v="Моздок"/>
    <s v="г.Моздок, ул.Кирова 7"/>
    <n v="88673633309"/>
    <s v="sportshkola1mozdok.yandex.ru"/>
    <s v="СШ"/>
    <s v="Нет"/>
    <n v="551"/>
    <x v="30"/>
    <x v="1"/>
    <x v="0"/>
    <x v="0"/>
    <n v="0"/>
    <n v="2"/>
    <n v="2"/>
    <n v="5"/>
    <n v="3"/>
    <n v="3"/>
    <n v="2"/>
    <n v="10"/>
    <n v="3"/>
    <n v="0"/>
    <n v="0"/>
    <n v="0"/>
    <s v="До 12 лет"/>
    <s v="Нет"/>
    <s v="Нет"/>
    <n v="1"/>
    <n v="0"/>
    <n v="0"/>
    <m/>
    <m/>
    <m/>
    <m/>
    <s v="Нет"/>
    <s v="Нет"/>
    <n v="0"/>
  </r>
  <r>
    <d v="2025-11-18T11:18:45"/>
    <s v="МБУ ДО СШ &quot;Олимп&quot;"/>
    <x v="1"/>
    <x v="77"/>
    <s v="Глубокий"/>
    <s v="ул. Щаденко 32"/>
    <n v="88636596194"/>
    <s v="sportchkola.olimp@mail.ru"/>
    <s v="СШ"/>
    <s v="Нет"/>
    <n v="157"/>
    <x v="39"/>
    <x v="1"/>
    <x v="0"/>
    <x v="0"/>
    <n v="6"/>
    <n v="5"/>
    <n v="7"/>
    <n v="4"/>
    <n v="6"/>
    <n v="8"/>
    <n v="6"/>
    <n v="2"/>
    <n v="1"/>
    <n v="1"/>
    <n v="0"/>
    <n v="0"/>
    <s v="Соревновательной практики достаточно"/>
    <s v="Да"/>
    <s v="Да"/>
    <n v="3"/>
    <n v="1"/>
    <s v="нет"/>
    <m/>
    <m/>
    <m/>
    <m/>
    <s v="Да"/>
    <s v="Нет"/>
    <m/>
  </r>
  <r>
    <d v="2025-11-21T09:58:16"/>
    <s v="ГБУ ДО РО &quot;СШОР№9&quot;"/>
    <x v="1"/>
    <x v="77"/>
    <s v="Азов"/>
    <s v="Мира, 8"/>
    <n v="40654"/>
    <s v="osdushor9@mail.ru"/>
    <s v="СШОР"/>
    <s v="Нет"/>
    <n v="338"/>
    <x v="41"/>
    <x v="12"/>
    <x v="5"/>
    <x v="14"/>
    <n v="7"/>
    <n v="3"/>
    <n v="12"/>
    <n v="9"/>
    <n v="7"/>
    <n v="8"/>
    <n v="6"/>
    <n v="1"/>
    <n v="1"/>
    <n v="1"/>
    <n v="1"/>
    <n v="0"/>
    <s v="Соревновательной практики достаточно"/>
    <s v="Нет"/>
    <s v="Нет"/>
    <n v="3"/>
    <n v="2"/>
    <s v="нет"/>
    <m/>
    <m/>
    <m/>
    <m/>
    <s v="Да"/>
    <s v="Да"/>
    <s v="нет"/>
  </r>
  <r>
    <d v="2025-11-18T15:44:23"/>
    <s v="ГБУ ДО РО СШОР №9"/>
    <x v="1"/>
    <x v="77"/>
    <s v="Азов "/>
    <s v="Ул. Мира 8"/>
    <n v="88634246272"/>
    <s v="osdushor9@ mail.ru"/>
    <s v="СШОР"/>
    <s v="Нет"/>
    <n v="320"/>
    <x v="41"/>
    <x v="12"/>
    <x v="5"/>
    <x v="14"/>
    <n v="7"/>
    <n v="3"/>
    <n v="12"/>
    <n v="9"/>
    <n v="7"/>
    <n v="8"/>
    <n v="6"/>
    <n v="1"/>
    <n v="1"/>
    <n v="1"/>
    <n v="1"/>
    <n v="0"/>
    <s v="Соревновательной практики достаточно"/>
    <s v="Нет"/>
    <s v="Нет"/>
    <n v="3"/>
    <n v="2"/>
    <s v="Гринёв А.Л , Цвиринько Г.Н , Цуканова Л.А"/>
    <m/>
    <m/>
    <m/>
    <m/>
    <s v="Да"/>
    <s v="Нет"/>
    <s v="Нет"/>
  </r>
  <r>
    <d v="2025-11-18T10:55:14"/>
    <s v="СШ &quot;Радуга&quot;"/>
    <x v="1"/>
    <x v="77"/>
    <s v="Родионово-Несветайский район"/>
    <s v="Родионово-Несветайский район, х. Весёлый ул. Ленина 5в"/>
    <n v="88634030356"/>
    <s v="veselii-dush@mail.ru"/>
    <s v="СШ"/>
    <s v="Нет"/>
    <n v="68"/>
    <x v="81"/>
    <x v="1"/>
    <x v="0"/>
    <x v="0"/>
    <n v="0"/>
    <n v="2"/>
    <n v="2"/>
    <n v="3"/>
    <n v="0"/>
    <n v="3"/>
    <n v="2"/>
    <n v="4"/>
    <n v="2"/>
    <n v="2"/>
    <n v="6"/>
    <n v="0"/>
    <s v="Соревновательной практики достаточно"/>
    <s v="Да"/>
    <s v="Да"/>
    <n v="1"/>
    <n v="0"/>
    <s v="Нет"/>
    <m/>
    <m/>
    <m/>
    <m/>
    <s v="Да"/>
    <s v="Нет"/>
    <m/>
  </r>
  <r>
    <d v="2025-12-08T13:49:20"/>
    <s v="ЖФК «Пантера»"/>
    <x v="1"/>
    <x v="77"/>
    <s v="Ростов на Дону"/>
    <s v="Нет"/>
    <n v="89524181223"/>
    <s v="abramova_lusine@mail.ru"/>
    <s v="Школа "/>
    <s v="Нет"/>
    <n v="43"/>
    <x v="111"/>
    <x v="29"/>
    <x v="8"/>
    <x v="3"/>
    <n v="3"/>
    <n v="5"/>
    <n v="0"/>
    <n v="0"/>
    <n v="0"/>
    <n v="0"/>
    <n v="0"/>
    <n v="0"/>
    <n v="0"/>
    <n v="0"/>
    <n v="0"/>
    <n v="0"/>
    <s v="Нет"/>
    <s v="Нет"/>
    <s v="Нет"/>
    <n v="1"/>
    <n v="0"/>
    <s v="Арбамова Л.М."/>
    <m/>
    <m/>
    <m/>
    <m/>
    <s v="Нет"/>
    <s v="Нет"/>
    <m/>
  </r>
  <r>
    <d v="2025-12-08T00:20:49"/>
    <s v="АО ФК «Ростов»"/>
    <x v="1"/>
    <x v="77"/>
    <s v="Ростов-на-Дону"/>
    <s v="пр.Шолохова, д.31е"/>
    <n v="78004444461"/>
    <s v="info@fc-rostov.ru"/>
    <s v="Футбольный клуб"/>
    <s v="Футбольная академия высшей категории"/>
    <n v="374"/>
    <x v="139"/>
    <x v="34"/>
    <x v="0"/>
    <x v="3"/>
    <n v="6"/>
    <n v="5"/>
    <n v="9"/>
    <n v="16"/>
    <n v="15"/>
    <n v="8"/>
    <n v="6"/>
    <n v="9"/>
    <n v="5"/>
    <n v="8"/>
    <n v="4"/>
    <n v="2"/>
    <s v="Соревновательной практики достаточно"/>
    <s v="Да"/>
    <s v="Нет"/>
    <n v="11"/>
    <n v="6"/>
    <s v="Чуб Я.Г. - А-УЕФА, Челбахиани Н.И. - В-УЕФА, Стрикалов Г.В. - А-УЕФА галкипер, Синютина А.В. - С-УЕФА, Махидиев Р.М.- С-УЕФА тренер по физ.подготовке, Гордиков Е. - В-УЕФА галкипер, Лукаш С.С.-С-УЕФА, Дыгай Н.Н. - В-УЕФА, Хаванская А. - С-УЕФА, Акулова О.Э. - В-УЕФА, Куранин К.С.- В-УЕФА"/>
    <n v="4"/>
    <n v="5"/>
    <n v="2"/>
    <m/>
    <s v="Да"/>
    <s v="Нет"/>
    <m/>
  </r>
  <r>
    <d v="2025-11-18T13:49:07"/>
    <s v="АНО ДО РФКС &quot;Академия футбола им. И.П.Чайка&quot;"/>
    <x v="1"/>
    <x v="77"/>
    <s v="Ростов-на-Дону"/>
    <s v="344019, Ростовская область, г. Ростов-на-Дону, ул. Максима Горького, д. 276, этаж 8, помещение № 5 б."/>
    <s v="8 (863) 310-46-48"/>
    <s v="academy@fc-chayka.ru"/>
    <s v="Академия"/>
    <s v="Футбольная академия высшей категории"/>
    <n v="504"/>
    <x v="49"/>
    <x v="1"/>
    <x v="0"/>
    <x v="0"/>
    <n v="0"/>
    <n v="0"/>
    <n v="0"/>
    <n v="0"/>
    <n v="2"/>
    <n v="10"/>
    <n v="5"/>
    <n v="10"/>
    <n v="1"/>
    <n v="2"/>
    <n v="1"/>
    <n v="0"/>
    <s v="До 13 лет, До 15 лет, До 17 лет, До 19 лет"/>
    <s v="Нет"/>
    <s v="Да"/>
    <n v="1"/>
    <n v="1"/>
    <s v="Романова О.А. В-УЕФА"/>
    <m/>
    <n v="1"/>
    <m/>
    <m/>
    <s v="Да"/>
    <s v="Нет"/>
    <s v="&quot;Академия футбола им. И.П.Чайка&quot; очень хотела бы принять участие в ЮФЛ-Девочки в сезоне 2026 года."/>
  </r>
  <r>
    <d v="2025-11-20T10:51:12"/>
    <s v="МБУ ДО &quot;Гребной канал &quot;Дон&quot;"/>
    <x v="1"/>
    <x v="77"/>
    <s v="Ростов-на-Дону"/>
    <s v="г. Ростов-на-Дону, ул. Пойменная 2а"/>
    <s v="8 (863) 240-50-65"/>
    <s v="rgk2003@yandex.ru"/>
    <s v="МБУ ДО"/>
    <s v="Нет"/>
    <n v="87"/>
    <x v="122"/>
    <x v="0"/>
    <x v="5"/>
    <x v="4"/>
    <n v="4"/>
    <n v="1"/>
    <n v="3"/>
    <n v="7"/>
    <n v="9"/>
    <n v="14"/>
    <n v="16"/>
    <n v="14"/>
    <n v="8"/>
    <n v="7"/>
    <n v="0"/>
    <n v="0"/>
    <s v="До 15 лет, До 17 лет, До 19 лет"/>
    <s v="Нет"/>
    <s v="Нет"/>
    <n v="3"/>
    <n v="3"/>
    <s v="Акулова О.Э. С-УЕФА, Мадазимова А.С,, Гвоздик А.И."/>
    <n v="1"/>
    <m/>
    <m/>
    <m/>
    <s v="Да"/>
    <s v="Да"/>
    <m/>
  </r>
  <r>
    <d v="2025-12-01T17:56:36"/>
    <s v="Гимназия #46 (ЖФК &quot;Пантера&quot;) "/>
    <x v="1"/>
    <x v="77"/>
    <s v="Ростов-на-Дону"/>
    <s v="Ростов-на-Дону, ул. Тимошенко, 30"/>
    <s v="278-19-05"/>
    <s v="sch46@donpac.ru"/>
    <s v="ШСК "/>
    <s v="Нет"/>
    <n v="220"/>
    <x v="67"/>
    <x v="25"/>
    <x v="5"/>
    <x v="2"/>
    <n v="1"/>
    <n v="1"/>
    <n v="1"/>
    <n v="10"/>
    <n v="10"/>
    <n v="10"/>
    <n v="20"/>
    <n v="10"/>
    <n v="10"/>
    <n v="8"/>
    <n v="0"/>
    <n v="0"/>
    <s v="До 10 лет, До 12 лет, До 13 лет, До 15 лет, До 17 лет, До 19 лет"/>
    <s v="Да"/>
    <s v="Да"/>
    <n v="4"/>
    <n v="1"/>
    <s v="-"/>
    <m/>
    <m/>
    <m/>
    <m/>
    <s v="Да"/>
    <s v="Нет"/>
    <m/>
  </r>
  <r>
    <m/>
    <s v="ГБОУ РО РШИСП"/>
    <x v="1"/>
    <x v="77"/>
    <s v="Ростов-на-Дону"/>
    <s v="ул. Дачная 8а"/>
    <n v="78632774573"/>
    <s v="intsport@bk.ru"/>
    <s v="школа-интернат спортивного профиля"/>
    <s v="Нет"/>
    <n v="24"/>
    <x v="16"/>
    <x v="1"/>
    <x v="0"/>
    <x v="0"/>
    <n v="0"/>
    <n v="0"/>
    <n v="6"/>
    <n v="8"/>
    <n v="0"/>
    <n v="0"/>
    <n v="0"/>
    <n v="0"/>
    <n v="0"/>
    <n v="0"/>
    <n v="0"/>
    <n v="0"/>
    <s v="Соревновательной практики достаточно"/>
    <s v="Нет"/>
    <s v="Нет"/>
    <n v="1"/>
    <n v="1"/>
    <s v="Дыгай Наталья Николаевна, квалификация В УЕФА"/>
    <m/>
    <n v="1"/>
    <m/>
    <m/>
    <s v="Нет"/>
    <s v="Нет"/>
    <m/>
  </r>
  <r>
    <d v="2025-12-01T18:19:35"/>
    <s v="ГОСУДАРСТВЕННОЕ БЮДЖЕТНОЕ УЧРЕЖДЕНИЕ ДОПОЛНИТЕЛЬНОГО ОБРАЗОВАНИЯ РОСТОВСКОЙ ОБЛАСТИ «СПОРТИВНАЯ ШКОЛА ОЛИМПИЙСКОГО РЕЗЕРВА № 8 им. В.В. Понедельника»"/>
    <x v="1"/>
    <x v="77"/>
    <s v="Ростов-на-Дону "/>
    <s v="Ул. 1-й Конной Армии 4Е "/>
    <s v="8(863) 242-29-77"/>
    <s v="sportvvp8@mail.ru"/>
    <s v="СШОР"/>
    <s v="Нет"/>
    <n v="390"/>
    <x v="1"/>
    <x v="1"/>
    <x v="0"/>
    <x v="0"/>
    <n v="0"/>
    <n v="1"/>
    <n v="6"/>
    <n v="5"/>
    <n v="5"/>
    <n v="1"/>
    <n v="0"/>
    <n v="0"/>
    <n v="0"/>
    <n v="0"/>
    <n v="0"/>
    <n v="0"/>
    <s v="До 15 лет, До 17 лет, До 19 лет"/>
    <s v="Нет"/>
    <s v="Нет"/>
    <n v="1"/>
    <n v="1"/>
    <s v="Рассказова А.В. С-УЕФА"/>
    <n v="1"/>
    <m/>
    <m/>
    <m/>
    <s v="Да"/>
    <s v="Нет"/>
    <m/>
  </r>
  <r>
    <d v="2025-12-03T07:50:40"/>
    <s v="АНО СК «Академия Чемпионов»"/>
    <x v="1"/>
    <x v="77"/>
    <s v="Шахты"/>
    <s v="Ростовская область, город Шахты, проспект строителей 36,кВ 30"/>
    <n v="89809137272"/>
    <s v="academia-champions@yandex.ru"/>
    <s v="АНО СК «Академия Чемпионов»"/>
    <s v="Нет"/>
    <n v="250"/>
    <x v="71"/>
    <x v="1"/>
    <x v="0"/>
    <x v="0"/>
    <n v="0"/>
    <n v="0"/>
    <n v="0"/>
    <n v="0"/>
    <n v="0"/>
    <n v="0"/>
    <n v="3"/>
    <n v="2"/>
    <n v="5"/>
    <n v="2"/>
    <n v="0"/>
    <n v="0"/>
    <s v="До 10 лет"/>
    <s v="Нет"/>
    <s v="Нет"/>
    <n v="1"/>
    <n v="1"/>
    <m/>
    <m/>
    <m/>
    <m/>
    <m/>
    <s v="Да"/>
    <s v="Да"/>
    <m/>
  </r>
  <r>
    <m/>
    <s v="АФК&quot;Дончанка&quot;"/>
    <x v="1"/>
    <x v="77"/>
    <s v="Азов"/>
    <s v="Проезд Литейный 2"/>
    <n v="89185034422"/>
    <s v="skdonchanka@mail.ru"/>
    <m/>
    <m/>
    <n v="50"/>
    <x v="18"/>
    <x v="26"/>
    <x v="13"/>
    <x v="5"/>
    <n v="3"/>
    <n v="3"/>
    <n v="2"/>
    <n v="0"/>
    <n v="0"/>
    <n v="0"/>
    <n v="0"/>
    <n v="0"/>
    <n v="0"/>
    <n v="0"/>
    <n v="0"/>
    <n v="0"/>
    <m/>
    <m/>
    <m/>
    <m/>
    <m/>
    <m/>
    <m/>
    <m/>
    <m/>
    <m/>
    <m/>
    <m/>
    <m/>
  </r>
  <r>
    <m/>
    <s v="МБОУ ДО СШ Боковского района "/>
    <x v="1"/>
    <x v="77"/>
    <s v="Боковская"/>
    <s v="Ростовская область, Боковский район, станица Боковская, переулок Чкалова, 59-а "/>
    <n v="88638231430"/>
    <s v="Skolsport@mail.ru "/>
    <m/>
    <m/>
    <n v="195"/>
    <x v="140"/>
    <x v="1"/>
    <x v="0"/>
    <x v="0"/>
    <n v="0"/>
    <n v="10"/>
    <n v="10"/>
    <n v="10"/>
    <n v="15"/>
    <n v="10"/>
    <n v="10"/>
    <n v="10"/>
    <n v="0"/>
    <n v="0"/>
    <n v="0"/>
    <n v="0"/>
    <m/>
    <m/>
    <m/>
    <m/>
    <m/>
    <m/>
    <m/>
    <m/>
    <m/>
    <m/>
    <m/>
    <m/>
    <m/>
  </r>
  <r>
    <m/>
    <s v="МБУ ДО СШ Арзгирского района"/>
    <x v="1"/>
    <x v="78"/>
    <s v="Арзгир"/>
    <s v="Арзгирский район, с.Арзгир,  ул.П.Базалеева,  д.8"/>
    <s v="8 (865 60) 3-14-30"/>
    <s v="arzdush@yandex.ru"/>
    <s v="СШ"/>
    <s v="Нет"/>
    <n v="137"/>
    <x v="23"/>
    <x v="1"/>
    <x v="0"/>
    <x v="0"/>
    <n v="0"/>
    <n v="0"/>
    <n v="1"/>
    <n v="3"/>
    <n v="2"/>
    <n v="6"/>
    <n v="2"/>
    <n v="3"/>
    <n v="3"/>
    <n v="0"/>
    <n v="0"/>
    <n v="0"/>
    <s v="До 10 лет, До 12 лет"/>
    <s v="Да"/>
    <s v="Нет"/>
    <n v="1"/>
    <n v="0"/>
    <s v="Петренко В.С."/>
    <m/>
    <m/>
    <m/>
    <m/>
    <s v="Нет"/>
    <s v="Нет"/>
    <m/>
  </r>
  <r>
    <d v="2025-12-04T12:25:15"/>
    <s v="ФК Веста"/>
    <x v="1"/>
    <x v="78"/>
    <s v="Невинномысск "/>
    <s v="Бульвар мира 9"/>
    <n v="89880950310"/>
    <s v="legendanomer64@mail.ru"/>
    <s v="Футбольный Клуб"/>
    <s v="Нет"/>
    <n v="118"/>
    <x v="84"/>
    <x v="1"/>
    <x v="0"/>
    <x v="2"/>
    <n v="1"/>
    <n v="0"/>
    <n v="7"/>
    <n v="5"/>
    <n v="7"/>
    <n v="7"/>
    <n v="2"/>
    <n v="5"/>
    <n v="5"/>
    <n v="3"/>
    <n v="2"/>
    <n v="0"/>
    <s v="До 10 лет, До 12 лет, До 15 лет, До 13 лет, До 17 лет"/>
    <s v="Да"/>
    <s v="Да"/>
    <n v="1"/>
    <n v="0"/>
    <s v="Газарян Рудольф Арменович"/>
    <m/>
    <m/>
    <m/>
    <m/>
    <s v="Нет"/>
    <s v="Нет"/>
    <s v="Мало соревнований для девочек"/>
  </r>
  <r>
    <d v="2025-12-06T11:35:57"/>
    <s v="МБУ ДО СШ ПО ФУТБОЛУ N*6"/>
    <x v="1"/>
    <x v="78"/>
    <s v="Пятигорск"/>
    <s v="ул Розы Люксембург  72 "/>
    <s v="8(8793) 39-65-64"/>
    <s v="ssh6football@mail.ru"/>
    <s v="СШ"/>
    <s v="Нет"/>
    <n v="750"/>
    <x v="15"/>
    <x v="1"/>
    <x v="0"/>
    <x v="0"/>
    <n v="3"/>
    <n v="0"/>
    <n v="0"/>
    <n v="0"/>
    <n v="10"/>
    <n v="2"/>
    <n v="5"/>
    <n v="5"/>
    <n v="0"/>
    <n v="0"/>
    <n v="0"/>
    <n v="0"/>
    <s v="До 15 лет"/>
    <s v="Нет"/>
    <s v="Нет"/>
    <n v="1"/>
    <n v="0"/>
    <s v="Айрапетян В.Б"/>
    <m/>
    <m/>
    <m/>
    <m/>
    <s v="Да"/>
    <s v="Нет"/>
    <m/>
  </r>
  <r>
    <d v="2025-12-08T11:31:15"/>
    <s v="МБУ СШ по футболу г.Ставрополя"/>
    <x v="1"/>
    <x v="78"/>
    <s v="Ставрополь"/>
    <s v="Бруснева 10 к.1"/>
    <n v="88652395789"/>
    <s v="dusshfutbol@mail.ru"/>
    <s v="СШ"/>
    <s v="ДФЦ"/>
    <n v="982"/>
    <x v="139"/>
    <x v="0"/>
    <x v="2"/>
    <x v="3"/>
    <n v="7"/>
    <n v="3"/>
    <n v="3"/>
    <n v="20"/>
    <n v="14"/>
    <n v="19"/>
    <n v="7"/>
    <n v="10"/>
    <n v="9"/>
    <n v="10"/>
    <n v="8"/>
    <n v="0"/>
    <s v="До 13 лет, До 15 лет, До 17 лет, До 19 лет"/>
    <s v="Да"/>
    <s v="Да"/>
    <n v="2"/>
    <n v="0"/>
    <s v="Нимченко Алексей Анатольевич _x000a_Моногаров Алексей Александрович "/>
    <m/>
    <m/>
    <m/>
    <m/>
    <s v="Да"/>
    <s v="Нет"/>
    <m/>
  </r>
  <r>
    <d v="2025-12-08T10:25:45"/>
    <s v="МБУ ДО СШ"/>
    <x v="1"/>
    <x v="78"/>
    <s v="Курсавка"/>
    <s v=" Андроповский район,  с. Курсавка, улица Красная, № 27"/>
    <s v="8 (86556) 6-40-63"/>
    <s v="dush-androp@list.ru"/>
    <s v="СШ"/>
    <s v="Нет"/>
    <n v="130"/>
    <x v="70"/>
    <x v="1"/>
    <x v="0"/>
    <x v="0"/>
    <n v="3"/>
    <n v="2"/>
    <n v="4"/>
    <n v="5"/>
    <n v="5"/>
    <n v="5"/>
    <n v="7"/>
    <n v="4"/>
    <n v="7"/>
    <n v="6"/>
    <n v="0"/>
    <n v="0"/>
    <s v="До 15 лет, До 17 лет"/>
    <s v="Да"/>
    <s v="Нет"/>
    <n v="2"/>
    <n v="0"/>
    <s v="Никитин Александр Юрьевич, Дробыш Евгений Леонидович"/>
    <m/>
    <m/>
    <m/>
    <m/>
    <s v="Да"/>
    <s v="Нет"/>
    <s v="Не хватает игровой практики для девочек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089F0-6192-694F-8EB2-A8A538C35178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92" firstHeaderRow="0" firstDataRow="1" firstDataCol="1"/>
  <pivotFields count="40">
    <pivotField showAll="0"/>
    <pivotField dataField="1" showAll="0"/>
    <pivotField axis="axisRow" showAll="0">
      <items count="10">
        <item x="0"/>
        <item x="2"/>
        <item x="3"/>
        <item x="4"/>
        <item x="5"/>
        <item x="8"/>
        <item x="7"/>
        <item x="6"/>
        <item x="1"/>
        <item t="default"/>
      </items>
    </pivotField>
    <pivotField axis="axisRow" showAll="0">
      <items count="80">
        <item x="42"/>
        <item x="0"/>
        <item x="30"/>
        <item x="5"/>
        <item x="60"/>
        <item x="9"/>
        <item x="10"/>
        <item x="61"/>
        <item x="11"/>
        <item x="32"/>
        <item x="1"/>
        <item x="43"/>
        <item x="12"/>
        <item x="44"/>
        <item x="70"/>
        <item x="31"/>
        <item x="62"/>
        <item x="2"/>
        <item x="71"/>
        <item x="45"/>
        <item x="13"/>
        <item x="14"/>
        <item x="72"/>
        <item x="46"/>
        <item x="38"/>
        <item x="63"/>
        <item x="33"/>
        <item x="64"/>
        <item x="3"/>
        <item x="17"/>
        <item x="18"/>
        <item x="34"/>
        <item x="35"/>
        <item x="19"/>
        <item x="36"/>
        <item x="47"/>
        <item x="53"/>
        <item x="20"/>
        <item x="65"/>
        <item x="21"/>
        <item x="54"/>
        <item x="4"/>
        <item x="37"/>
        <item x="73"/>
        <item x="55"/>
        <item x="48"/>
        <item x="74"/>
        <item x="75"/>
        <item x="39"/>
        <item x="40"/>
        <item x="22"/>
        <item x="23"/>
        <item x="6"/>
        <item x="76"/>
        <item x="24"/>
        <item x="49"/>
        <item x="50"/>
        <item x="77"/>
        <item x="66"/>
        <item x="25"/>
        <item x="41"/>
        <item x="26"/>
        <item x="7"/>
        <item x="56"/>
        <item x="67"/>
        <item x="78"/>
        <item x="68"/>
        <item x="15"/>
        <item x="51"/>
        <item x="69"/>
        <item x="57"/>
        <item x="27"/>
        <item x="28"/>
        <item x="8"/>
        <item x="52"/>
        <item x="58"/>
        <item x="29"/>
        <item x="59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91">
    <i>
      <x/>
    </i>
    <i r="1">
      <x v="1"/>
    </i>
    <i r="1">
      <x v="10"/>
    </i>
    <i r="1">
      <x v="17"/>
    </i>
    <i r="1">
      <x v="28"/>
    </i>
    <i r="1">
      <x v="41"/>
    </i>
    <i r="1">
      <x v="52"/>
    </i>
    <i r="1">
      <x v="62"/>
    </i>
    <i r="1">
      <x v="73"/>
    </i>
    <i>
      <x v="1"/>
    </i>
    <i r="1">
      <x v="5"/>
    </i>
    <i r="1">
      <x v="6"/>
    </i>
    <i r="1">
      <x v="8"/>
    </i>
    <i r="1">
      <x v="12"/>
    </i>
    <i r="1">
      <x v="20"/>
    </i>
    <i r="1">
      <x v="21"/>
    </i>
    <i r="1">
      <x v="67"/>
    </i>
    <i r="1">
      <x v="78"/>
    </i>
    <i>
      <x v="2"/>
    </i>
    <i r="1">
      <x v="29"/>
    </i>
    <i r="1">
      <x v="30"/>
    </i>
    <i>
      <x v="3"/>
    </i>
    <i r="1">
      <x v="33"/>
    </i>
    <i r="1">
      <x v="37"/>
    </i>
    <i r="1">
      <x v="39"/>
    </i>
    <i r="1">
      <x v="50"/>
    </i>
    <i r="1">
      <x v="51"/>
    </i>
    <i r="1">
      <x v="54"/>
    </i>
    <i r="1">
      <x v="59"/>
    </i>
    <i r="1">
      <x v="61"/>
    </i>
    <i r="1">
      <x v="71"/>
    </i>
    <i r="1">
      <x v="72"/>
    </i>
    <i r="1">
      <x v="76"/>
    </i>
    <i>
      <x v="4"/>
    </i>
    <i r="1">
      <x v="2"/>
    </i>
    <i r="1">
      <x v="15"/>
    </i>
    <i r="1">
      <x v="26"/>
    </i>
    <i r="1">
      <x v="31"/>
    </i>
    <i r="1">
      <x v="32"/>
    </i>
    <i r="1">
      <x v="34"/>
    </i>
    <i r="1">
      <x v="42"/>
    </i>
    <i r="1">
      <x v="48"/>
    </i>
    <i r="1">
      <x v="49"/>
    </i>
    <i r="1">
      <x v="60"/>
    </i>
    <i>
      <x v="5"/>
    </i>
    <i r="1">
      <x/>
    </i>
    <i r="1">
      <x v="11"/>
    </i>
    <i r="1">
      <x v="13"/>
    </i>
    <i r="1">
      <x v="19"/>
    </i>
    <i r="1">
      <x v="23"/>
    </i>
    <i r="1">
      <x v="35"/>
    </i>
    <i r="1">
      <x v="45"/>
    </i>
    <i r="1">
      <x v="55"/>
    </i>
    <i r="1">
      <x v="56"/>
    </i>
    <i r="1">
      <x v="68"/>
    </i>
    <i r="1">
      <x v="74"/>
    </i>
    <i>
      <x v="6"/>
    </i>
    <i r="1">
      <x v="24"/>
    </i>
    <i r="1">
      <x v="36"/>
    </i>
    <i r="1">
      <x v="40"/>
    </i>
    <i r="1">
      <x v="44"/>
    </i>
    <i r="1">
      <x v="63"/>
    </i>
    <i r="1">
      <x v="70"/>
    </i>
    <i r="1">
      <x v="74"/>
    </i>
    <i r="1">
      <x v="75"/>
    </i>
    <i r="1">
      <x v="77"/>
    </i>
    <i>
      <x v="7"/>
    </i>
    <i r="1">
      <x v="4"/>
    </i>
    <i r="1">
      <x v="5"/>
    </i>
    <i r="1">
      <x v="7"/>
    </i>
    <i r="1">
      <x v="9"/>
    </i>
    <i r="1">
      <x v="16"/>
    </i>
    <i r="1">
      <x v="25"/>
    </i>
    <i r="1">
      <x v="27"/>
    </i>
    <i r="1">
      <x v="38"/>
    </i>
    <i r="1">
      <x v="58"/>
    </i>
    <i r="1">
      <x v="64"/>
    </i>
    <i r="1">
      <x v="66"/>
    </i>
    <i r="1">
      <x v="69"/>
    </i>
    <i>
      <x v="8"/>
    </i>
    <i r="1">
      <x v="3"/>
    </i>
    <i r="1">
      <x v="14"/>
    </i>
    <i r="1">
      <x v="18"/>
    </i>
    <i r="1">
      <x v="22"/>
    </i>
    <i r="1">
      <x v="43"/>
    </i>
    <i r="1">
      <x v="46"/>
    </i>
    <i r="1">
      <x v="47"/>
    </i>
    <i r="1">
      <x v="53"/>
    </i>
    <i r="1">
      <x v="57"/>
    </i>
    <i r="1">
      <x v="6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Название организации" fld="1" subtotal="count" baseField="0" baseItem="0"/>
    <dataField name="Sum of Численность занимающихся футболом девочек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C9DC9-03E2-284B-B99D-D98A8AF1B690}" name="PivotTable5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P11" firstHeaderRow="0" firstDataRow="1" firstDataCol="1"/>
  <pivotFields count="40">
    <pivotField showAll="0"/>
    <pivotField showAll="0"/>
    <pivotField axis="axisRow" showAll="0">
      <items count="10">
        <item x="0"/>
        <item x="2"/>
        <item x="3"/>
        <item x="4"/>
        <item x="5"/>
        <item x="8"/>
        <item x="7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Sum of 2005 и старше" fld="12" baseField="0" baseItem="0"/>
    <dataField name="Count of 2006" fld="13" subtotal="count" baseField="0" baseItem="0"/>
    <dataField name="Count of 2007" fld="14" subtotal="count" baseField="0" baseItem="0"/>
    <dataField name="Sum of 2008" fld="15" baseField="0" baseItem="0"/>
    <dataField name="Count of 2009" fld="16" subtotal="count" baseField="0" baseItem="0"/>
    <dataField name="Sum of 2010" fld="17" baseField="0" baseItem="0"/>
    <dataField name="Sum of 2011" fld="18" baseField="0" baseItem="0"/>
    <dataField name="Sum of 2012" fld="19" baseField="0" baseItem="0"/>
    <dataField name="Sum of 2013" fld="20" baseField="0" baseItem="0"/>
    <dataField name="Sum of 2014" fld="21" baseField="0" baseItem="0"/>
    <dataField name="Sum of 2015" fld="22" baseField="0" baseItem="0"/>
    <dataField name="Sum of 2016" fld="23" baseField="0" baseItem="0"/>
    <dataField name="Sum of 2017" fld="24" baseField="0" baseItem="0"/>
    <dataField name="Sum of 2018" fld="25" baseField="0" baseItem="0"/>
    <dataField name="Sum of 2019 и младше" fld="26" baseField="0" baseItem="0"/>
  </dataFields>
  <chartFormats count="15">
    <chartFormat chart="0" format="49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9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9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9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9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9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49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498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499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500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501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502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0" format="503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0" format="504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0" format="505" series="1">
      <pivotArea type="data" outline="0" fieldPosition="0">
        <references count="1">
          <reference field="4294967294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0B6CE-4EC2-3848-990A-CD1795FB9D2C}">
  <dimension ref="A1:F99"/>
  <sheetViews>
    <sheetView topLeftCell="A72" workbookViewId="0">
      <selection activeCell="B98" sqref="B98"/>
    </sheetView>
  </sheetViews>
  <sheetFormatPr baseColWidth="10" defaultRowHeight="15" x14ac:dyDescent="0.2"/>
  <cols>
    <col min="1" max="1" width="41.6640625" bestFit="1" customWidth="1"/>
    <col min="2" max="2" width="27" bestFit="1" customWidth="1"/>
    <col min="3" max="3" width="46.1640625" bestFit="1" customWidth="1"/>
  </cols>
  <sheetData>
    <row r="1" spans="1:3" x14ac:dyDescent="0.2">
      <c r="A1" s="5" t="s">
        <v>4002</v>
      </c>
      <c r="B1" t="s">
        <v>4004</v>
      </c>
      <c r="C1" t="s">
        <v>4005</v>
      </c>
    </row>
    <row r="2" spans="1:3" x14ac:dyDescent="0.2">
      <c r="A2" s="6" t="s">
        <v>28</v>
      </c>
      <c r="B2" s="8">
        <v>34</v>
      </c>
      <c r="C2" s="8">
        <v>830</v>
      </c>
    </row>
    <row r="3" spans="1:3" x14ac:dyDescent="0.2">
      <c r="A3" s="7" t="s">
        <v>43</v>
      </c>
      <c r="B3" s="8">
        <v>1</v>
      </c>
      <c r="C3" s="8">
        <v>10</v>
      </c>
    </row>
    <row r="4" spans="1:3" x14ac:dyDescent="0.2">
      <c r="A4" s="7" t="s">
        <v>52</v>
      </c>
      <c r="B4" s="8">
        <v>1</v>
      </c>
      <c r="C4" s="8">
        <v>18</v>
      </c>
    </row>
    <row r="5" spans="1:3" x14ac:dyDescent="0.2">
      <c r="A5" s="7" t="s">
        <v>74</v>
      </c>
      <c r="B5" s="8">
        <v>6</v>
      </c>
      <c r="C5" s="8">
        <v>202</v>
      </c>
    </row>
    <row r="6" spans="1:3" x14ac:dyDescent="0.2">
      <c r="A6" s="7" t="s">
        <v>103</v>
      </c>
      <c r="B6" s="8">
        <v>1</v>
      </c>
      <c r="C6" s="8">
        <v>17</v>
      </c>
    </row>
    <row r="7" spans="1:3" x14ac:dyDescent="0.2">
      <c r="A7" s="7" t="s">
        <v>29</v>
      </c>
      <c r="B7" s="8">
        <v>11</v>
      </c>
      <c r="C7" s="8">
        <v>231</v>
      </c>
    </row>
    <row r="8" spans="1:3" x14ac:dyDescent="0.2">
      <c r="A8" s="7" t="s">
        <v>224</v>
      </c>
      <c r="B8" s="8">
        <v>1</v>
      </c>
      <c r="C8" s="8">
        <v>14</v>
      </c>
    </row>
    <row r="9" spans="1:3" x14ac:dyDescent="0.2">
      <c r="A9" s="7" t="s">
        <v>116</v>
      </c>
      <c r="B9" s="8">
        <v>3</v>
      </c>
      <c r="C9" s="8">
        <v>124</v>
      </c>
    </row>
    <row r="10" spans="1:3" x14ac:dyDescent="0.2">
      <c r="A10" s="7" t="s">
        <v>96</v>
      </c>
      <c r="B10" s="8">
        <v>10</v>
      </c>
      <c r="C10" s="8">
        <v>214</v>
      </c>
    </row>
    <row r="11" spans="1:3" x14ac:dyDescent="0.2">
      <c r="A11" s="6" t="s">
        <v>230</v>
      </c>
      <c r="B11" s="8">
        <v>54</v>
      </c>
      <c r="C11" s="8">
        <v>2022</v>
      </c>
    </row>
    <row r="12" spans="1:3" x14ac:dyDescent="0.2">
      <c r="A12" s="7" t="s">
        <v>437</v>
      </c>
      <c r="B12" s="8">
        <v>1</v>
      </c>
      <c r="C12" s="8">
        <v>36</v>
      </c>
    </row>
    <row r="13" spans="1:3" x14ac:dyDescent="0.2">
      <c r="A13" s="7" t="s">
        <v>231</v>
      </c>
      <c r="B13" s="8">
        <v>11</v>
      </c>
      <c r="C13" s="8">
        <v>416</v>
      </c>
    </row>
    <row r="14" spans="1:3" x14ac:dyDescent="0.2">
      <c r="A14" s="7" t="s">
        <v>69</v>
      </c>
      <c r="B14" s="8">
        <v>12</v>
      </c>
      <c r="C14" s="8">
        <v>343</v>
      </c>
    </row>
    <row r="15" spans="1:3" x14ac:dyDescent="0.2">
      <c r="A15" s="7" t="s">
        <v>249</v>
      </c>
      <c r="B15" s="8">
        <v>6</v>
      </c>
      <c r="C15" s="8">
        <v>151</v>
      </c>
    </row>
    <row r="16" spans="1:3" x14ac:dyDescent="0.2">
      <c r="A16" s="7" t="s">
        <v>335</v>
      </c>
      <c r="B16" s="8">
        <v>6</v>
      </c>
      <c r="C16" s="8">
        <v>332</v>
      </c>
    </row>
    <row r="17" spans="1:3" x14ac:dyDescent="0.2">
      <c r="A17" s="7" t="s">
        <v>388</v>
      </c>
      <c r="B17" s="8">
        <v>4</v>
      </c>
      <c r="C17" s="8">
        <v>229</v>
      </c>
    </row>
    <row r="18" spans="1:3" x14ac:dyDescent="0.2">
      <c r="A18" s="7" t="s">
        <v>294</v>
      </c>
      <c r="B18" s="8">
        <v>7</v>
      </c>
      <c r="C18" s="8">
        <v>244</v>
      </c>
    </row>
    <row r="19" spans="1:3" x14ac:dyDescent="0.2">
      <c r="A19" s="7" t="s">
        <v>243</v>
      </c>
      <c r="B19" s="8">
        <v>7</v>
      </c>
      <c r="C19" s="8">
        <v>271</v>
      </c>
    </row>
    <row r="20" spans="1:3" x14ac:dyDescent="0.2">
      <c r="A20" s="6" t="s">
        <v>522</v>
      </c>
      <c r="B20" s="8">
        <v>54</v>
      </c>
      <c r="C20" s="8">
        <v>3282</v>
      </c>
    </row>
    <row r="21" spans="1:3" x14ac:dyDescent="0.2">
      <c r="A21" s="7" t="s">
        <v>555</v>
      </c>
      <c r="B21" s="8">
        <v>18</v>
      </c>
      <c r="C21" s="8">
        <v>2104</v>
      </c>
    </row>
    <row r="22" spans="1:3" x14ac:dyDescent="0.2">
      <c r="A22" s="7" t="s">
        <v>523</v>
      </c>
      <c r="B22" s="8">
        <v>36</v>
      </c>
      <c r="C22" s="8">
        <v>1178</v>
      </c>
    </row>
    <row r="23" spans="1:3" x14ac:dyDescent="0.2">
      <c r="A23" s="6" t="s">
        <v>813</v>
      </c>
      <c r="B23" s="8">
        <v>143</v>
      </c>
      <c r="C23" s="8">
        <v>6163</v>
      </c>
    </row>
    <row r="24" spans="1:3" x14ac:dyDescent="0.2">
      <c r="A24" s="7" t="s">
        <v>837</v>
      </c>
      <c r="B24" s="8">
        <v>22</v>
      </c>
      <c r="C24" s="8">
        <v>1306</v>
      </c>
    </row>
    <row r="25" spans="1:3" x14ac:dyDescent="0.2">
      <c r="A25" s="7" t="s">
        <v>897</v>
      </c>
      <c r="B25" s="8">
        <v>8</v>
      </c>
      <c r="C25" s="8">
        <v>303</v>
      </c>
    </row>
    <row r="26" spans="1:3" x14ac:dyDescent="0.2">
      <c r="A26" s="7" t="s">
        <v>875</v>
      </c>
      <c r="B26" s="8">
        <v>11</v>
      </c>
      <c r="C26" s="8">
        <v>293</v>
      </c>
    </row>
    <row r="27" spans="1:3" x14ac:dyDescent="0.2">
      <c r="A27" s="7" t="s">
        <v>919</v>
      </c>
      <c r="B27" s="8">
        <v>11</v>
      </c>
      <c r="C27" s="8">
        <v>370</v>
      </c>
    </row>
    <row r="28" spans="1:3" x14ac:dyDescent="0.2">
      <c r="A28" s="7" t="s">
        <v>827</v>
      </c>
      <c r="B28" s="8">
        <v>10</v>
      </c>
      <c r="C28" s="8">
        <v>426</v>
      </c>
    </row>
    <row r="29" spans="1:3" x14ac:dyDescent="0.2">
      <c r="A29" s="7" t="s">
        <v>814</v>
      </c>
      <c r="B29" s="8">
        <v>28</v>
      </c>
      <c r="C29" s="8">
        <v>1529</v>
      </c>
    </row>
    <row r="30" spans="1:3" x14ac:dyDescent="0.2">
      <c r="A30" s="7" t="s">
        <v>912</v>
      </c>
      <c r="B30" s="8">
        <v>11</v>
      </c>
      <c r="C30" s="8">
        <v>496</v>
      </c>
    </row>
    <row r="31" spans="1:3" x14ac:dyDescent="0.2">
      <c r="A31" s="7" t="s">
        <v>842</v>
      </c>
      <c r="B31" s="8">
        <v>15</v>
      </c>
      <c r="C31" s="8">
        <v>565</v>
      </c>
    </row>
    <row r="32" spans="1:3" x14ac:dyDescent="0.2">
      <c r="A32" s="7" t="s">
        <v>942</v>
      </c>
      <c r="B32" s="8">
        <v>8</v>
      </c>
      <c r="C32" s="8">
        <v>206</v>
      </c>
    </row>
    <row r="33" spans="1:3" x14ac:dyDescent="0.2">
      <c r="A33" s="7" t="s">
        <v>852</v>
      </c>
      <c r="B33" s="8">
        <v>10</v>
      </c>
      <c r="C33" s="8">
        <v>315</v>
      </c>
    </row>
    <row r="34" spans="1:3" x14ac:dyDescent="0.2">
      <c r="A34" s="7" t="s">
        <v>1147</v>
      </c>
      <c r="B34" s="8">
        <v>9</v>
      </c>
      <c r="C34" s="8">
        <v>354</v>
      </c>
    </row>
    <row r="35" spans="1:3" x14ac:dyDescent="0.2">
      <c r="A35" s="6" t="s">
        <v>1553</v>
      </c>
      <c r="B35" s="8">
        <v>107</v>
      </c>
      <c r="C35" s="8">
        <v>3970</v>
      </c>
    </row>
    <row r="36" spans="1:3" x14ac:dyDescent="0.2">
      <c r="A36" s="7" t="s">
        <v>1564</v>
      </c>
      <c r="B36" s="8">
        <v>8</v>
      </c>
      <c r="C36" s="8">
        <v>183</v>
      </c>
    </row>
    <row r="37" spans="1:3" x14ac:dyDescent="0.2">
      <c r="A37" s="7" t="s">
        <v>1666</v>
      </c>
      <c r="B37" s="8">
        <v>11</v>
      </c>
      <c r="C37" s="8">
        <v>432</v>
      </c>
    </row>
    <row r="38" spans="1:3" x14ac:dyDescent="0.2">
      <c r="A38" s="7" t="s">
        <v>1593</v>
      </c>
      <c r="B38" s="8">
        <v>20</v>
      </c>
      <c r="C38" s="8">
        <v>694</v>
      </c>
    </row>
    <row r="39" spans="1:3" x14ac:dyDescent="0.2">
      <c r="A39" s="7" t="s">
        <v>566</v>
      </c>
      <c r="B39" s="8">
        <v>11</v>
      </c>
      <c r="C39" s="8">
        <v>244</v>
      </c>
    </row>
    <row r="40" spans="1:3" x14ac:dyDescent="0.2">
      <c r="A40" s="7" t="s">
        <v>1800</v>
      </c>
      <c r="B40" s="8">
        <v>1</v>
      </c>
      <c r="C40" s="8">
        <v>4</v>
      </c>
    </row>
    <row r="41" spans="1:3" x14ac:dyDescent="0.2">
      <c r="A41" s="7" t="s">
        <v>1601</v>
      </c>
      <c r="B41" s="8">
        <v>4</v>
      </c>
      <c r="C41" s="8">
        <v>40</v>
      </c>
    </row>
    <row r="42" spans="1:3" x14ac:dyDescent="0.2">
      <c r="A42" s="7" t="s">
        <v>1587</v>
      </c>
      <c r="B42" s="8">
        <v>13</v>
      </c>
      <c r="C42" s="8">
        <v>486</v>
      </c>
    </row>
    <row r="43" spans="1:3" x14ac:dyDescent="0.2">
      <c r="A43" s="7" t="s">
        <v>1719</v>
      </c>
      <c r="B43" s="8">
        <v>5</v>
      </c>
      <c r="C43" s="8">
        <v>242</v>
      </c>
    </row>
    <row r="44" spans="1:3" x14ac:dyDescent="0.2">
      <c r="A44" s="7" t="s">
        <v>1682</v>
      </c>
      <c r="B44" s="8">
        <v>6</v>
      </c>
      <c r="C44" s="8">
        <v>109</v>
      </c>
    </row>
    <row r="45" spans="1:3" x14ac:dyDescent="0.2">
      <c r="A45" s="7" t="s">
        <v>1657</v>
      </c>
      <c r="B45" s="8">
        <v>28</v>
      </c>
      <c r="C45" s="8">
        <v>1536</v>
      </c>
    </row>
    <row r="46" spans="1:3" x14ac:dyDescent="0.2">
      <c r="A46" s="6" t="s">
        <v>2096</v>
      </c>
      <c r="B46" s="8">
        <v>77</v>
      </c>
      <c r="C46" s="8">
        <v>3326</v>
      </c>
    </row>
    <row r="47" spans="1:3" x14ac:dyDescent="0.2">
      <c r="A47" s="7" t="s">
        <v>2141</v>
      </c>
      <c r="B47" s="8">
        <v>9</v>
      </c>
      <c r="C47" s="8">
        <v>369</v>
      </c>
    </row>
    <row r="48" spans="1:3" x14ac:dyDescent="0.2">
      <c r="A48" s="7" t="s">
        <v>2324</v>
      </c>
      <c r="B48" s="8">
        <v>9</v>
      </c>
      <c r="C48" s="8">
        <v>425</v>
      </c>
    </row>
    <row r="49" spans="1:3" x14ac:dyDescent="0.2">
      <c r="A49" s="7" t="s">
        <v>2174</v>
      </c>
      <c r="B49" s="8">
        <v>3</v>
      </c>
      <c r="C49" s="8">
        <v>209</v>
      </c>
    </row>
    <row r="50" spans="1:3" x14ac:dyDescent="0.2">
      <c r="A50" s="7" t="s">
        <v>2107</v>
      </c>
      <c r="B50" s="8">
        <v>12</v>
      </c>
      <c r="C50" s="8">
        <v>685</v>
      </c>
    </row>
    <row r="51" spans="1:3" x14ac:dyDescent="0.2">
      <c r="A51" s="7" t="s">
        <v>447</v>
      </c>
      <c r="B51" s="8">
        <v>14</v>
      </c>
      <c r="C51" s="8">
        <v>689</v>
      </c>
    </row>
    <row r="52" spans="1:3" x14ac:dyDescent="0.2">
      <c r="A52" s="7" t="s">
        <v>463</v>
      </c>
      <c r="B52" s="8">
        <v>8</v>
      </c>
      <c r="C52" s="8">
        <v>285</v>
      </c>
    </row>
    <row r="53" spans="1:3" x14ac:dyDescent="0.2">
      <c r="A53" s="7" t="s">
        <v>2182</v>
      </c>
      <c r="B53" s="8">
        <v>4</v>
      </c>
      <c r="C53" s="8">
        <v>247</v>
      </c>
    </row>
    <row r="54" spans="1:3" x14ac:dyDescent="0.2">
      <c r="A54" s="7" t="s">
        <v>2263</v>
      </c>
      <c r="B54" s="8">
        <v>4</v>
      </c>
      <c r="C54" s="8">
        <v>52</v>
      </c>
    </row>
    <row r="55" spans="1:3" x14ac:dyDescent="0.2">
      <c r="A55" s="7" t="s">
        <v>2097</v>
      </c>
      <c r="B55" s="8">
        <v>4</v>
      </c>
      <c r="C55" s="8">
        <v>147</v>
      </c>
    </row>
    <row r="56" spans="1:3" x14ac:dyDescent="0.2">
      <c r="A56" s="7" t="s">
        <v>2111</v>
      </c>
      <c r="B56" s="8">
        <v>9</v>
      </c>
      <c r="C56" s="8">
        <v>208</v>
      </c>
    </row>
    <row r="57" spans="1:3" x14ac:dyDescent="0.2">
      <c r="A57" s="7" t="s">
        <v>2392</v>
      </c>
      <c r="B57" s="8">
        <v>1</v>
      </c>
      <c r="C57" s="8">
        <v>10</v>
      </c>
    </row>
    <row r="58" spans="1:3" x14ac:dyDescent="0.2">
      <c r="A58" s="6" t="s">
        <v>2483</v>
      </c>
      <c r="B58" s="8">
        <v>84</v>
      </c>
      <c r="C58" s="8">
        <v>3348</v>
      </c>
    </row>
    <row r="59" spans="1:3" x14ac:dyDescent="0.2">
      <c r="A59" s="7" t="s">
        <v>2549</v>
      </c>
      <c r="B59" s="8">
        <v>7</v>
      </c>
      <c r="C59" s="8">
        <v>155</v>
      </c>
    </row>
    <row r="60" spans="1:3" x14ac:dyDescent="0.2">
      <c r="A60" s="7" t="s">
        <v>2751</v>
      </c>
      <c r="B60" s="8">
        <v>4</v>
      </c>
      <c r="C60" s="8">
        <v>278</v>
      </c>
    </row>
    <row r="61" spans="1:3" x14ac:dyDescent="0.2">
      <c r="A61" s="7" t="s">
        <v>2718</v>
      </c>
      <c r="B61" s="8">
        <v>6</v>
      </c>
      <c r="C61" s="8">
        <v>339</v>
      </c>
    </row>
    <row r="62" spans="1:3" x14ac:dyDescent="0.2">
      <c r="A62" s="7" t="s">
        <v>2484</v>
      </c>
      <c r="B62" s="8">
        <v>8</v>
      </c>
      <c r="C62" s="8">
        <v>395</v>
      </c>
    </row>
    <row r="63" spans="1:3" x14ac:dyDescent="0.2">
      <c r="A63" s="7" t="s">
        <v>2497</v>
      </c>
      <c r="B63" s="8">
        <v>30</v>
      </c>
      <c r="C63" s="8">
        <v>902</v>
      </c>
    </row>
    <row r="64" spans="1:3" x14ac:dyDescent="0.2">
      <c r="A64" s="7" t="s">
        <v>2835</v>
      </c>
      <c r="B64" s="8">
        <v>5</v>
      </c>
      <c r="C64" s="8">
        <v>187</v>
      </c>
    </row>
    <row r="65" spans="1:3" x14ac:dyDescent="0.2">
      <c r="A65" s="7" t="s">
        <v>2392</v>
      </c>
      <c r="B65" s="8">
        <v>3</v>
      </c>
      <c r="C65" s="8">
        <v>126</v>
      </c>
    </row>
    <row r="66" spans="1:3" x14ac:dyDescent="0.2">
      <c r="A66" s="7" t="s">
        <v>2509</v>
      </c>
      <c r="B66" s="8">
        <v>19</v>
      </c>
      <c r="C66" s="8">
        <v>769</v>
      </c>
    </row>
    <row r="67" spans="1:3" x14ac:dyDescent="0.2">
      <c r="A67" s="7" t="s">
        <v>2744</v>
      </c>
      <c r="B67" s="8">
        <v>2</v>
      </c>
      <c r="C67" s="8">
        <v>197</v>
      </c>
    </row>
    <row r="68" spans="1:3" x14ac:dyDescent="0.2">
      <c r="A68" s="6" t="s">
        <v>2928</v>
      </c>
      <c r="B68" s="8">
        <v>110</v>
      </c>
      <c r="C68" s="8">
        <v>3943</v>
      </c>
    </row>
    <row r="69" spans="1:3" x14ac:dyDescent="0.2">
      <c r="A69" s="7" t="s">
        <v>2939</v>
      </c>
      <c r="B69" s="8">
        <v>8</v>
      </c>
      <c r="C69" s="8">
        <v>317</v>
      </c>
    </row>
    <row r="70" spans="1:3" x14ac:dyDescent="0.2">
      <c r="A70" s="7" t="s">
        <v>437</v>
      </c>
      <c r="B70" s="8">
        <v>20</v>
      </c>
      <c r="C70" s="8">
        <v>616</v>
      </c>
    </row>
    <row r="71" spans="1:3" x14ac:dyDescent="0.2">
      <c r="A71" s="7" t="s">
        <v>3016</v>
      </c>
      <c r="B71" s="8">
        <v>11</v>
      </c>
      <c r="C71" s="8">
        <v>529</v>
      </c>
    </row>
    <row r="72" spans="1:3" x14ac:dyDescent="0.2">
      <c r="A72" s="7" t="s">
        <v>2950</v>
      </c>
      <c r="B72" s="8">
        <v>21</v>
      </c>
      <c r="C72" s="8">
        <v>866</v>
      </c>
    </row>
    <row r="73" spans="1:3" x14ac:dyDescent="0.2">
      <c r="A73" s="7" t="s">
        <v>741</v>
      </c>
      <c r="B73" s="8">
        <v>6</v>
      </c>
      <c r="C73" s="8">
        <v>313</v>
      </c>
    </row>
    <row r="74" spans="1:3" x14ac:dyDescent="0.2">
      <c r="A74" s="7" t="s">
        <v>3209</v>
      </c>
      <c r="B74" s="8">
        <v>5</v>
      </c>
      <c r="C74" s="8">
        <v>152</v>
      </c>
    </row>
    <row r="75" spans="1:3" x14ac:dyDescent="0.2">
      <c r="A75" s="7" t="s">
        <v>3078</v>
      </c>
      <c r="B75" s="8">
        <v>6</v>
      </c>
      <c r="C75" s="8">
        <v>160</v>
      </c>
    </row>
    <row r="76" spans="1:3" x14ac:dyDescent="0.2">
      <c r="A76" s="7" t="s">
        <v>3087</v>
      </c>
      <c r="B76" s="8">
        <v>7</v>
      </c>
      <c r="C76" s="8">
        <v>241</v>
      </c>
    </row>
    <row r="77" spans="1:3" x14ac:dyDescent="0.2">
      <c r="A77" s="7" t="s">
        <v>2929</v>
      </c>
      <c r="B77" s="8">
        <v>8</v>
      </c>
      <c r="C77" s="8">
        <v>163</v>
      </c>
    </row>
    <row r="78" spans="1:3" x14ac:dyDescent="0.2">
      <c r="A78" s="7" t="s">
        <v>3382</v>
      </c>
      <c r="B78" s="8">
        <v>6</v>
      </c>
      <c r="C78" s="8">
        <v>207</v>
      </c>
    </row>
    <row r="79" spans="1:3" x14ac:dyDescent="0.2">
      <c r="A79" s="7" t="s">
        <v>3129</v>
      </c>
      <c r="B79" s="8">
        <v>5</v>
      </c>
      <c r="C79" s="8">
        <v>97</v>
      </c>
    </row>
    <row r="80" spans="1:3" x14ac:dyDescent="0.2">
      <c r="A80" s="7" t="s">
        <v>2872</v>
      </c>
      <c r="B80" s="8">
        <v>7</v>
      </c>
      <c r="C80" s="8">
        <v>282</v>
      </c>
    </row>
    <row r="81" spans="1:3" x14ac:dyDescent="0.2">
      <c r="A81" s="6" t="s">
        <v>3465</v>
      </c>
      <c r="B81" s="8">
        <v>100</v>
      </c>
      <c r="C81" s="8">
        <v>4835</v>
      </c>
    </row>
    <row r="82" spans="1:3" x14ac:dyDescent="0.2">
      <c r="A82" s="7" t="s">
        <v>3520</v>
      </c>
      <c r="B82" s="8">
        <v>9</v>
      </c>
      <c r="C82" s="8">
        <v>575</v>
      </c>
    </row>
    <row r="83" spans="1:3" x14ac:dyDescent="0.2">
      <c r="A83" s="7" t="s">
        <v>3798</v>
      </c>
      <c r="B83" s="8">
        <v>2</v>
      </c>
      <c r="C83" s="8">
        <v>46</v>
      </c>
    </row>
    <row r="84" spans="1:3" x14ac:dyDescent="0.2">
      <c r="A84" s="7" t="s">
        <v>4001</v>
      </c>
      <c r="B84" s="8">
        <v>1</v>
      </c>
      <c r="C84" s="8">
        <v>33</v>
      </c>
    </row>
    <row r="85" spans="1:3" x14ac:dyDescent="0.2">
      <c r="A85" s="7" t="s">
        <v>90</v>
      </c>
      <c r="B85" s="8">
        <v>55</v>
      </c>
      <c r="C85" s="8">
        <v>2673</v>
      </c>
    </row>
    <row r="86" spans="1:3" x14ac:dyDescent="0.2">
      <c r="A86" s="7" t="s">
        <v>3762</v>
      </c>
      <c r="B86" s="8">
        <v>1</v>
      </c>
      <c r="C86" s="8">
        <v>27</v>
      </c>
    </row>
    <row r="87" spans="1:3" x14ac:dyDescent="0.2">
      <c r="A87" s="7" t="s">
        <v>3536</v>
      </c>
      <c r="B87" s="8">
        <v>5</v>
      </c>
      <c r="C87" s="8">
        <v>201</v>
      </c>
    </row>
    <row r="88" spans="1:3" x14ac:dyDescent="0.2">
      <c r="A88" s="7" t="s">
        <v>3995</v>
      </c>
      <c r="B88" s="8">
        <v>1</v>
      </c>
      <c r="C88" s="8">
        <v>18</v>
      </c>
    </row>
    <row r="89" spans="1:3" x14ac:dyDescent="0.2">
      <c r="A89" s="7" t="s">
        <v>3547</v>
      </c>
      <c r="B89" s="8">
        <v>7</v>
      </c>
      <c r="C89" s="8">
        <v>258</v>
      </c>
    </row>
    <row r="90" spans="1:3" x14ac:dyDescent="0.2">
      <c r="A90" s="7" t="s">
        <v>469</v>
      </c>
      <c r="B90" s="8">
        <v>14</v>
      </c>
      <c r="C90" s="8">
        <v>747</v>
      </c>
    </row>
    <row r="91" spans="1:3" x14ac:dyDescent="0.2">
      <c r="A91" s="7" t="s">
        <v>3506</v>
      </c>
      <c r="B91" s="8">
        <v>5</v>
      </c>
      <c r="C91" s="8">
        <v>257</v>
      </c>
    </row>
    <row r="92" spans="1:3" x14ac:dyDescent="0.2">
      <c r="A92" s="6" t="s">
        <v>4003</v>
      </c>
      <c r="B92" s="8">
        <v>763</v>
      </c>
      <c r="C92" s="8">
        <v>31719</v>
      </c>
    </row>
    <row r="98" spans="2:6" x14ac:dyDescent="0.2">
      <c r="B98">
        <v>13850</v>
      </c>
      <c r="C98">
        <v>18291</v>
      </c>
      <c r="D98">
        <v>24325</v>
      </c>
      <c r="E98">
        <v>28888</v>
      </c>
      <c r="F98">
        <v>31719</v>
      </c>
    </row>
    <row r="99" spans="2:6" x14ac:dyDescent="0.2">
      <c r="B99" s="26">
        <f>C98/B98</f>
        <v>1.3206498194945848</v>
      </c>
      <c r="C99" s="26">
        <f t="shared" ref="C99:E99" si="0">D98/C98</f>
        <v>1.3298890164561807</v>
      </c>
      <c r="D99" s="26">
        <f t="shared" si="0"/>
        <v>1.187584789311408</v>
      </c>
      <c r="E99" s="26">
        <f t="shared" si="0"/>
        <v>1.0979991692052062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60F9-5E5D-5744-ACD7-2E31F13382D4}">
  <dimension ref="A1:I93"/>
  <sheetViews>
    <sheetView topLeftCell="A14" workbookViewId="0">
      <selection activeCell="F93" sqref="F93"/>
    </sheetView>
  </sheetViews>
  <sheetFormatPr baseColWidth="10" defaultRowHeight="15" x14ac:dyDescent="0.2"/>
  <cols>
    <col min="1" max="1" width="38.5" bestFit="1" customWidth="1"/>
    <col min="3" max="3" width="10.5" customWidth="1"/>
    <col min="4" max="4" width="7.6640625" bestFit="1" customWidth="1"/>
    <col min="5" max="5" width="10.6640625" style="26" bestFit="1" customWidth="1"/>
    <col min="7" max="7" width="10.5" customWidth="1"/>
    <col min="8" max="8" width="7.6640625" bestFit="1" customWidth="1"/>
    <col min="9" max="9" width="10.6640625" bestFit="1" customWidth="1"/>
  </cols>
  <sheetData>
    <row r="1" spans="1:9" x14ac:dyDescent="0.2">
      <c r="A1" s="9" t="s">
        <v>4002</v>
      </c>
      <c r="B1" s="11">
        <v>2024</v>
      </c>
      <c r="C1" s="25">
        <v>2025</v>
      </c>
      <c r="D1" t="s">
        <v>11</v>
      </c>
      <c r="E1" s="26" t="s">
        <v>4007</v>
      </c>
      <c r="F1" s="19">
        <v>2024</v>
      </c>
      <c r="G1" s="12">
        <v>2025</v>
      </c>
      <c r="H1" t="s">
        <v>11</v>
      </c>
      <c r="I1" t="s">
        <v>4007</v>
      </c>
    </row>
    <row r="2" spans="1:9" x14ac:dyDescent="0.2">
      <c r="A2" s="10" t="s">
        <v>28</v>
      </c>
      <c r="B2" s="13">
        <f>SUM(B3:B10)</f>
        <v>27</v>
      </c>
      <c r="C2" s="13">
        <f>SUM(C3:C10)</f>
        <v>34</v>
      </c>
      <c r="D2">
        <f>C2-B2</f>
        <v>7</v>
      </c>
      <c r="E2" s="26">
        <f>D2/B2</f>
        <v>0.25925925925925924</v>
      </c>
      <c r="F2" s="13">
        <f>SUM(F3:F10)</f>
        <v>517</v>
      </c>
      <c r="G2" s="13">
        <f>SUM(G3:G10)</f>
        <v>830</v>
      </c>
      <c r="H2">
        <f>G2-F2</f>
        <v>313</v>
      </c>
      <c r="I2" s="26">
        <f>H2/F2</f>
        <v>0.60541586073500964</v>
      </c>
    </row>
    <row r="3" spans="1:9" x14ac:dyDescent="0.2">
      <c r="A3" t="s">
        <v>43</v>
      </c>
      <c r="B3" s="14">
        <v>3</v>
      </c>
      <c r="C3" s="20">
        <v>1</v>
      </c>
      <c r="D3">
        <f t="shared" ref="D3:D66" si="0">C3-B3</f>
        <v>-2</v>
      </c>
      <c r="E3" s="26">
        <f t="shared" ref="E3:E66" si="1">D3/B3</f>
        <v>-0.66666666666666663</v>
      </c>
      <c r="F3" s="20">
        <v>38</v>
      </c>
      <c r="G3" s="15">
        <v>10</v>
      </c>
      <c r="H3">
        <f t="shared" ref="H3:H66" si="2">G3-F3</f>
        <v>-28</v>
      </c>
      <c r="I3" s="26">
        <f t="shared" ref="I3:I66" si="3">H3/F3</f>
        <v>-0.73684210526315785</v>
      </c>
    </row>
    <row r="4" spans="1:9" x14ac:dyDescent="0.2">
      <c r="A4" t="s">
        <v>52</v>
      </c>
      <c r="B4" s="14">
        <v>1</v>
      </c>
      <c r="C4" s="20">
        <v>1</v>
      </c>
      <c r="D4">
        <f t="shared" si="0"/>
        <v>0</v>
      </c>
      <c r="E4" s="26">
        <f t="shared" si="1"/>
        <v>0</v>
      </c>
      <c r="F4" s="20">
        <v>18</v>
      </c>
      <c r="G4" s="15">
        <v>18</v>
      </c>
      <c r="H4">
        <f t="shared" si="2"/>
        <v>0</v>
      </c>
      <c r="I4" s="26">
        <f t="shared" si="3"/>
        <v>0</v>
      </c>
    </row>
    <row r="5" spans="1:9" x14ac:dyDescent="0.2">
      <c r="A5" t="s">
        <v>74</v>
      </c>
      <c r="B5" s="14">
        <v>3</v>
      </c>
      <c r="C5" s="20">
        <v>6</v>
      </c>
      <c r="D5">
        <f t="shared" si="0"/>
        <v>3</v>
      </c>
      <c r="E5" s="26">
        <f t="shared" si="1"/>
        <v>1</v>
      </c>
      <c r="F5" s="20">
        <v>128</v>
      </c>
      <c r="G5" s="15">
        <v>202</v>
      </c>
      <c r="H5">
        <f t="shared" si="2"/>
        <v>74</v>
      </c>
      <c r="I5" s="26">
        <f t="shared" si="3"/>
        <v>0.578125</v>
      </c>
    </row>
    <row r="6" spans="1:9" x14ac:dyDescent="0.2">
      <c r="A6" t="s">
        <v>103</v>
      </c>
      <c r="B6" s="14">
        <v>1</v>
      </c>
      <c r="C6" s="20">
        <v>1</v>
      </c>
      <c r="D6">
        <f t="shared" si="0"/>
        <v>0</v>
      </c>
      <c r="E6" s="26">
        <f t="shared" si="1"/>
        <v>0</v>
      </c>
      <c r="F6" s="20">
        <v>22</v>
      </c>
      <c r="G6" s="15">
        <v>17</v>
      </c>
      <c r="H6">
        <f t="shared" si="2"/>
        <v>-5</v>
      </c>
      <c r="I6" s="26">
        <f t="shared" si="3"/>
        <v>-0.22727272727272727</v>
      </c>
    </row>
    <row r="7" spans="1:9" x14ac:dyDescent="0.2">
      <c r="A7" t="s">
        <v>29</v>
      </c>
      <c r="B7" s="14">
        <v>7</v>
      </c>
      <c r="C7" s="20">
        <v>11</v>
      </c>
      <c r="D7">
        <f t="shared" si="0"/>
        <v>4</v>
      </c>
      <c r="E7" s="26">
        <f t="shared" si="1"/>
        <v>0.5714285714285714</v>
      </c>
      <c r="F7" s="20">
        <v>55</v>
      </c>
      <c r="G7" s="15">
        <v>231</v>
      </c>
      <c r="H7">
        <f t="shared" si="2"/>
        <v>176</v>
      </c>
      <c r="I7" s="26">
        <f t="shared" si="3"/>
        <v>3.2</v>
      </c>
    </row>
    <row r="8" spans="1:9" x14ac:dyDescent="0.2">
      <c r="A8" t="s">
        <v>224</v>
      </c>
      <c r="B8" s="14">
        <v>1</v>
      </c>
      <c r="C8" s="20">
        <v>1</v>
      </c>
      <c r="D8">
        <f t="shared" si="0"/>
        <v>0</v>
      </c>
      <c r="E8" s="26">
        <f t="shared" si="1"/>
        <v>0</v>
      </c>
      <c r="F8" s="20">
        <v>14</v>
      </c>
      <c r="G8" s="15">
        <v>14</v>
      </c>
      <c r="H8">
        <f t="shared" si="2"/>
        <v>0</v>
      </c>
      <c r="I8" s="26">
        <f t="shared" si="3"/>
        <v>0</v>
      </c>
    </row>
    <row r="9" spans="1:9" x14ac:dyDescent="0.2">
      <c r="A9" t="s">
        <v>116</v>
      </c>
      <c r="B9" s="14">
        <v>5</v>
      </c>
      <c r="C9" s="20">
        <v>3</v>
      </c>
      <c r="D9">
        <f t="shared" si="0"/>
        <v>-2</v>
      </c>
      <c r="E9" s="26">
        <f t="shared" si="1"/>
        <v>-0.4</v>
      </c>
      <c r="F9" s="20">
        <v>119</v>
      </c>
      <c r="G9" s="15">
        <v>124</v>
      </c>
      <c r="H9">
        <f t="shared" si="2"/>
        <v>5</v>
      </c>
      <c r="I9" s="26">
        <f t="shared" si="3"/>
        <v>4.2016806722689079E-2</v>
      </c>
    </row>
    <row r="10" spans="1:9" x14ac:dyDescent="0.2">
      <c r="A10" t="s">
        <v>96</v>
      </c>
      <c r="B10" s="14">
        <v>6</v>
      </c>
      <c r="C10" s="20">
        <v>10</v>
      </c>
      <c r="D10">
        <f t="shared" si="0"/>
        <v>4</v>
      </c>
      <c r="E10" s="26">
        <f t="shared" si="1"/>
        <v>0.66666666666666663</v>
      </c>
      <c r="F10" s="20">
        <v>123</v>
      </c>
      <c r="G10" s="15">
        <v>214</v>
      </c>
      <c r="H10">
        <f t="shared" si="2"/>
        <v>91</v>
      </c>
      <c r="I10" s="26">
        <f t="shared" si="3"/>
        <v>0.73983739837398377</v>
      </c>
    </row>
    <row r="11" spans="1:9" x14ac:dyDescent="0.2">
      <c r="A11" s="10" t="s">
        <v>230</v>
      </c>
      <c r="B11" s="13">
        <f>SUM(B12:B19)</f>
        <v>48</v>
      </c>
      <c r="C11" s="13">
        <f>SUM(C12:C19)</f>
        <v>54</v>
      </c>
      <c r="D11">
        <f t="shared" si="0"/>
        <v>6</v>
      </c>
      <c r="E11" s="26">
        <f t="shared" si="1"/>
        <v>0.125</v>
      </c>
      <c r="F11" s="13">
        <f>SUM(F12:F19)</f>
        <v>1514</v>
      </c>
      <c r="G11" s="13">
        <f>SUM(G12:G19)</f>
        <v>2022</v>
      </c>
      <c r="H11">
        <f t="shared" si="2"/>
        <v>508</v>
      </c>
      <c r="I11" s="26">
        <f t="shared" si="3"/>
        <v>0.33553500660501984</v>
      </c>
    </row>
    <row r="12" spans="1:9" x14ac:dyDescent="0.2">
      <c r="A12" t="s">
        <v>437</v>
      </c>
      <c r="B12" s="14">
        <v>0</v>
      </c>
      <c r="C12" s="20">
        <v>1</v>
      </c>
      <c r="D12">
        <f t="shared" si="0"/>
        <v>1</v>
      </c>
      <c r="F12" s="20">
        <v>0</v>
      </c>
      <c r="G12" s="15">
        <v>36</v>
      </c>
      <c r="H12">
        <f t="shared" si="2"/>
        <v>36</v>
      </c>
      <c r="I12" s="26"/>
    </row>
    <row r="13" spans="1:9" x14ac:dyDescent="0.2">
      <c r="A13" t="s">
        <v>231</v>
      </c>
      <c r="B13" s="14">
        <v>12</v>
      </c>
      <c r="C13" s="20">
        <v>11</v>
      </c>
      <c r="D13">
        <f t="shared" si="0"/>
        <v>-1</v>
      </c>
      <c r="E13" s="26">
        <f t="shared" si="1"/>
        <v>-8.3333333333333329E-2</v>
      </c>
      <c r="F13" s="20">
        <v>349</v>
      </c>
      <c r="G13" s="15">
        <v>416</v>
      </c>
      <c r="H13">
        <f t="shared" si="2"/>
        <v>67</v>
      </c>
      <c r="I13" s="26">
        <f t="shared" si="3"/>
        <v>0.19197707736389685</v>
      </c>
    </row>
    <row r="14" spans="1:9" x14ac:dyDescent="0.2">
      <c r="A14" t="s">
        <v>69</v>
      </c>
      <c r="B14" s="14">
        <v>6</v>
      </c>
      <c r="C14" s="20">
        <v>12</v>
      </c>
      <c r="D14">
        <f t="shared" si="0"/>
        <v>6</v>
      </c>
      <c r="E14" s="26">
        <f t="shared" si="1"/>
        <v>1</v>
      </c>
      <c r="F14" s="20">
        <v>241</v>
      </c>
      <c r="G14" s="15">
        <v>343</v>
      </c>
      <c r="H14">
        <f t="shared" si="2"/>
        <v>102</v>
      </c>
      <c r="I14" s="26">
        <f t="shared" si="3"/>
        <v>0.42323651452282157</v>
      </c>
    </row>
    <row r="15" spans="1:9" x14ac:dyDescent="0.2">
      <c r="A15" t="s">
        <v>249</v>
      </c>
      <c r="B15" s="14">
        <v>6</v>
      </c>
      <c r="C15" s="20">
        <v>6</v>
      </c>
      <c r="D15">
        <f t="shared" si="0"/>
        <v>0</v>
      </c>
      <c r="E15" s="26">
        <f t="shared" si="1"/>
        <v>0</v>
      </c>
      <c r="F15" s="20">
        <v>134</v>
      </c>
      <c r="G15" s="15">
        <v>151</v>
      </c>
      <c r="H15">
        <f t="shared" si="2"/>
        <v>17</v>
      </c>
      <c r="I15" s="26">
        <f t="shared" si="3"/>
        <v>0.12686567164179105</v>
      </c>
    </row>
    <row r="16" spans="1:9" x14ac:dyDescent="0.2">
      <c r="A16" t="s">
        <v>335</v>
      </c>
      <c r="B16" s="14">
        <v>6</v>
      </c>
      <c r="C16" s="20">
        <v>6</v>
      </c>
      <c r="D16">
        <f t="shared" si="0"/>
        <v>0</v>
      </c>
      <c r="E16" s="26">
        <f t="shared" si="1"/>
        <v>0</v>
      </c>
      <c r="F16" s="20">
        <v>248</v>
      </c>
      <c r="G16" s="15">
        <v>332</v>
      </c>
      <c r="H16">
        <f t="shared" si="2"/>
        <v>84</v>
      </c>
      <c r="I16" s="26">
        <f t="shared" si="3"/>
        <v>0.33870967741935482</v>
      </c>
    </row>
    <row r="17" spans="1:9" x14ac:dyDescent="0.2">
      <c r="A17" t="s">
        <v>388</v>
      </c>
      <c r="B17" s="14">
        <v>2</v>
      </c>
      <c r="C17" s="20">
        <v>4</v>
      </c>
      <c r="D17">
        <f t="shared" si="0"/>
        <v>2</v>
      </c>
      <c r="E17" s="26">
        <f t="shared" si="1"/>
        <v>1</v>
      </c>
      <c r="F17" s="20">
        <v>123</v>
      </c>
      <c r="G17" s="15">
        <v>229</v>
      </c>
      <c r="H17">
        <f t="shared" si="2"/>
        <v>106</v>
      </c>
      <c r="I17" s="26">
        <f t="shared" si="3"/>
        <v>0.86178861788617889</v>
      </c>
    </row>
    <row r="18" spans="1:9" x14ac:dyDescent="0.2">
      <c r="A18" t="s">
        <v>294</v>
      </c>
      <c r="B18" s="14">
        <v>8</v>
      </c>
      <c r="C18" s="20">
        <v>7</v>
      </c>
      <c r="D18">
        <f t="shared" si="0"/>
        <v>-1</v>
      </c>
      <c r="E18" s="26">
        <f t="shared" si="1"/>
        <v>-0.125</v>
      </c>
      <c r="F18" s="20">
        <v>162</v>
      </c>
      <c r="G18" s="15">
        <v>244</v>
      </c>
      <c r="H18">
        <f t="shared" si="2"/>
        <v>82</v>
      </c>
      <c r="I18" s="26">
        <f t="shared" si="3"/>
        <v>0.50617283950617287</v>
      </c>
    </row>
    <row r="19" spans="1:9" x14ac:dyDescent="0.2">
      <c r="A19" t="s">
        <v>243</v>
      </c>
      <c r="B19" s="14">
        <v>8</v>
      </c>
      <c r="C19" s="20">
        <v>7</v>
      </c>
      <c r="D19">
        <f t="shared" si="0"/>
        <v>-1</v>
      </c>
      <c r="E19" s="26">
        <f t="shared" si="1"/>
        <v>-0.125</v>
      </c>
      <c r="F19" s="20">
        <v>257</v>
      </c>
      <c r="G19" s="15">
        <v>271</v>
      </c>
      <c r="H19">
        <f t="shared" si="2"/>
        <v>14</v>
      </c>
      <c r="I19" s="26">
        <f t="shared" si="3"/>
        <v>5.4474708171206226E-2</v>
      </c>
    </row>
    <row r="20" spans="1:9" x14ac:dyDescent="0.2">
      <c r="A20" s="10" t="s">
        <v>522</v>
      </c>
      <c r="B20" s="13">
        <f>B21+B22</f>
        <v>49</v>
      </c>
      <c r="C20" s="13">
        <f>C21+C22</f>
        <v>54</v>
      </c>
      <c r="D20">
        <f t="shared" si="0"/>
        <v>5</v>
      </c>
      <c r="E20" s="26">
        <f t="shared" si="1"/>
        <v>0.10204081632653061</v>
      </c>
      <c r="F20" s="13">
        <f>F21+F22</f>
        <v>3151</v>
      </c>
      <c r="G20" s="13">
        <f>G21+G22</f>
        <v>3282</v>
      </c>
      <c r="H20">
        <f t="shared" si="2"/>
        <v>131</v>
      </c>
      <c r="I20" s="26">
        <f t="shared" si="3"/>
        <v>4.1574103459219296E-2</v>
      </c>
    </row>
    <row r="21" spans="1:9" x14ac:dyDescent="0.2">
      <c r="A21" t="s">
        <v>555</v>
      </c>
      <c r="B21" s="17">
        <v>14</v>
      </c>
      <c r="C21" s="20">
        <v>18</v>
      </c>
      <c r="D21">
        <f t="shared" si="0"/>
        <v>4</v>
      </c>
      <c r="E21" s="26">
        <f t="shared" si="1"/>
        <v>0.2857142857142857</v>
      </c>
      <c r="F21" s="22">
        <v>1812</v>
      </c>
      <c r="G21" s="15">
        <v>2104</v>
      </c>
      <c r="H21">
        <f t="shared" si="2"/>
        <v>292</v>
      </c>
      <c r="I21" s="26">
        <f t="shared" si="3"/>
        <v>0.16114790286975716</v>
      </c>
    </row>
    <row r="22" spans="1:9" ht="16" x14ac:dyDescent="0.2">
      <c r="A22" t="s">
        <v>523</v>
      </c>
      <c r="B22" s="18">
        <v>35</v>
      </c>
      <c r="C22" s="20">
        <v>36</v>
      </c>
      <c r="D22">
        <f t="shared" si="0"/>
        <v>1</v>
      </c>
      <c r="E22" s="26">
        <f t="shared" si="1"/>
        <v>2.8571428571428571E-2</v>
      </c>
      <c r="F22" s="23">
        <v>1339</v>
      </c>
      <c r="G22" s="15">
        <v>1178</v>
      </c>
      <c r="H22">
        <f t="shared" si="2"/>
        <v>-161</v>
      </c>
      <c r="I22" s="26">
        <f t="shared" si="3"/>
        <v>-0.12023898431665422</v>
      </c>
    </row>
    <row r="23" spans="1:9" x14ac:dyDescent="0.2">
      <c r="A23" s="10" t="s">
        <v>813</v>
      </c>
      <c r="B23" s="13">
        <f>SUM(B24:B34)</f>
        <v>133</v>
      </c>
      <c r="C23" s="13">
        <f>SUM(C24:C34)</f>
        <v>143</v>
      </c>
      <c r="D23">
        <f t="shared" si="0"/>
        <v>10</v>
      </c>
      <c r="E23" s="26">
        <f t="shared" si="1"/>
        <v>7.5187969924812026E-2</v>
      </c>
      <c r="F23" s="13">
        <f>SUM(F24:F34)</f>
        <v>5254</v>
      </c>
      <c r="G23" s="13">
        <f>SUM(G24:G34)</f>
        <v>6163</v>
      </c>
      <c r="H23">
        <f t="shared" si="2"/>
        <v>909</v>
      </c>
      <c r="I23" s="26">
        <f t="shared" si="3"/>
        <v>0.17301103920822231</v>
      </c>
    </row>
    <row r="24" spans="1:9" x14ac:dyDescent="0.2">
      <c r="A24" t="s">
        <v>837</v>
      </c>
      <c r="B24" s="14">
        <v>19</v>
      </c>
      <c r="C24" s="20">
        <v>22</v>
      </c>
      <c r="D24">
        <f t="shared" si="0"/>
        <v>3</v>
      </c>
      <c r="E24" s="26">
        <f t="shared" si="1"/>
        <v>0.15789473684210525</v>
      </c>
      <c r="F24" s="20">
        <v>1088</v>
      </c>
      <c r="G24" s="15">
        <v>1306</v>
      </c>
      <c r="H24">
        <f t="shared" si="2"/>
        <v>218</v>
      </c>
      <c r="I24" s="26">
        <f t="shared" si="3"/>
        <v>0.20036764705882354</v>
      </c>
    </row>
    <row r="25" spans="1:9" x14ac:dyDescent="0.2">
      <c r="A25" t="s">
        <v>897</v>
      </c>
      <c r="B25" s="14">
        <v>5</v>
      </c>
      <c r="C25" s="20">
        <v>8</v>
      </c>
      <c r="D25">
        <f t="shared" si="0"/>
        <v>3</v>
      </c>
      <c r="E25" s="26">
        <f t="shared" si="1"/>
        <v>0.6</v>
      </c>
      <c r="F25" s="20">
        <v>247</v>
      </c>
      <c r="G25" s="15">
        <v>303</v>
      </c>
      <c r="H25">
        <f t="shared" si="2"/>
        <v>56</v>
      </c>
      <c r="I25" s="26">
        <f t="shared" si="3"/>
        <v>0.22672064777327935</v>
      </c>
    </row>
    <row r="26" spans="1:9" x14ac:dyDescent="0.2">
      <c r="A26" t="s">
        <v>875</v>
      </c>
      <c r="B26" s="14">
        <v>8</v>
      </c>
      <c r="C26" s="20">
        <v>11</v>
      </c>
      <c r="D26">
        <f t="shared" si="0"/>
        <v>3</v>
      </c>
      <c r="E26" s="26">
        <f t="shared" si="1"/>
        <v>0.375</v>
      </c>
      <c r="F26" s="20">
        <v>263</v>
      </c>
      <c r="G26" s="15">
        <v>293</v>
      </c>
      <c r="H26">
        <f t="shared" si="2"/>
        <v>30</v>
      </c>
      <c r="I26" s="26">
        <f t="shared" si="3"/>
        <v>0.11406844106463879</v>
      </c>
    </row>
    <row r="27" spans="1:9" x14ac:dyDescent="0.2">
      <c r="A27" t="s">
        <v>919</v>
      </c>
      <c r="B27" s="14">
        <v>9</v>
      </c>
      <c r="C27" s="20">
        <v>11</v>
      </c>
      <c r="D27">
        <f t="shared" si="0"/>
        <v>2</v>
      </c>
      <c r="E27" s="26">
        <f t="shared" si="1"/>
        <v>0.22222222222222221</v>
      </c>
      <c r="F27" s="20">
        <v>275</v>
      </c>
      <c r="G27" s="15">
        <v>370</v>
      </c>
      <c r="H27">
        <f t="shared" si="2"/>
        <v>95</v>
      </c>
      <c r="I27" s="26">
        <f t="shared" si="3"/>
        <v>0.34545454545454546</v>
      </c>
    </row>
    <row r="28" spans="1:9" x14ac:dyDescent="0.2">
      <c r="A28" t="s">
        <v>827</v>
      </c>
      <c r="B28" s="14">
        <v>10</v>
      </c>
      <c r="C28" s="20">
        <v>10</v>
      </c>
      <c r="D28">
        <f t="shared" si="0"/>
        <v>0</v>
      </c>
      <c r="E28" s="26">
        <f t="shared" si="1"/>
        <v>0</v>
      </c>
      <c r="F28" s="20">
        <v>435</v>
      </c>
      <c r="G28" s="15">
        <v>426</v>
      </c>
      <c r="H28">
        <f t="shared" si="2"/>
        <v>-9</v>
      </c>
      <c r="I28" s="26">
        <f t="shared" si="3"/>
        <v>-2.0689655172413793E-2</v>
      </c>
    </row>
    <row r="29" spans="1:9" x14ac:dyDescent="0.2">
      <c r="A29" t="s">
        <v>814</v>
      </c>
      <c r="B29" s="14">
        <v>26</v>
      </c>
      <c r="C29" s="20">
        <v>28</v>
      </c>
      <c r="D29">
        <f t="shared" si="0"/>
        <v>2</v>
      </c>
      <c r="E29" s="26">
        <f t="shared" si="1"/>
        <v>7.6923076923076927E-2</v>
      </c>
      <c r="F29" s="20">
        <v>1147</v>
      </c>
      <c r="G29" s="15">
        <v>1529</v>
      </c>
      <c r="H29">
        <f t="shared" si="2"/>
        <v>382</v>
      </c>
      <c r="I29" s="26">
        <f t="shared" si="3"/>
        <v>0.33304272013949432</v>
      </c>
    </row>
    <row r="30" spans="1:9" x14ac:dyDescent="0.2">
      <c r="A30" t="s">
        <v>912</v>
      </c>
      <c r="B30" s="14">
        <v>14</v>
      </c>
      <c r="C30" s="20">
        <v>11</v>
      </c>
      <c r="D30">
        <f t="shared" si="0"/>
        <v>-3</v>
      </c>
      <c r="E30" s="26">
        <f t="shared" si="1"/>
        <v>-0.21428571428571427</v>
      </c>
      <c r="F30" s="20">
        <v>541</v>
      </c>
      <c r="G30" s="15">
        <v>496</v>
      </c>
      <c r="H30">
        <f t="shared" si="2"/>
        <v>-45</v>
      </c>
      <c r="I30" s="26">
        <f t="shared" si="3"/>
        <v>-8.3179297597042512E-2</v>
      </c>
    </row>
    <row r="31" spans="1:9" x14ac:dyDescent="0.2">
      <c r="A31" t="s">
        <v>842</v>
      </c>
      <c r="B31" s="14">
        <v>11</v>
      </c>
      <c r="C31" s="20">
        <v>15</v>
      </c>
      <c r="D31">
        <f t="shared" si="0"/>
        <v>4</v>
      </c>
      <c r="E31" s="26">
        <f t="shared" si="1"/>
        <v>0.36363636363636365</v>
      </c>
      <c r="F31" s="20">
        <v>405</v>
      </c>
      <c r="G31" s="15">
        <v>565</v>
      </c>
      <c r="H31">
        <f t="shared" si="2"/>
        <v>160</v>
      </c>
      <c r="I31" s="26">
        <f t="shared" si="3"/>
        <v>0.39506172839506171</v>
      </c>
    </row>
    <row r="32" spans="1:9" x14ac:dyDescent="0.2">
      <c r="A32" t="s">
        <v>942</v>
      </c>
      <c r="B32" s="14">
        <v>12</v>
      </c>
      <c r="C32" s="20">
        <v>8</v>
      </c>
      <c r="D32">
        <f t="shared" si="0"/>
        <v>-4</v>
      </c>
      <c r="E32" s="26">
        <f t="shared" si="1"/>
        <v>-0.33333333333333331</v>
      </c>
      <c r="F32" s="20">
        <v>234</v>
      </c>
      <c r="G32" s="15">
        <v>206</v>
      </c>
      <c r="H32">
        <f t="shared" si="2"/>
        <v>-28</v>
      </c>
      <c r="I32" s="26">
        <f t="shared" si="3"/>
        <v>-0.11965811965811966</v>
      </c>
    </row>
    <row r="33" spans="1:9" x14ac:dyDescent="0.2">
      <c r="A33" t="s">
        <v>852</v>
      </c>
      <c r="B33" s="14">
        <v>10</v>
      </c>
      <c r="C33" s="20">
        <v>10</v>
      </c>
      <c r="D33">
        <f t="shared" si="0"/>
        <v>0</v>
      </c>
      <c r="E33" s="26">
        <f t="shared" si="1"/>
        <v>0</v>
      </c>
      <c r="F33" s="20">
        <v>308</v>
      </c>
      <c r="G33" s="15">
        <v>315</v>
      </c>
      <c r="H33">
        <f t="shared" si="2"/>
        <v>7</v>
      </c>
      <c r="I33" s="26">
        <f t="shared" si="3"/>
        <v>2.2727272727272728E-2</v>
      </c>
    </row>
    <row r="34" spans="1:9" x14ac:dyDescent="0.2">
      <c r="A34" t="s">
        <v>1147</v>
      </c>
      <c r="B34" s="14">
        <v>9</v>
      </c>
      <c r="C34" s="20">
        <v>9</v>
      </c>
      <c r="D34">
        <f t="shared" si="0"/>
        <v>0</v>
      </c>
      <c r="E34" s="26">
        <f t="shared" si="1"/>
        <v>0</v>
      </c>
      <c r="F34" s="20">
        <v>311</v>
      </c>
      <c r="G34" s="15">
        <v>354</v>
      </c>
      <c r="H34">
        <f t="shared" si="2"/>
        <v>43</v>
      </c>
      <c r="I34" s="26">
        <f t="shared" si="3"/>
        <v>0.13826366559485531</v>
      </c>
    </row>
    <row r="35" spans="1:9" x14ac:dyDescent="0.2">
      <c r="A35" s="10" t="s">
        <v>4008</v>
      </c>
      <c r="B35" s="13">
        <f>SUM(B36:B44)</f>
        <v>64</v>
      </c>
      <c r="C35" s="13">
        <f>SUM(C36:C44)</f>
        <v>79</v>
      </c>
      <c r="D35">
        <f t="shared" si="0"/>
        <v>15</v>
      </c>
      <c r="E35" s="26">
        <f t="shared" si="1"/>
        <v>0.234375</v>
      </c>
      <c r="F35" s="13">
        <f>SUM(F36:F44)</f>
        <v>2185</v>
      </c>
      <c r="G35" s="13">
        <f>SUM(G36:G44)</f>
        <v>2434</v>
      </c>
      <c r="H35">
        <f t="shared" si="2"/>
        <v>249</v>
      </c>
      <c r="I35" s="26">
        <f t="shared" si="3"/>
        <v>0.11395881006864989</v>
      </c>
    </row>
    <row r="36" spans="1:9" x14ac:dyDescent="0.2">
      <c r="A36" t="s">
        <v>1564</v>
      </c>
      <c r="B36" s="14">
        <v>4</v>
      </c>
      <c r="C36" s="20">
        <v>8</v>
      </c>
      <c r="D36">
        <f t="shared" si="0"/>
        <v>4</v>
      </c>
      <c r="E36" s="26">
        <f t="shared" si="1"/>
        <v>1</v>
      </c>
      <c r="F36" s="20">
        <v>71</v>
      </c>
      <c r="G36" s="15">
        <v>183</v>
      </c>
      <c r="H36">
        <f t="shared" si="2"/>
        <v>112</v>
      </c>
      <c r="I36" s="26">
        <f t="shared" si="3"/>
        <v>1.5774647887323943</v>
      </c>
    </row>
    <row r="37" spans="1:9" x14ac:dyDescent="0.2">
      <c r="A37" t="s">
        <v>1666</v>
      </c>
      <c r="B37" s="14">
        <v>11</v>
      </c>
      <c r="C37" s="20">
        <v>11</v>
      </c>
      <c r="D37">
        <f t="shared" si="0"/>
        <v>0</v>
      </c>
      <c r="E37" s="26">
        <f t="shared" si="1"/>
        <v>0</v>
      </c>
      <c r="F37" s="20">
        <v>405</v>
      </c>
      <c r="G37" s="15">
        <v>432</v>
      </c>
      <c r="H37">
        <f t="shared" si="2"/>
        <v>27</v>
      </c>
      <c r="I37" s="26">
        <f t="shared" si="3"/>
        <v>6.6666666666666666E-2</v>
      </c>
    </row>
    <row r="38" spans="1:9" x14ac:dyDescent="0.2">
      <c r="A38" t="s">
        <v>1593</v>
      </c>
      <c r="B38" s="14">
        <v>16</v>
      </c>
      <c r="C38" s="20">
        <v>20</v>
      </c>
      <c r="D38">
        <f t="shared" si="0"/>
        <v>4</v>
      </c>
      <c r="E38" s="26">
        <f t="shared" si="1"/>
        <v>0.25</v>
      </c>
      <c r="F38" s="20">
        <v>647</v>
      </c>
      <c r="G38" s="15">
        <v>694</v>
      </c>
      <c r="H38">
        <f t="shared" si="2"/>
        <v>47</v>
      </c>
      <c r="I38" s="26">
        <f t="shared" si="3"/>
        <v>7.2642967542503864E-2</v>
      </c>
    </row>
    <row r="39" spans="1:9" x14ac:dyDescent="0.2">
      <c r="A39" t="s">
        <v>566</v>
      </c>
      <c r="B39" s="14">
        <v>8</v>
      </c>
      <c r="C39" s="20">
        <v>11</v>
      </c>
      <c r="D39">
        <f t="shared" si="0"/>
        <v>3</v>
      </c>
      <c r="E39" s="26">
        <f t="shared" si="1"/>
        <v>0.375</v>
      </c>
      <c r="F39" s="20">
        <v>182</v>
      </c>
      <c r="G39" s="15">
        <v>244</v>
      </c>
      <c r="H39">
        <f t="shared" si="2"/>
        <v>62</v>
      </c>
      <c r="I39" s="26">
        <f t="shared" si="3"/>
        <v>0.34065934065934067</v>
      </c>
    </row>
    <row r="40" spans="1:9" x14ac:dyDescent="0.2">
      <c r="A40" t="s">
        <v>1800</v>
      </c>
      <c r="B40" s="14">
        <v>1</v>
      </c>
      <c r="C40" s="20">
        <v>1</v>
      </c>
      <c r="D40">
        <f t="shared" si="0"/>
        <v>0</v>
      </c>
      <c r="E40" s="26">
        <f t="shared" si="1"/>
        <v>0</v>
      </c>
      <c r="F40" s="20">
        <v>5</v>
      </c>
      <c r="G40" s="15">
        <v>4</v>
      </c>
      <c r="H40">
        <f t="shared" si="2"/>
        <v>-1</v>
      </c>
      <c r="I40" s="26">
        <f t="shared" si="3"/>
        <v>-0.2</v>
      </c>
    </row>
    <row r="41" spans="1:9" x14ac:dyDescent="0.2">
      <c r="A41" t="s">
        <v>1601</v>
      </c>
      <c r="B41" s="14">
        <v>2</v>
      </c>
      <c r="C41" s="20">
        <v>4</v>
      </c>
      <c r="D41">
        <f t="shared" si="0"/>
        <v>2</v>
      </c>
      <c r="E41" s="26">
        <f t="shared" si="1"/>
        <v>1</v>
      </c>
      <c r="F41" s="20">
        <v>34</v>
      </c>
      <c r="G41" s="15">
        <v>40</v>
      </c>
      <c r="H41">
        <f t="shared" si="2"/>
        <v>6</v>
      </c>
      <c r="I41" s="26">
        <f t="shared" si="3"/>
        <v>0.17647058823529413</v>
      </c>
    </row>
    <row r="42" spans="1:9" x14ac:dyDescent="0.2">
      <c r="A42" t="s">
        <v>1587</v>
      </c>
      <c r="B42" s="14">
        <v>12</v>
      </c>
      <c r="C42" s="20">
        <v>13</v>
      </c>
      <c r="D42">
        <f t="shared" si="0"/>
        <v>1</v>
      </c>
      <c r="E42" s="26">
        <f t="shared" si="1"/>
        <v>8.3333333333333329E-2</v>
      </c>
      <c r="F42" s="20">
        <v>548</v>
      </c>
      <c r="G42" s="15">
        <v>486</v>
      </c>
      <c r="H42">
        <f t="shared" si="2"/>
        <v>-62</v>
      </c>
      <c r="I42" s="26">
        <f t="shared" si="3"/>
        <v>-0.11313868613138686</v>
      </c>
    </row>
    <row r="43" spans="1:9" x14ac:dyDescent="0.2">
      <c r="A43" t="s">
        <v>1719</v>
      </c>
      <c r="B43" s="14">
        <v>4</v>
      </c>
      <c r="C43" s="20">
        <v>5</v>
      </c>
      <c r="D43">
        <f t="shared" si="0"/>
        <v>1</v>
      </c>
      <c r="E43" s="26">
        <f t="shared" si="1"/>
        <v>0.25</v>
      </c>
      <c r="F43" s="20">
        <v>200</v>
      </c>
      <c r="G43" s="15">
        <v>242</v>
      </c>
      <c r="H43">
        <f t="shared" si="2"/>
        <v>42</v>
      </c>
      <c r="I43" s="26">
        <f t="shared" si="3"/>
        <v>0.21</v>
      </c>
    </row>
    <row r="44" spans="1:9" x14ac:dyDescent="0.2">
      <c r="A44" t="s">
        <v>1682</v>
      </c>
      <c r="B44" s="14">
        <v>6</v>
      </c>
      <c r="C44" s="20">
        <v>6</v>
      </c>
      <c r="D44">
        <f t="shared" si="0"/>
        <v>0</v>
      </c>
      <c r="E44" s="26">
        <f t="shared" si="1"/>
        <v>0</v>
      </c>
      <c r="F44" s="20">
        <v>93</v>
      </c>
      <c r="G44" s="15">
        <v>109</v>
      </c>
      <c r="H44">
        <f t="shared" si="2"/>
        <v>16</v>
      </c>
      <c r="I44" s="26">
        <f t="shared" si="3"/>
        <v>0.17204301075268819</v>
      </c>
    </row>
    <row r="45" spans="1:9" x14ac:dyDescent="0.2">
      <c r="A45" s="10" t="s">
        <v>1657</v>
      </c>
      <c r="B45" s="16">
        <v>23</v>
      </c>
      <c r="C45" s="21">
        <v>28</v>
      </c>
      <c r="D45">
        <f t="shared" si="0"/>
        <v>5</v>
      </c>
      <c r="E45" s="26">
        <f t="shared" si="1"/>
        <v>0.21739130434782608</v>
      </c>
      <c r="F45" s="21">
        <v>1558</v>
      </c>
      <c r="G45" s="13">
        <v>1536</v>
      </c>
      <c r="H45">
        <f t="shared" si="2"/>
        <v>-22</v>
      </c>
      <c r="I45" s="26">
        <f t="shared" si="3"/>
        <v>-1.4120667522464698E-2</v>
      </c>
    </row>
    <row r="46" spans="1:9" x14ac:dyDescent="0.2">
      <c r="A46" s="10" t="s">
        <v>2096</v>
      </c>
      <c r="B46" s="13">
        <f>SUM(B47:B58)</f>
        <v>88</v>
      </c>
      <c r="C46" s="13">
        <f>SUM(C47:C58)</f>
        <v>77</v>
      </c>
      <c r="D46">
        <f t="shared" si="0"/>
        <v>-11</v>
      </c>
      <c r="E46" s="26">
        <f t="shared" si="1"/>
        <v>-0.125</v>
      </c>
      <c r="F46" s="13">
        <f>SUM(F47:F58)</f>
        <v>3369</v>
      </c>
      <c r="G46" s="13">
        <f>SUM(G47:G58)</f>
        <v>3326</v>
      </c>
      <c r="H46">
        <f t="shared" si="2"/>
        <v>-43</v>
      </c>
      <c r="I46" s="26">
        <f t="shared" si="3"/>
        <v>-1.2763431285247848E-2</v>
      </c>
    </row>
    <row r="47" spans="1:9" x14ac:dyDescent="0.2">
      <c r="A47" t="s">
        <v>2141</v>
      </c>
      <c r="B47" s="14">
        <v>10</v>
      </c>
      <c r="C47" s="20">
        <v>9</v>
      </c>
      <c r="D47">
        <f t="shared" si="0"/>
        <v>-1</v>
      </c>
      <c r="E47" s="26">
        <f t="shared" si="1"/>
        <v>-0.1</v>
      </c>
      <c r="F47" s="20">
        <v>417</v>
      </c>
      <c r="G47" s="15">
        <v>369</v>
      </c>
      <c r="H47">
        <f t="shared" si="2"/>
        <v>-48</v>
      </c>
      <c r="I47" s="26">
        <f t="shared" si="3"/>
        <v>-0.11510791366906475</v>
      </c>
    </row>
    <row r="48" spans="1:9" x14ac:dyDescent="0.2">
      <c r="A48" t="s">
        <v>2324</v>
      </c>
      <c r="B48" s="14">
        <v>5</v>
      </c>
      <c r="C48" s="20">
        <v>9</v>
      </c>
      <c r="D48">
        <f t="shared" si="0"/>
        <v>4</v>
      </c>
      <c r="E48" s="26">
        <f t="shared" si="1"/>
        <v>0.8</v>
      </c>
      <c r="F48" s="20">
        <v>217</v>
      </c>
      <c r="G48" s="15">
        <v>425</v>
      </c>
      <c r="H48">
        <f t="shared" si="2"/>
        <v>208</v>
      </c>
      <c r="I48" s="26">
        <f t="shared" si="3"/>
        <v>0.95852534562211977</v>
      </c>
    </row>
    <row r="49" spans="1:9" x14ac:dyDescent="0.2">
      <c r="A49" t="s">
        <v>2174</v>
      </c>
      <c r="B49" s="14">
        <v>3</v>
      </c>
      <c r="C49" s="20">
        <v>3</v>
      </c>
      <c r="D49">
        <f t="shared" si="0"/>
        <v>0</v>
      </c>
      <c r="E49" s="26">
        <f t="shared" si="1"/>
        <v>0</v>
      </c>
      <c r="F49" s="20">
        <v>240</v>
      </c>
      <c r="G49" s="15">
        <v>209</v>
      </c>
      <c r="H49">
        <f t="shared" si="2"/>
        <v>-31</v>
      </c>
      <c r="I49" s="26">
        <f t="shared" si="3"/>
        <v>-0.12916666666666668</v>
      </c>
    </row>
    <row r="50" spans="1:9" x14ac:dyDescent="0.2">
      <c r="A50" t="s">
        <v>2107</v>
      </c>
      <c r="B50" s="14">
        <v>10</v>
      </c>
      <c r="C50" s="20">
        <v>12</v>
      </c>
      <c r="D50">
        <f t="shared" si="0"/>
        <v>2</v>
      </c>
      <c r="E50" s="26">
        <f t="shared" si="1"/>
        <v>0.2</v>
      </c>
      <c r="F50" s="20">
        <v>542</v>
      </c>
      <c r="G50" s="15">
        <v>685</v>
      </c>
      <c r="H50">
        <f t="shared" si="2"/>
        <v>143</v>
      </c>
      <c r="I50" s="26">
        <f t="shared" si="3"/>
        <v>0.26383763837638374</v>
      </c>
    </row>
    <row r="51" spans="1:9" x14ac:dyDescent="0.2">
      <c r="A51" t="s">
        <v>447</v>
      </c>
      <c r="B51" s="14">
        <v>16</v>
      </c>
      <c r="C51" s="20">
        <v>14</v>
      </c>
      <c r="D51">
        <f t="shared" si="0"/>
        <v>-2</v>
      </c>
      <c r="E51" s="26">
        <f t="shared" si="1"/>
        <v>-0.125</v>
      </c>
      <c r="F51" s="20">
        <v>632</v>
      </c>
      <c r="G51" s="15">
        <v>689</v>
      </c>
      <c r="H51">
        <f t="shared" si="2"/>
        <v>57</v>
      </c>
      <c r="I51" s="26">
        <f t="shared" si="3"/>
        <v>9.0189873417721514E-2</v>
      </c>
    </row>
    <row r="52" spans="1:9" x14ac:dyDescent="0.2">
      <c r="A52" t="s">
        <v>463</v>
      </c>
      <c r="B52" s="14">
        <v>8</v>
      </c>
      <c r="C52" s="20">
        <v>8</v>
      </c>
      <c r="D52">
        <f t="shared" si="0"/>
        <v>0</v>
      </c>
      <c r="E52" s="26">
        <f t="shared" si="1"/>
        <v>0</v>
      </c>
      <c r="F52" s="20">
        <v>435</v>
      </c>
      <c r="G52" s="15">
        <v>285</v>
      </c>
      <c r="H52">
        <f t="shared" si="2"/>
        <v>-150</v>
      </c>
      <c r="I52" s="26">
        <f t="shared" si="3"/>
        <v>-0.34482758620689657</v>
      </c>
    </row>
    <row r="53" spans="1:9" x14ac:dyDescent="0.2">
      <c r="A53" s="7" t="s">
        <v>4006</v>
      </c>
      <c r="B53" s="14">
        <v>1</v>
      </c>
      <c r="C53" s="20">
        <v>0</v>
      </c>
      <c r="D53">
        <f t="shared" si="0"/>
        <v>-1</v>
      </c>
      <c r="E53" s="26">
        <f t="shared" si="1"/>
        <v>-1</v>
      </c>
      <c r="F53" s="20">
        <v>5</v>
      </c>
      <c r="G53" s="15">
        <v>0</v>
      </c>
      <c r="H53">
        <f t="shared" si="2"/>
        <v>-5</v>
      </c>
      <c r="I53" s="26">
        <f t="shared" si="3"/>
        <v>-1</v>
      </c>
    </row>
    <row r="54" spans="1:9" x14ac:dyDescent="0.2">
      <c r="A54" t="s">
        <v>2182</v>
      </c>
      <c r="B54" s="14">
        <v>5</v>
      </c>
      <c r="C54" s="20">
        <v>4</v>
      </c>
      <c r="D54">
        <f t="shared" si="0"/>
        <v>-1</v>
      </c>
      <c r="E54" s="26">
        <f t="shared" si="1"/>
        <v>-0.2</v>
      </c>
      <c r="F54" s="20">
        <v>301</v>
      </c>
      <c r="G54" s="15">
        <v>247</v>
      </c>
      <c r="H54">
        <f t="shared" si="2"/>
        <v>-54</v>
      </c>
      <c r="I54" s="26">
        <f t="shared" si="3"/>
        <v>-0.17940199335548174</v>
      </c>
    </row>
    <row r="55" spans="1:9" x14ac:dyDescent="0.2">
      <c r="A55" t="s">
        <v>2263</v>
      </c>
      <c r="B55" s="14">
        <v>13</v>
      </c>
      <c r="C55" s="20">
        <v>4</v>
      </c>
      <c r="D55">
        <f t="shared" si="0"/>
        <v>-9</v>
      </c>
      <c r="E55" s="26">
        <f t="shared" si="1"/>
        <v>-0.69230769230769229</v>
      </c>
      <c r="F55" s="20">
        <v>178</v>
      </c>
      <c r="G55" s="15">
        <v>52</v>
      </c>
      <c r="H55">
        <f t="shared" si="2"/>
        <v>-126</v>
      </c>
      <c r="I55" s="26">
        <f t="shared" si="3"/>
        <v>-0.7078651685393258</v>
      </c>
    </row>
    <row r="56" spans="1:9" x14ac:dyDescent="0.2">
      <c r="A56" t="s">
        <v>2097</v>
      </c>
      <c r="B56" s="14">
        <v>6</v>
      </c>
      <c r="C56" s="20">
        <v>4</v>
      </c>
      <c r="D56">
        <f t="shared" si="0"/>
        <v>-2</v>
      </c>
      <c r="E56" s="26">
        <f t="shared" si="1"/>
        <v>-0.33333333333333331</v>
      </c>
      <c r="F56" s="20">
        <v>185</v>
      </c>
      <c r="G56" s="15">
        <v>147</v>
      </c>
      <c r="H56">
        <f t="shared" si="2"/>
        <v>-38</v>
      </c>
      <c r="I56" s="26">
        <f t="shared" si="3"/>
        <v>-0.20540540540540542</v>
      </c>
    </row>
    <row r="57" spans="1:9" x14ac:dyDescent="0.2">
      <c r="A57" t="s">
        <v>2111</v>
      </c>
      <c r="B57" s="14">
        <v>11</v>
      </c>
      <c r="C57" s="20">
        <v>9</v>
      </c>
      <c r="D57">
        <f t="shared" si="0"/>
        <v>-2</v>
      </c>
      <c r="E57" s="26">
        <f t="shared" si="1"/>
        <v>-0.18181818181818182</v>
      </c>
      <c r="F57" s="20">
        <v>217</v>
      </c>
      <c r="G57" s="15">
        <v>208</v>
      </c>
      <c r="H57">
        <f t="shared" si="2"/>
        <v>-9</v>
      </c>
      <c r="I57" s="26">
        <f t="shared" si="3"/>
        <v>-4.1474654377880185E-2</v>
      </c>
    </row>
    <row r="58" spans="1:9" x14ac:dyDescent="0.2">
      <c r="A58" t="s">
        <v>2392</v>
      </c>
      <c r="B58" s="14">
        <v>0</v>
      </c>
      <c r="C58" s="20">
        <v>1</v>
      </c>
      <c r="D58">
        <f t="shared" si="0"/>
        <v>1</v>
      </c>
      <c r="F58" s="20">
        <v>0</v>
      </c>
      <c r="G58" s="15">
        <v>10</v>
      </c>
      <c r="H58">
        <f t="shared" si="2"/>
        <v>10</v>
      </c>
      <c r="I58" s="26"/>
    </row>
    <row r="59" spans="1:9" x14ac:dyDescent="0.2">
      <c r="A59" s="10" t="s">
        <v>2483</v>
      </c>
      <c r="B59" s="13">
        <f>SUM(B60:B68)</f>
        <v>82</v>
      </c>
      <c r="C59" s="13">
        <f>SUM(C60:C68)</f>
        <v>84</v>
      </c>
      <c r="D59">
        <f t="shared" si="0"/>
        <v>2</v>
      </c>
      <c r="E59" s="26">
        <f t="shared" si="1"/>
        <v>2.4390243902439025E-2</v>
      </c>
      <c r="F59" s="13">
        <f>SUM(F60:F68)</f>
        <v>3339</v>
      </c>
      <c r="G59" s="13">
        <f>SUM(G60:G68)</f>
        <v>3348</v>
      </c>
      <c r="H59">
        <f t="shared" si="2"/>
        <v>9</v>
      </c>
      <c r="I59" s="26">
        <f t="shared" si="3"/>
        <v>2.6954177897574125E-3</v>
      </c>
    </row>
    <row r="60" spans="1:9" x14ac:dyDescent="0.2">
      <c r="A60" t="s">
        <v>2549</v>
      </c>
      <c r="B60" s="14">
        <v>7</v>
      </c>
      <c r="C60" s="20">
        <v>7</v>
      </c>
      <c r="D60">
        <f t="shared" si="0"/>
        <v>0</v>
      </c>
      <c r="E60" s="26">
        <f t="shared" si="1"/>
        <v>0</v>
      </c>
      <c r="F60" s="20">
        <v>217</v>
      </c>
      <c r="G60" s="15">
        <v>155</v>
      </c>
      <c r="H60">
        <f t="shared" si="2"/>
        <v>-62</v>
      </c>
      <c r="I60" s="26">
        <f t="shared" si="3"/>
        <v>-0.2857142857142857</v>
      </c>
    </row>
    <row r="61" spans="1:9" x14ac:dyDescent="0.2">
      <c r="A61" t="s">
        <v>2751</v>
      </c>
      <c r="B61" s="14">
        <v>4</v>
      </c>
      <c r="C61" s="20">
        <v>4</v>
      </c>
      <c r="D61">
        <f t="shared" si="0"/>
        <v>0</v>
      </c>
      <c r="E61" s="26">
        <f t="shared" si="1"/>
        <v>0</v>
      </c>
      <c r="F61" s="20">
        <v>314</v>
      </c>
      <c r="G61" s="15">
        <v>278</v>
      </c>
      <c r="H61">
        <f t="shared" si="2"/>
        <v>-36</v>
      </c>
      <c r="I61" s="26">
        <f t="shared" si="3"/>
        <v>-0.11464968152866242</v>
      </c>
    </row>
    <row r="62" spans="1:9" x14ac:dyDescent="0.2">
      <c r="A62" t="s">
        <v>2718</v>
      </c>
      <c r="B62" s="14">
        <v>7</v>
      </c>
      <c r="C62" s="20">
        <v>6</v>
      </c>
      <c r="D62">
        <f t="shared" si="0"/>
        <v>-1</v>
      </c>
      <c r="E62" s="26">
        <f t="shared" si="1"/>
        <v>-0.14285714285714285</v>
      </c>
      <c r="F62" s="20">
        <v>383</v>
      </c>
      <c r="G62" s="15">
        <v>339</v>
      </c>
      <c r="H62">
        <f t="shared" si="2"/>
        <v>-44</v>
      </c>
      <c r="I62" s="26">
        <f t="shared" si="3"/>
        <v>-0.11488250652741515</v>
      </c>
    </row>
    <row r="63" spans="1:9" x14ac:dyDescent="0.2">
      <c r="A63" t="s">
        <v>2484</v>
      </c>
      <c r="B63" s="14">
        <v>9</v>
      </c>
      <c r="C63" s="20">
        <v>8</v>
      </c>
      <c r="D63">
        <f t="shared" si="0"/>
        <v>-1</v>
      </c>
      <c r="E63" s="26">
        <f t="shared" si="1"/>
        <v>-0.1111111111111111</v>
      </c>
      <c r="F63" s="20">
        <v>355</v>
      </c>
      <c r="G63" s="15">
        <v>395</v>
      </c>
      <c r="H63">
        <f t="shared" si="2"/>
        <v>40</v>
      </c>
      <c r="I63" s="26">
        <f t="shared" si="3"/>
        <v>0.11267605633802817</v>
      </c>
    </row>
    <row r="64" spans="1:9" x14ac:dyDescent="0.2">
      <c r="A64" t="s">
        <v>2497</v>
      </c>
      <c r="B64" s="14">
        <v>28</v>
      </c>
      <c r="C64" s="20">
        <v>30</v>
      </c>
      <c r="D64">
        <f t="shared" si="0"/>
        <v>2</v>
      </c>
      <c r="E64" s="26">
        <f t="shared" si="1"/>
        <v>7.1428571428571425E-2</v>
      </c>
      <c r="F64" s="20">
        <v>773</v>
      </c>
      <c r="G64" s="15">
        <v>902</v>
      </c>
      <c r="H64">
        <f t="shared" si="2"/>
        <v>129</v>
      </c>
      <c r="I64" s="26">
        <f t="shared" si="3"/>
        <v>0.16688227684346701</v>
      </c>
    </row>
    <row r="65" spans="1:9" x14ac:dyDescent="0.2">
      <c r="A65" t="s">
        <v>2835</v>
      </c>
      <c r="B65" s="14">
        <v>5</v>
      </c>
      <c r="C65" s="20">
        <v>5</v>
      </c>
      <c r="D65">
        <f t="shared" si="0"/>
        <v>0</v>
      </c>
      <c r="E65" s="26">
        <f t="shared" si="1"/>
        <v>0</v>
      </c>
      <c r="F65" s="20">
        <v>222</v>
      </c>
      <c r="G65" s="15">
        <v>187</v>
      </c>
      <c r="H65">
        <f t="shared" si="2"/>
        <v>-35</v>
      </c>
      <c r="I65" s="26">
        <f t="shared" si="3"/>
        <v>-0.15765765765765766</v>
      </c>
    </row>
    <row r="66" spans="1:9" x14ac:dyDescent="0.2">
      <c r="A66" t="s">
        <v>2392</v>
      </c>
      <c r="B66" s="14">
        <v>2</v>
      </c>
      <c r="C66" s="20">
        <v>3</v>
      </c>
      <c r="D66">
        <f t="shared" si="0"/>
        <v>1</v>
      </c>
      <c r="E66" s="26">
        <f t="shared" si="1"/>
        <v>0.5</v>
      </c>
      <c r="F66" s="20">
        <v>140</v>
      </c>
      <c r="G66" s="15">
        <v>126</v>
      </c>
      <c r="H66">
        <f t="shared" si="2"/>
        <v>-14</v>
      </c>
      <c r="I66" s="26">
        <f t="shared" si="3"/>
        <v>-0.1</v>
      </c>
    </row>
    <row r="67" spans="1:9" x14ac:dyDescent="0.2">
      <c r="A67" t="s">
        <v>2509</v>
      </c>
      <c r="B67" s="14">
        <v>19</v>
      </c>
      <c r="C67" s="20">
        <v>19</v>
      </c>
      <c r="D67">
        <f t="shared" ref="D67:D93" si="4">C67-B67</f>
        <v>0</v>
      </c>
      <c r="E67" s="26">
        <f t="shared" ref="E67:E93" si="5">D67/B67</f>
        <v>0</v>
      </c>
      <c r="F67" s="20">
        <v>750</v>
      </c>
      <c r="G67" s="15">
        <v>769</v>
      </c>
      <c r="H67">
        <f t="shared" ref="H67:H93" si="6">G67-F67</f>
        <v>19</v>
      </c>
      <c r="I67" s="26">
        <f t="shared" ref="I67:I93" si="7">H67/F67</f>
        <v>2.5333333333333333E-2</v>
      </c>
    </row>
    <row r="68" spans="1:9" x14ac:dyDescent="0.2">
      <c r="A68" t="s">
        <v>2744</v>
      </c>
      <c r="B68" s="14">
        <v>1</v>
      </c>
      <c r="C68" s="20">
        <v>2</v>
      </c>
      <c r="D68">
        <f t="shared" si="4"/>
        <v>1</v>
      </c>
      <c r="E68" s="26">
        <f t="shared" si="5"/>
        <v>1</v>
      </c>
      <c r="F68" s="20">
        <v>185</v>
      </c>
      <c r="G68" s="15">
        <v>197</v>
      </c>
      <c r="H68">
        <f t="shared" si="6"/>
        <v>12</v>
      </c>
      <c r="I68" s="26">
        <f t="shared" si="7"/>
        <v>6.4864864864864868E-2</v>
      </c>
    </row>
    <row r="69" spans="1:9" x14ac:dyDescent="0.2">
      <c r="A69" s="10" t="s">
        <v>2928</v>
      </c>
      <c r="B69" s="13">
        <f>SUM(B70:B81)</f>
        <v>100</v>
      </c>
      <c r="C69" s="13">
        <f>SUM(C70:C81)</f>
        <v>110</v>
      </c>
      <c r="D69">
        <f t="shared" si="4"/>
        <v>10</v>
      </c>
      <c r="E69" s="26">
        <f t="shared" si="5"/>
        <v>0.1</v>
      </c>
      <c r="F69" s="13">
        <f>SUM(F70:F81)</f>
        <v>3537</v>
      </c>
      <c r="G69" s="13">
        <f>SUM(G70:G81)</f>
        <v>3943</v>
      </c>
      <c r="H69">
        <f t="shared" si="6"/>
        <v>406</v>
      </c>
      <c r="I69" s="26">
        <f t="shared" si="7"/>
        <v>0.1147865422674583</v>
      </c>
    </row>
    <row r="70" spans="1:9" x14ac:dyDescent="0.2">
      <c r="A70" t="s">
        <v>2939</v>
      </c>
      <c r="B70" s="14">
        <v>8</v>
      </c>
      <c r="C70" s="20">
        <v>8</v>
      </c>
      <c r="D70">
        <f t="shared" si="4"/>
        <v>0</v>
      </c>
      <c r="E70" s="26">
        <f t="shared" si="5"/>
        <v>0</v>
      </c>
      <c r="F70" s="20">
        <v>289</v>
      </c>
      <c r="G70" s="15">
        <v>317</v>
      </c>
      <c r="H70">
        <f t="shared" si="6"/>
        <v>28</v>
      </c>
      <c r="I70" s="26">
        <f t="shared" si="7"/>
        <v>9.6885813148788927E-2</v>
      </c>
    </row>
    <row r="71" spans="1:9" x14ac:dyDescent="0.2">
      <c r="A71" t="s">
        <v>437</v>
      </c>
      <c r="B71" s="14">
        <v>19</v>
      </c>
      <c r="C71" s="20">
        <v>20</v>
      </c>
      <c r="D71">
        <f t="shared" si="4"/>
        <v>1</v>
      </c>
      <c r="E71" s="26">
        <f t="shared" si="5"/>
        <v>5.2631578947368418E-2</v>
      </c>
      <c r="F71" s="20">
        <v>517</v>
      </c>
      <c r="G71" s="15">
        <v>616</v>
      </c>
      <c r="H71">
        <f t="shared" si="6"/>
        <v>99</v>
      </c>
      <c r="I71" s="26">
        <f t="shared" si="7"/>
        <v>0.19148936170212766</v>
      </c>
    </row>
    <row r="72" spans="1:9" x14ac:dyDescent="0.2">
      <c r="A72" t="s">
        <v>3016</v>
      </c>
      <c r="B72" s="14">
        <v>6</v>
      </c>
      <c r="C72" s="20">
        <v>11</v>
      </c>
      <c r="D72">
        <f t="shared" si="4"/>
        <v>5</v>
      </c>
      <c r="E72" s="26">
        <f t="shared" si="5"/>
        <v>0.83333333333333337</v>
      </c>
      <c r="F72" s="20">
        <v>370</v>
      </c>
      <c r="G72" s="15">
        <v>529</v>
      </c>
      <c r="H72">
        <f t="shared" si="6"/>
        <v>159</v>
      </c>
      <c r="I72" s="26">
        <f t="shared" si="7"/>
        <v>0.42972972972972973</v>
      </c>
    </row>
    <row r="73" spans="1:9" x14ac:dyDescent="0.2">
      <c r="A73" t="s">
        <v>2950</v>
      </c>
      <c r="B73" s="14">
        <v>20</v>
      </c>
      <c r="C73" s="20">
        <v>21</v>
      </c>
      <c r="D73">
        <f t="shared" si="4"/>
        <v>1</v>
      </c>
      <c r="E73" s="26">
        <f t="shared" si="5"/>
        <v>0.05</v>
      </c>
      <c r="F73" s="20">
        <v>741</v>
      </c>
      <c r="G73" s="15">
        <v>866</v>
      </c>
      <c r="H73">
        <f t="shared" si="6"/>
        <v>125</v>
      </c>
      <c r="I73" s="26">
        <f t="shared" si="7"/>
        <v>0.16869095816464239</v>
      </c>
    </row>
    <row r="74" spans="1:9" x14ac:dyDescent="0.2">
      <c r="A74" t="s">
        <v>741</v>
      </c>
      <c r="B74" s="14">
        <v>6</v>
      </c>
      <c r="C74" s="20">
        <v>6</v>
      </c>
      <c r="D74">
        <f t="shared" si="4"/>
        <v>0</v>
      </c>
      <c r="E74" s="26">
        <f t="shared" si="5"/>
        <v>0</v>
      </c>
      <c r="F74" s="20">
        <v>291</v>
      </c>
      <c r="G74" s="15">
        <v>313</v>
      </c>
      <c r="H74">
        <f t="shared" si="6"/>
        <v>22</v>
      </c>
      <c r="I74" s="26">
        <f t="shared" si="7"/>
        <v>7.560137457044673E-2</v>
      </c>
    </row>
    <row r="75" spans="1:9" x14ac:dyDescent="0.2">
      <c r="A75" t="s">
        <v>3209</v>
      </c>
      <c r="B75" s="14">
        <v>4</v>
      </c>
      <c r="C75" s="20">
        <v>5</v>
      </c>
      <c r="D75">
        <f t="shared" si="4"/>
        <v>1</v>
      </c>
      <c r="E75" s="26">
        <f t="shared" si="5"/>
        <v>0.25</v>
      </c>
      <c r="F75" s="20">
        <v>65</v>
      </c>
      <c r="G75" s="15">
        <v>152</v>
      </c>
      <c r="H75">
        <f t="shared" si="6"/>
        <v>87</v>
      </c>
      <c r="I75" s="26">
        <f t="shared" si="7"/>
        <v>1.3384615384615384</v>
      </c>
    </row>
    <row r="76" spans="1:9" x14ac:dyDescent="0.2">
      <c r="A76" t="s">
        <v>3078</v>
      </c>
      <c r="B76" s="14">
        <v>6</v>
      </c>
      <c r="C76" s="20">
        <v>6</v>
      </c>
      <c r="D76">
        <f t="shared" si="4"/>
        <v>0</v>
      </c>
      <c r="E76" s="26">
        <f t="shared" si="5"/>
        <v>0</v>
      </c>
      <c r="F76" s="20">
        <v>311</v>
      </c>
      <c r="G76" s="15">
        <v>160</v>
      </c>
      <c r="H76">
        <f t="shared" si="6"/>
        <v>-151</v>
      </c>
      <c r="I76" s="26">
        <f t="shared" si="7"/>
        <v>-0.48553054662379419</v>
      </c>
    </row>
    <row r="77" spans="1:9" x14ac:dyDescent="0.2">
      <c r="A77" t="s">
        <v>3087</v>
      </c>
      <c r="B77" s="14">
        <v>5</v>
      </c>
      <c r="C77" s="20">
        <v>7</v>
      </c>
      <c r="D77">
        <f t="shared" si="4"/>
        <v>2</v>
      </c>
      <c r="E77" s="26">
        <f t="shared" si="5"/>
        <v>0.4</v>
      </c>
      <c r="F77" s="20">
        <v>199</v>
      </c>
      <c r="G77" s="15">
        <v>241</v>
      </c>
      <c r="H77">
        <f t="shared" si="6"/>
        <v>42</v>
      </c>
      <c r="I77" s="26">
        <f t="shared" si="7"/>
        <v>0.21105527638190955</v>
      </c>
    </row>
    <row r="78" spans="1:9" x14ac:dyDescent="0.2">
      <c r="A78" t="s">
        <v>2929</v>
      </c>
      <c r="B78" s="14">
        <v>8</v>
      </c>
      <c r="C78" s="20">
        <v>8</v>
      </c>
      <c r="D78">
        <f t="shared" si="4"/>
        <v>0</v>
      </c>
      <c r="E78" s="26">
        <f t="shared" si="5"/>
        <v>0</v>
      </c>
      <c r="F78" s="20">
        <v>220</v>
      </c>
      <c r="G78" s="15">
        <v>163</v>
      </c>
      <c r="H78">
        <f t="shared" si="6"/>
        <v>-57</v>
      </c>
      <c r="I78" s="26">
        <f t="shared" si="7"/>
        <v>-0.25909090909090909</v>
      </c>
    </row>
    <row r="79" spans="1:9" x14ac:dyDescent="0.2">
      <c r="A79" t="s">
        <v>3382</v>
      </c>
      <c r="B79" s="14">
        <v>6</v>
      </c>
      <c r="C79" s="20">
        <v>6</v>
      </c>
      <c r="D79">
        <f t="shared" si="4"/>
        <v>0</v>
      </c>
      <c r="E79" s="26">
        <f t="shared" si="5"/>
        <v>0</v>
      </c>
      <c r="F79" s="20">
        <v>131</v>
      </c>
      <c r="G79" s="15">
        <v>207</v>
      </c>
      <c r="H79">
        <f t="shared" si="6"/>
        <v>76</v>
      </c>
      <c r="I79" s="26">
        <f t="shared" si="7"/>
        <v>0.58015267175572516</v>
      </c>
    </row>
    <row r="80" spans="1:9" x14ac:dyDescent="0.2">
      <c r="A80" t="s">
        <v>3129</v>
      </c>
      <c r="B80" s="14">
        <v>5</v>
      </c>
      <c r="C80" s="20">
        <v>5</v>
      </c>
      <c r="D80">
        <f t="shared" si="4"/>
        <v>0</v>
      </c>
      <c r="E80" s="26">
        <f t="shared" si="5"/>
        <v>0</v>
      </c>
      <c r="F80" s="20">
        <v>147</v>
      </c>
      <c r="G80" s="15">
        <v>97</v>
      </c>
      <c r="H80">
        <f t="shared" si="6"/>
        <v>-50</v>
      </c>
      <c r="I80" s="26">
        <f t="shared" si="7"/>
        <v>-0.3401360544217687</v>
      </c>
    </row>
    <row r="81" spans="1:9" x14ac:dyDescent="0.2">
      <c r="A81" t="s">
        <v>2872</v>
      </c>
      <c r="B81" s="14">
        <v>7</v>
      </c>
      <c r="C81" s="20">
        <v>7</v>
      </c>
      <c r="D81">
        <f t="shared" si="4"/>
        <v>0</v>
      </c>
      <c r="E81" s="26">
        <f t="shared" si="5"/>
        <v>0</v>
      </c>
      <c r="F81" s="20">
        <v>256</v>
      </c>
      <c r="G81" s="15">
        <v>282</v>
      </c>
      <c r="H81">
        <f t="shared" si="6"/>
        <v>26</v>
      </c>
      <c r="I81" s="26">
        <f t="shared" si="7"/>
        <v>0.1015625</v>
      </c>
    </row>
    <row r="82" spans="1:9" x14ac:dyDescent="0.2">
      <c r="A82" s="10" t="s">
        <v>3465</v>
      </c>
      <c r="B82" s="13">
        <f>SUM(B83:B92)</f>
        <v>101</v>
      </c>
      <c r="C82" s="13">
        <f>SUM(C83:C92)</f>
        <v>100</v>
      </c>
      <c r="D82">
        <f t="shared" si="4"/>
        <v>-1</v>
      </c>
      <c r="E82" s="26">
        <f t="shared" si="5"/>
        <v>-9.9009900990099011E-3</v>
      </c>
      <c r="F82" s="13">
        <f>SUM(F83:F92)</f>
        <v>4464</v>
      </c>
      <c r="G82" s="13">
        <f>SUM(G83:G92)</f>
        <v>4835</v>
      </c>
      <c r="H82">
        <f t="shared" si="6"/>
        <v>371</v>
      </c>
      <c r="I82" s="26">
        <f t="shared" si="7"/>
        <v>8.3109318996415771E-2</v>
      </c>
    </row>
    <row r="83" spans="1:9" x14ac:dyDescent="0.2">
      <c r="A83" t="s">
        <v>3520</v>
      </c>
      <c r="B83" s="14">
        <v>6</v>
      </c>
      <c r="C83" s="20">
        <v>9</v>
      </c>
      <c r="D83">
        <f t="shared" si="4"/>
        <v>3</v>
      </c>
      <c r="E83" s="26">
        <f t="shared" si="5"/>
        <v>0.5</v>
      </c>
      <c r="F83" s="20">
        <v>474</v>
      </c>
      <c r="G83" s="15">
        <v>575</v>
      </c>
      <c r="H83">
        <f t="shared" si="6"/>
        <v>101</v>
      </c>
      <c r="I83" s="26">
        <f t="shared" si="7"/>
        <v>0.21308016877637131</v>
      </c>
    </row>
    <row r="84" spans="1:9" x14ac:dyDescent="0.2">
      <c r="A84" t="s">
        <v>3798</v>
      </c>
      <c r="B84" s="14">
        <v>3</v>
      </c>
      <c r="C84" s="20">
        <v>2</v>
      </c>
      <c r="D84">
        <f t="shared" si="4"/>
        <v>-1</v>
      </c>
      <c r="E84" s="26">
        <f t="shared" si="5"/>
        <v>-0.33333333333333331</v>
      </c>
      <c r="F84" s="20">
        <v>110</v>
      </c>
      <c r="G84" s="15">
        <v>46</v>
      </c>
      <c r="H84">
        <f t="shared" si="6"/>
        <v>-64</v>
      </c>
      <c r="I84" s="26">
        <f t="shared" si="7"/>
        <v>-0.58181818181818179</v>
      </c>
    </row>
    <row r="85" spans="1:9" x14ac:dyDescent="0.2">
      <c r="A85" t="s">
        <v>4001</v>
      </c>
      <c r="B85" s="14">
        <v>2</v>
      </c>
      <c r="C85" s="20">
        <v>1</v>
      </c>
      <c r="D85">
        <f t="shared" si="4"/>
        <v>-1</v>
      </c>
      <c r="E85" s="26">
        <f t="shared" si="5"/>
        <v>-0.5</v>
      </c>
      <c r="F85" s="20">
        <v>60</v>
      </c>
      <c r="G85" s="15">
        <v>33</v>
      </c>
      <c r="H85">
        <f t="shared" si="6"/>
        <v>-27</v>
      </c>
      <c r="I85" s="26">
        <f t="shared" si="7"/>
        <v>-0.45</v>
      </c>
    </row>
    <row r="86" spans="1:9" x14ac:dyDescent="0.2">
      <c r="A86" t="s">
        <v>90</v>
      </c>
      <c r="B86" s="14">
        <v>51</v>
      </c>
      <c r="C86" s="20">
        <v>55</v>
      </c>
      <c r="D86">
        <f t="shared" si="4"/>
        <v>4</v>
      </c>
      <c r="E86" s="26">
        <f t="shared" si="5"/>
        <v>7.8431372549019607E-2</v>
      </c>
      <c r="F86" s="20">
        <v>2315</v>
      </c>
      <c r="G86" s="15">
        <v>2673</v>
      </c>
      <c r="H86">
        <f t="shared" si="6"/>
        <v>358</v>
      </c>
      <c r="I86" s="26">
        <f t="shared" si="7"/>
        <v>0.15464362850971922</v>
      </c>
    </row>
    <row r="87" spans="1:9" x14ac:dyDescent="0.2">
      <c r="A87" t="s">
        <v>3762</v>
      </c>
      <c r="B87" s="14">
        <v>4</v>
      </c>
      <c r="C87" s="20">
        <v>1</v>
      </c>
      <c r="D87">
        <f t="shared" si="4"/>
        <v>-3</v>
      </c>
      <c r="E87" s="26">
        <f t="shared" si="5"/>
        <v>-0.75</v>
      </c>
      <c r="F87" s="20">
        <v>41</v>
      </c>
      <c r="G87" s="15">
        <v>27</v>
      </c>
      <c r="H87">
        <f t="shared" si="6"/>
        <v>-14</v>
      </c>
      <c r="I87" s="26">
        <f t="shared" si="7"/>
        <v>-0.34146341463414637</v>
      </c>
    </row>
    <row r="88" spans="1:9" x14ac:dyDescent="0.2">
      <c r="A88" t="s">
        <v>3536</v>
      </c>
      <c r="B88" s="14">
        <v>7</v>
      </c>
      <c r="C88" s="20">
        <v>5</v>
      </c>
      <c r="D88">
        <f t="shared" si="4"/>
        <v>-2</v>
      </c>
      <c r="E88" s="26">
        <f t="shared" si="5"/>
        <v>-0.2857142857142857</v>
      </c>
      <c r="F88" s="20">
        <v>155</v>
      </c>
      <c r="G88" s="15">
        <v>201</v>
      </c>
      <c r="H88">
        <f t="shared" si="6"/>
        <v>46</v>
      </c>
      <c r="I88" s="26">
        <f t="shared" si="7"/>
        <v>0.29677419354838708</v>
      </c>
    </row>
    <row r="89" spans="1:9" x14ac:dyDescent="0.2">
      <c r="A89" t="s">
        <v>3995</v>
      </c>
      <c r="B89" s="14">
        <v>3</v>
      </c>
      <c r="C89" s="20">
        <v>1</v>
      </c>
      <c r="D89">
        <f t="shared" si="4"/>
        <v>-2</v>
      </c>
      <c r="E89" s="26">
        <f t="shared" si="5"/>
        <v>-0.66666666666666663</v>
      </c>
      <c r="F89" s="20">
        <v>30</v>
      </c>
      <c r="G89" s="15">
        <v>18</v>
      </c>
      <c r="H89">
        <f t="shared" si="6"/>
        <v>-12</v>
      </c>
      <c r="I89" s="26">
        <f t="shared" si="7"/>
        <v>-0.4</v>
      </c>
    </row>
    <row r="90" spans="1:9" x14ac:dyDescent="0.2">
      <c r="A90" t="s">
        <v>3547</v>
      </c>
      <c r="B90" s="14">
        <v>7</v>
      </c>
      <c r="C90" s="20">
        <v>7</v>
      </c>
      <c r="D90">
        <f t="shared" si="4"/>
        <v>0</v>
      </c>
      <c r="E90" s="26">
        <f t="shared" si="5"/>
        <v>0</v>
      </c>
      <c r="F90" s="20">
        <v>281</v>
      </c>
      <c r="G90" s="15">
        <v>258</v>
      </c>
      <c r="H90">
        <f t="shared" si="6"/>
        <v>-23</v>
      </c>
      <c r="I90" s="26">
        <f t="shared" si="7"/>
        <v>-8.1850533807829182E-2</v>
      </c>
    </row>
    <row r="91" spans="1:9" x14ac:dyDescent="0.2">
      <c r="A91" t="s">
        <v>469</v>
      </c>
      <c r="B91" s="14">
        <v>12</v>
      </c>
      <c r="C91" s="20">
        <v>14</v>
      </c>
      <c r="D91">
        <f t="shared" si="4"/>
        <v>2</v>
      </c>
      <c r="E91" s="26">
        <f t="shared" si="5"/>
        <v>0.16666666666666666</v>
      </c>
      <c r="F91" s="20">
        <v>752</v>
      </c>
      <c r="G91" s="15">
        <v>747</v>
      </c>
      <c r="H91">
        <f t="shared" si="6"/>
        <v>-5</v>
      </c>
      <c r="I91" s="26">
        <f t="shared" si="7"/>
        <v>-6.648936170212766E-3</v>
      </c>
    </row>
    <row r="92" spans="1:9" x14ac:dyDescent="0.2">
      <c r="A92" t="s">
        <v>3506</v>
      </c>
      <c r="B92" s="14">
        <v>6</v>
      </c>
      <c r="C92" s="20">
        <v>5</v>
      </c>
      <c r="D92">
        <f t="shared" si="4"/>
        <v>-1</v>
      </c>
      <c r="E92" s="26">
        <f t="shared" si="5"/>
        <v>-0.16666666666666666</v>
      </c>
      <c r="F92" s="20">
        <v>246</v>
      </c>
      <c r="G92" s="15">
        <v>257</v>
      </c>
      <c r="H92">
        <f t="shared" si="6"/>
        <v>11</v>
      </c>
      <c r="I92" s="26">
        <f t="shared" si="7"/>
        <v>4.4715447154471545E-2</v>
      </c>
    </row>
    <row r="93" spans="1:9" x14ac:dyDescent="0.2">
      <c r="A93" s="10" t="s">
        <v>4003</v>
      </c>
      <c r="B93" s="24">
        <f>SUM(B45,B82,B69,B59,B46,B35,B23,B20,B11,B2)</f>
        <v>715</v>
      </c>
      <c r="C93" s="24">
        <f>SUM(C45,C82,C69,C59,C46,C35,C23,C20,C11,C2)</f>
        <v>763</v>
      </c>
      <c r="D93">
        <f t="shared" si="4"/>
        <v>48</v>
      </c>
      <c r="E93" s="26">
        <f t="shared" si="5"/>
        <v>6.7132867132867133E-2</v>
      </c>
      <c r="F93" s="24">
        <f>SUM(F45,F82,F69,F59,F46,F35,F23,F20,F11,F2)</f>
        <v>28888</v>
      </c>
      <c r="G93" s="24">
        <f>SUM(G45,G82,G69,G59,G46,G35,G23,G20,G11,G2)</f>
        <v>31719</v>
      </c>
      <c r="H93">
        <f t="shared" si="6"/>
        <v>2831</v>
      </c>
      <c r="I93" s="26">
        <f t="shared" si="7"/>
        <v>9.7999169205206307E-2</v>
      </c>
    </row>
  </sheetData>
  <autoFilter ref="A1:J93" xr:uid="{001360F9-5E5D-5744-ACD7-2E31F13382D4}"/>
  <conditionalFormatting sqref="D1:D1048576">
    <cfRule type="cellIs" dxfId="1" priority="2" operator="lessThan">
      <formula>0</formula>
    </cfRule>
  </conditionalFormatting>
  <conditionalFormatting sqref="E1:E1048576">
    <cfRule type="cellIs" dxfId="0" priority="1" operator="greaterThan">
      <formula>0.3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4B50-EE0B-AC43-A4DF-EC3F956C7985}">
  <dimension ref="A1:P33"/>
  <sheetViews>
    <sheetView workbookViewId="0">
      <selection activeCell="J14" sqref="J14"/>
    </sheetView>
  </sheetViews>
  <sheetFormatPr baseColWidth="10" defaultRowHeight="15" x14ac:dyDescent="0.2"/>
  <cols>
    <col min="1" max="1" width="27.33203125" bestFit="1" customWidth="1"/>
    <col min="2" max="2" width="18.33203125" bestFit="1" customWidth="1"/>
    <col min="3" max="4" width="12" bestFit="1" customWidth="1"/>
    <col min="5" max="5" width="10.6640625" bestFit="1" customWidth="1"/>
    <col min="6" max="6" width="12" bestFit="1" customWidth="1"/>
    <col min="7" max="15" width="10.6640625" bestFit="1" customWidth="1"/>
    <col min="16" max="16" width="19.1640625" bestFit="1" customWidth="1"/>
    <col min="17" max="36" width="3.1640625" bestFit="1" customWidth="1"/>
    <col min="37" max="37" width="10" bestFit="1" customWidth="1"/>
    <col min="38" max="141" width="14.83203125" bestFit="1" customWidth="1"/>
    <col min="142" max="142" width="10" bestFit="1" customWidth="1"/>
    <col min="143" max="143" width="6.33203125" bestFit="1" customWidth="1"/>
    <col min="144" max="144" width="3.83203125" bestFit="1" customWidth="1"/>
    <col min="145" max="145" width="6.33203125" bestFit="1" customWidth="1"/>
    <col min="146" max="146" width="3.83203125" bestFit="1" customWidth="1"/>
    <col min="147" max="147" width="6.33203125" bestFit="1" customWidth="1"/>
    <col min="148" max="148" width="3.83203125" bestFit="1" customWidth="1"/>
    <col min="149" max="149" width="6.33203125" bestFit="1" customWidth="1"/>
    <col min="150" max="150" width="3.83203125" bestFit="1" customWidth="1"/>
    <col min="151" max="152" width="6.33203125" bestFit="1" customWidth="1"/>
    <col min="153" max="153" width="3.83203125" bestFit="1" customWidth="1"/>
    <col min="154" max="154" width="2.1640625" bestFit="1" customWidth="1"/>
    <col min="155" max="155" width="6.33203125" bestFit="1" customWidth="1"/>
    <col min="156" max="156" width="3.83203125" bestFit="1" customWidth="1"/>
    <col min="157" max="157" width="6.33203125" bestFit="1" customWidth="1"/>
    <col min="158" max="158" width="3.83203125" bestFit="1" customWidth="1"/>
    <col min="159" max="159" width="6.33203125" bestFit="1" customWidth="1"/>
    <col min="160" max="160" width="3.83203125" bestFit="1" customWidth="1"/>
    <col min="161" max="161" width="2.1640625" bestFit="1" customWidth="1"/>
    <col min="162" max="162" width="6.33203125" bestFit="1" customWidth="1"/>
    <col min="163" max="163" width="3.83203125" bestFit="1" customWidth="1"/>
    <col min="164" max="165" width="6.33203125" bestFit="1" customWidth="1"/>
    <col min="166" max="166" width="3.83203125" bestFit="1" customWidth="1"/>
    <col min="167" max="167" width="6.33203125" bestFit="1" customWidth="1"/>
    <col min="168" max="168" width="3.83203125" bestFit="1" customWidth="1"/>
    <col min="169" max="170" width="6.33203125" bestFit="1" customWidth="1"/>
    <col min="171" max="171" width="4.83203125" bestFit="1" customWidth="1"/>
    <col min="172" max="173" width="2.1640625" bestFit="1" customWidth="1"/>
    <col min="174" max="174" width="6.33203125" bestFit="1" customWidth="1"/>
    <col min="175" max="175" width="3.83203125" bestFit="1" customWidth="1"/>
    <col min="176" max="176" width="6.33203125" bestFit="1" customWidth="1"/>
    <col min="177" max="177" width="3.83203125" bestFit="1" customWidth="1"/>
    <col min="178" max="178" width="2.1640625" bestFit="1" customWidth="1"/>
    <col min="179" max="179" width="6.33203125" bestFit="1" customWidth="1"/>
    <col min="180" max="180" width="3.83203125" bestFit="1" customWidth="1"/>
    <col min="181" max="181" width="2.1640625" bestFit="1" customWidth="1"/>
    <col min="182" max="182" width="6.33203125" bestFit="1" customWidth="1"/>
    <col min="183" max="183" width="3.83203125" bestFit="1" customWidth="1"/>
    <col min="184" max="184" width="2.1640625" bestFit="1" customWidth="1"/>
    <col min="185" max="185" width="6.33203125" bestFit="1" customWidth="1"/>
    <col min="186" max="186" width="4.83203125" bestFit="1" customWidth="1"/>
    <col min="187" max="188" width="7.33203125" bestFit="1" customWidth="1"/>
    <col min="189" max="189" width="4.83203125" bestFit="1" customWidth="1"/>
    <col min="190" max="191" width="2.1640625" bestFit="1" customWidth="1"/>
    <col min="192" max="192" width="6.33203125" bestFit="1" customWidth="1"/>
    <col min="193" max="193" width="7.33203125" bestFit="1" customWidth="1"/>
    <col min="194" max="194" width="4.83203125" bestFit="1" customWidth="1"/>
    <col min="195" max="195" width="2.1640625" bestFit="1" customWidth="1"/>
    <col min="196" max="196" width="6.33203125" bestFit="1" customWidth="1"/>
    <col min="197" max="197" width="3.83203125" bestFit="1" customWidth="1"/>
    <col min="198" max="198" width="6.33203125" bestFit="1" customWidth="1"/>
    <col min="199" max="199" width="3.83203125" bestFit="1" customWidth="1"/>
    <col min="200" max="200" width="2.1640625" bestFit="1" customWidth="1"/>
    <col min="201" max="201" width="6.33203125" bestFit="1" customWidth="1"/>
    <col min="202" max="202" width="7.33203125" bestFit="1" customWidth="1"/>
    <col min="203" max="203" width="4.83203125" bestFit="1" customWidth="1"/>
    <col min="204" max="204" width="6.33203125" bestFit="1" customWidth="1"/>
    <col min="205" max="205" width="3.83203125" bestFit="1" customWidth="1"/>
    <col min="206" max="206" width="2.1640625" bestFit="1" customWidth="1"/>
    <col min="207" max="207" width="6.33203125" bestFit="1" customWidth="1"/>
    <col min="208" max="208" width="7.33203125" bestFit="1" customWidth="1"/>
    <col min="209" max="209" width="4.83203125" bestFit="1" customWidth="1"/>
    <col min="210" max="210" width="6.33203125" bestFit="1" customWidth="1"/>
    <col min="211" max="211" width="3.83203125" bestFit="1" customWidth="1"/>
    <col min="212" max="212" width="6.33203125" bestFit="1" customWidth="1"/>
    <col min="213" max="213" width="3.83203125" bestFit="1" customWidth="1"/>
    <col min="214" max="214" width="6.33203125" bestFit="1" customWidth="1"/>
    <col min="215" max="215" width="7.33203125" bestFit="1" customWidth="1"/>
    <col min="216" max="216" width="4.83203125" bestFit="1" customWidth="1"/>
    <col min="217" max="217" width="6.33203125" bestFit="1" customWidth="1"/>
    <col min="218" max="218" width="3.83203125" bestFit="1" customWidth="1"/>
    <col min="219" max="219" width="2.1640625" bestFit="1" customWidth="1"/>
    <col min="220" max="220" width="6.33203125" bestFit="1" customWidth="1"/>
    <col min="221" max="221" width="3.83203125" bestFit="1" customWidth="1"/>
    <col min="222" max="222" width="3.1640625" bestFit="1" customWidth="1"/>
    <col min="223" max="223" width="6.33203125" bestFit="1" customWidth="1"/>
    <col min="224" max="224" width="3.83203125" bestFit="1" customWidth="1"/>
    <col min="225" max="225" width="6.33203125" bestFit="1" customWidth="1"/>
    <col min="226" max="226" width="3.83203125" bestFit="1" customWidth="1"/>
    <col min="227" max="227" width="6.33203125" bestFit="1" customWidth="1"/>
    <col min="228" max="228" width="7.33203125" bestFit="1" customWidth="1"/>
    <col min="229" max="229" width="4.83203125" bestFit="1" customWidth="1"/>
    <col min="230" max="230" width="6.33203125" bestFit="1" customWidth="1"/>
    <col min="231" max="231" width="3.83203125" bestFit="1" customWidth="1"/>
    <col min="232" max="232" width="6.33203125" bestFit="1" customWidth="1"/>
    <col min="233" max="233" width="3.83203125" bestFit="1" customWidth="1"/>
    <col min="234" max="234" width="6.33203125" bestFit="1" customWidth="1"/>
    <col min="235" max="235" width="3.83203125" bestFit="1" customWidth="1"/>
    <col min="236" max="236" width="6.33203125" bestFit="1" customWidth="1"/>
    <col min="237" max="237" width="3.83203125" bestFit="1" customWidth="1"/>
    <col min="238" max="238" width="6.33203125" bestFit="1" customWidth="1"/>
    <col min="239" max="239" width="7.33203125" bestFit="1" customWidth="1"/>
    <col min="240" max="240" width="4.83203125" bestFit="1" customWidth="1"/>
    <col min="241" max="241" width="6.33203125" bestFit="1" customWidth="1"/>
    <col min="242" max="242" width="3.83203125" bestFit="1" customWidth="1"/>
    <col min="243" max="243" width="6.33203125" bestFit="1" customWidth="1"/>
    <col min="244" max="244" width="7.33203125" bestFit="1" customWidth="1"/>
    <col min="245" max="245" width="4.83203125" bestFit="1" customWidth="1"/>
    <col min="246" max="246" width="6.33203125" bestFit="1" customWidth="1"/>
    <col min="247" max="247" width="3.83203125" bestFit="1" customWidth="1"/>
    <col min="248" max="248" width="6.33203125" bestFit="1" customWidth="1"/>
    <col min="249" max="249" width="7.33203125" bestFit="1" customWidth="1"/>
    <col min="250" max="250" width="4.83203125" bestFit="1" customWidth="1"/>
    <col min="251" max="251" width="6.33203125" bestFit="1" customWidth="1"/>
    <col min="252" max="252" width="3.83203125" bestFit="1" customWidth="1"/>
    <col min="253" max="253" width="6.33203125" bestFit="1" customWidth="1"/>
    <col min="254" max="254" width="3.83203125" bestFit="1" customWidth="1"/>
    <col min="255" max="255" width="6.33203125" bestFit="1" customWidth="1"/>
    <col min="256" max="256" width="7.33203125" bestFit="1" customWidth="1"/>
    <col min="257" max="257" width="4.83203125" bestFit="1" customWidth="1"/>
    <col min="258" max="258" width="2.1640625" bestFit="1" customWidth="1"/>
    <col min="259" max="259" width="6.33203125" bestFit="1" customWidth="1"/>
    <col min="260" max="260" width="3.83203125" bestFit="1" customWidth="1"/>
    <col min="261" max="261" width="2.1640625" bestFit="1" customWidth="1"/>
    <col min="262" max="262" width="6.33203125" bestFit="1" customWidth="1"/>
    <col min="263" max="263" width="4.83203125" bestFit="1" customWidth="1"/>
    <col min="264" max="265" width="7.33203125" bestFit="1" customWidth="1"/>
    <col min="266" max="266" width="4.83203125" bestFit="1" customWidth="1"/>
    <col min="267" max="267" width="6.33203125" bestFit="1" customWidth="1"/>
    <col min="268" max="268" width="7.33203125" bestFit="1" customWidth="1"/>
    <col min="269" max="269" width="4.83203125" bestFit="1" customWidth="1"/>
    <col min="270" max="270" width="6.33203125" bestFit="1" customWidth="1"/>
    <col min="271" max="271" width="3.83203125" bestFit="1" customWidth="1"/>
    <col min="272" max="272" width="6.33203125" bestFit="1" customWidth="1"/>
    <col min="273" max="273" width="7.33203125" bestFit="1" customWidth="1"/>
    <col min="274" max="274" width="4.83203125" bestFit="1" customWidth="1"/>
    <col min="275" max="275" width="6.33203125" bestFit="1" customWidth="1"/>
    <col min="276" max="276" width="7.33203125" bestFit="1" customWidth="1"/>
    <col min="277" max="277" width="4.83203125" bestFit="1" customWidth="1"/>
    <col min="278" max="278" width="6.33203125" bestFit="1" customWidth="1"/>
    <col min="279" max="279" width="3.83203125" bestFit="1" customWidth="1"/>
    <col min="280" max="280" width="6.33203125" bestFit="1" customWidth="1"/>
    <col min="281" max="281" width="7.33203125" bestFit="1" customWidth="1"/>
    <col min="282" max="282" width="4.83203125" bestFit="1" customWidth="1"/>
    <col min="283" max="283" width="6.33203125" bestFit="1" customWidth="1"/>
    <col min="284" max="284" width="3.83203125" bestFit="1" customWidth="1"/>
    <col min="285" max="285" width="6.33203125" bestFit="1" customWidth="1"/>
    <col min="286" max="286" width="3.83203125" bestFit="1" customWidth="1"/>
    <col min="287" max="287" width="6.33203125" bestFit="1" customWidth="1"/>
    <col min="288" max="288" width="7.33203125" bestFit="1" customWidth="1"/>
    <col min="289" max="289" width="4.83203125" bestFit="1" customWidth="1"/>
    <col min="290" max="290" width="6.33203125" bestFit="1" customWidth="1"/>
    <col min="291" max="291" width="3.83203125" bestFit="1" customWidth="1"/>
    <col min="292" max="292" width="6.33203125" bestFit="1" customWidth="1"/>
    <col min="293" max="293" width="7.33203125" bestFit="1" customWidth="1"/>
    <col min="294" max="294" width="4.83203125" bestFit="1" customWidth="1"/>
    <col min="295" max="295" width="6.33203125" bestFit="1" customWidth="1"/>
    <col min="296" max="296" width="3.83203125" bestFit="1" customWidth="1"/>
    <col min="297" max="297" width="6.33203125" bestFit="1" customWidth="1"/>
    <col min="298" max="298" width="3.83203125" bestFit="1" customWidth="1"/>
    <col min="299" max="299" width="6.33203125" bestFit="1" customWidth="1"/>
    <col min="300" max="300" width="4.83203125" bestFit="1" customWidth="1"/>
    <col min="301" max="302" width="7.33203125" bestFit="1" customWidth="1"/>
    <col min="303" max="303" width="4.83203125" bestFit="1" customWidth="1"/>
    <col min="304" max="304" width="6.33203125" bestFit="1" customWidth="1"/>
    <col min="305" max="305" width="3.83203125" bestFit="1" customWidth="1"/>
    <col min="306" max="306" width="6.33203125" bestFit="1" customWidth="1"/>
    <col min="307" max="307" width="7.33203125" bestFit="1" customWidth="1"/>
    <col min="308" max="308" width="4.83203125" bestFit="1" customWidth="1"/>
    <col min="309" max="309" width="6.33203125" bestFit="1" customWidth="1"/>
    <col min="310" max="310" width="7.33203125" bestFit="1" customWidth="1"/>
    <col min="311" max="311" width="4.83203125" bestFit="1" customWidth="1"/>
    <col min="312" max="312" width="6.33203125" bestFit="1" customWidth="1"/>
    <col min="313" max="313" width="7.33203125" bestFit="1" customWidth="1"/>
    <col min="314" max="314" width="4.83203125" bestFit="1" customWidth="1"/>
    <col min="315" max="315" width="6.33203125" bestFit="1" customWidth="1"/>
    <col min="316" max="316" width="7.33203125" bestFit="1" customWidth="1"/>
    <col min="317" max="317" width="4.83203125" bestFit="1" customWidth="1"/>
    <col min="318" max="318" width="6.33203125" bestFit="1" customWidth="1"/>
    <col min="319" max="319" width="4.83203125" bestFit="1" customWidth="1"/>
    <col min="320" max="321" width="7.33203125" bestFit="1" customWidth="1"/>
    <col min="322" max="322" width="4.83203125" bestFit="1" customWidth="1"/>
    <col min="323" max="323" width="6.33203125" bestFit="1" customWidth="1"/>
    <col min="324" max="324" width="7.33203125" bestFit="1" customWidth="1"/>
    <col min="325" max="325" width="4.83203125" bestFit="1" customWidth="1"/>
    <col min="326" max="326" width="6.33203125" bestFit="1" customWidth="1"/>
    <col min="327" max="327" width="7.33203125" bestFit="1" customWidth="1"/>
    <col min="328" max="328" width="10" bestFit="1" customWidth="1"/>
  </cols>
  <sheetData>
    <row r="1" spans="1:16" x14ac:dyDescent="0.2">
      <c r="A1" s="5" t="s">
        <v>4002</v>
      </c>
      <c r="B1" t="s">
        <v>4009</v>
      </c>
      <c r="C1" t="s">
        <v>4011</v>
      </c>
      <c r="D1" t="s">
        <v>4010</v>
      </c>
      <c r="E1" t="s">
        <v>4012</v>
      </c>
      <c r="F1" t="s">
        <v>4013</v>
      </c>
      <c r="G1" t="s">
        <v>4014</v>
      </c>
      <c r="H1" t="s">
        <v>4015</v>
      </c>
      <c r="I1" t="s">
        <v>4016</v>
      </c>
      <c r="J1" t="s">
        <v>4017</v>
      </c>
      <c r="K1" t="s">
        <v>4018</v>
      </c>
      <c r="L1" t="s">
        <v>4019</v>
      </c>
      <c r="M1" t="s">
        <v>4020</v>
      </c>
      <c r="N1" t="s">
        <v>4021</v>
      </c>
      <c r="O1" t="s">
        <v>4022</v>
      </c>
      <c r="P1" t="s">
        <v>4023</v>
      </c>
    </row>
    <row r="2" spans="1:16" x14ac:dyDescent="0.2">
      <c r="A2" s="6" t="s">
        <v>28</v>
      </c>
      <c r="B2" s="8">
        <v>72</v>
      </c>
      <c r="C2" s="8">
        <v>34</v>
      </c>
      <c r="D2" s="8">
        <v>34</v>
      </c>
      <c r="E2" s="8">
        <v>19</v>
      </c>
      <c r="F2" s="8">
        <v>34</v>
      </c>
      <c r="G2" s="8">
        <v>76</v>
      </c>
      <c r="H2" s="8">
        <v>87</v>
      </c>
      <c r="I2" s="8">
        <v>95</v>
      </c>
      <c r="J2" s="8">
        <v>122</v>
      </c>
      <c r="K2" s="8">
        <v>101</v>
      </c>
      <c r="L2" s="8">
        <v>83</v>
      </c>
      <c r="M2" s="8">
        <v>47</v>
      </c>
      <c r="N2" s="8">
        <v>47</v>
      </c>
      <c r="O2" s="8">
        <v>21</v>
      </c>
      <c r="P2" s="8">
        <v>11</v>
      </c>
    </row>
    <row r="3" spans="1:16" x14ac:dyDescent="0.2">
      <c r="A3" s="6" t="s">
        <v>230</v>
      </c>
      <c r="B3" s="8">
        <v>258</v>
      </c>
      <c r="C3" s="8">
        <v>54</v>
      </c>
      <c r="D3" s="8">
        <v>54</v>
      </c>
      <c r="E3" s="8">
        <v>43</v>
      </c>
      <c r="F3" s="8">
        <v>54</v>
      </c>
      <c r="G3" s="8">
        <v>145</v>
      </c>
      <c r="H3" s="8">
        <v>194</v>
      </c>
      <c r="I3" s="8">
        <v>219</v>
      </c>
      <c r="J3" s="8">
        <v>211</v>
      </c>
      <c r="K3" s="8">
        <v>217</v>
      </c>
      <c r="L3" s="8">
        <v>195</v>
      </c>
      <c r="M3" s="8">
        <v>161</v>
      </c>
      <c r="N3" s="8">
        <v>92</v>
      </c>
      <c r="O3" s="8">
        <v>68</v>
      </c>
      <c r="P3" s="8">
        <v>73</v>
      </c>
    </row>
    <row r="4" spans="1:16" x14ac:dyDescent="0.2">
      <c r="A4" s="6" t="s">
        <v>522</v>
      </c>
      <c r="B4" s="8">
        <v>386</v>
      </c>
      <c r="C4" s="8">
        <v>54</v>
      </c>
      <c r="D4" s="8">
        <v>54</v>
      </c>
      <c r="E4" s="8">
        <v>158</v>
      </c>
      <c r="F4" s="8">
        <v>54</v>
      </c>
      <c r="G4" s="8">
        <v>253</v>
      </c>
      <c r="H4" s="8">
        <v>329</v>
      </c>
      <c r="I4" s="8">
        <v>312</v>
      </c>
      <c r="J4" s="8">
        <v>317</v>
      </c>
      <c r="K4" s="8">
        <v>366</v>
      </c>
      <c r="L4" s="8">
        <v>342</v>
      </c>
      <c r="M4" s="8">
        <v>219</v>
      </c>
      <c r="N4" s="8">
        <v>135</v>
      </c>
      <c r="O4" s="8">
        <v>68</v>
      </c>
      <c r="P4" s="8">
        <v>21</v>
      </c>
    </row>
    <row r="5" spans="1:16" x14ac:dyDescent="0.2">
      <c r="A5" s="6" t="s">
        <v>813</v>
      </c>
      <c r="B5" s="8">
        <v>214</v>
      </c>
      <c r="C5" s="8">
        <v>143</v>
      </c>
      <c r="D5" s="8">
        <v>143</v>
      </c>
      <c r="E5" s="8">
        <v>165</v>
      </c>
      <c r="F5" s="8">
        <v>143</v>
      </c>
      <c r="G5" s="8">
        <v>336</v>
      </c>
      <c r="H5" s="8">
        <v>501</v>
      </c>
      <c r="I5" s="8">
        <v>666</v>
      </c>
      <c r="J5" s="8">
        <v>786</v>
      </c>
      <c r="K5" s="8">
        <v>770</v>
      </c>
      <c r="L5" s="8">
        <v>791</v>
      </c>
      <c r="M5" s="8">
        <v>643</v>
      </c>
      <c r="N5" s="8">
        <v>466</v>
      </c>
      <c r="O5" s="8">
        <v>263</v>
      </c>
      <c r="P5" s="8">
        <v>161</v>
      </c>
    </row>
    <row r="6" spans="1:16" x14ac:dyDescent="0.2">
      <c r="A6" s="6" t="s">
        <v>1553</v>
      </c>
      <c r="B6" s="8">
        <v>408</v>
      </c>
      <c r="C6" s="8">
        <v>107</v>
      </c>
      <c r="D6" s="8">
        <v>107</v>
      </c>
      <c r="E6" s="8">
        <v>141</v>
      </c>
      <c r="F6" s="8">
        <v>107</v>
      </c>
      <c r="G6" s="8">
        <v>239</v>
      </c>
      <c r="H6" s="8">
        <v>297</v>
      </c>
      <c r="I6" s="8">
        <v>409</v>
      </c>
      <c r="J6" s="8">
        <v>369</v>
      </c>
      <c r="K6" s="8">
        <v>407</v>
      </c>
      <c r="L6" s="8">
        <v>381</v>
      </c>
      <c r="M6" s="8">
        <v>355</v>
      </c>
      <c r="N6" s="8">
        <v>250</v>
      </c>
      <c r="O6" s="8">
        <v>182</v>
      </c>
      <c r="P6" s="8">
        <v>199</v>
      </c>
    </row>
    <row r="7" spans="1:16" x14ac:dyDescent="0.2">
      <c r="A7" s="6" t="s">
        <v>2096</v>
      </c>
      <c r="B7" s="8">
        <v>84</v>
      </c>
      <c r="C7" s="8">
        <v>77</v>
      </c>
      <c r="D7" s="8">
        <v>77</v>
      </c>
      <c r="E7" s="8">
        <v>105</v>
      </c>
      <c r="F7" s="8">
        <v>77</v>
      </c>
      <c r="G7" s="8">
        <v>220</v>
      </c>
      <c r="H7" s="8">
        <v>328</v>
      </c>
      <c r="I7" s="8">
        <v>381</v>
      </c>
      <c r="J7" s="8">
        <v>408</v>
      </c>
      <c r="K7" s="8">
        <v>433</v>
      </c>
      <c r="L7" s="8">
        <v>330</v>
      </c>
      <c r="M7" s="8">
        <v>236</v>
      </c>
      <c r="N7" s="8">
        <v>168</v>
      </c>
      <c r="O7" s="8">
        <v>141</v>
      </c>
      <c r="P7" s="8">
        <v>236</v>
      </c>
    </row>
    <row r="8" spans="1:16" x14ac:dyDescent="0.2">
      <c r="A8" s="6" t="s">
        <v>2483</v>
      </c>
      <c r="B8" s="8">
        <v>183</v>
      </c>
      <c r="C8" s="8">
        <v>84</v>
      </c>
      <c r="D8" s="8">
        <v>84</v>
      </c>
      <c r="E8" s="8">
        <v>144</v>
      </c>
      <c r="F8" s="8">
        <v>84</v>
      </c>
      <c r="G8" s="8">
        <v>262</v>
      </c>
      <c r="H8" s="8">
        <v>335</v>
      </c>
      <c r="I8" s="8">
        <v>390</v>
      </c>
      <c r="J8" s="8">
        <v>422</v>
      </c>
      <c r="K8" s="8">
        <v>396</v>
      </c>
      <c r="L8" s="8">
        <v>334</v>
      </c>
      <c r="M8" s="8">
        <v>236</v>
      </c>
      <c r="N8" s="8">
        <v>155</v>
      </c>
      <c r="O8" s="8">
        <v>95</v>
      </c>
      <c r="P8" s="8">
        <v>69</v>
      </c>
    </row>
    <row r="9" spans="1:16" x14ac:dyDescent="0.2">
      <c r="A9" s="6" t="s">
        <v>2928</v>
      </c>
      <c r="B9" s="8">
        <v>197</v>
      </c>
      <c r="C9" s="8">
        <v>110</v>
      </c>
      <c r="D9" s="8">
        <v>110</v>
      </c>
      <c r="E9" s="8">
        <v>153</v>
      </c>
      <c r="F9" s="8">
        <v>110</v>
      </c>
      <c r="G9" s="8">
        <v>295</v>
      </c>
      <c r="H9" s="8">
        <v>324</v>
      </c>
      <c r="I9" s="8">
        <v>442</v>
      </c>
      <c r="J9" s="8">
        <v>398</v>
      </c>
      <c r="K9" s="8">
        <v>398</v>
      </c>
      <c r="L9" s="8">
        <v>421</v>
      </c>
      <c r="M9" s="8">
        <v>352</v>
      </c>
      <c r="N9" s="8">
        <v>291</v>
      </c>
      <c r="O9" s="8">
        <v>205</v>
      </c>
      <c r="P9" s="8">
        <v>60</v>
      </c>
    </row>
    <row r="10" spans="1:16" x14ac:dyDescent="0.2">
      <c r="A10" s="6" t="s">
        <v>3465</v>
      </c>
      <c r="B10" s="8">
        <v>197</v>
      </c>
      <c r="C10" s="8">
        <v>100</v>
      </c>
      <c r="D10" s="8">
        <v>100</v>
      </c>
      <c r="E10" s="8">
        <v>125</v>
      </c>
      <c r="F10" s="8">
        <v>100</v>
      </c>
      <c r="G10" s="8">
        <v>333</v>
      </c>
      <c r="H10" s="8">
        <v>470</v>
      </c>
      <c r="I10" s="8">
        <v>557</v>
      </c>
      <c r="J10" s="8">
        <v>600</v>
      </c>
      <c r="K10" s="8">
        <v>611</v>
      </c>
      <c r="L10" s="8">
        <v>587</v>
      </c>
      <c r="M10" s="8">
        <v>474</v>
      </c>
      <c r="N10" s="8">
        <v>358</v>
      </c>
      <c r="O10" s="8">
        <v>165</v>
      </c>
      <c r="P10" s="8">
        <v>55</v>
      </c>
    </row>
    <row r="11" spans="1:16" x14ac:dyDescent="0.2">
      <c r="A11" s="6" t="s">
        <v>4003</v>
      </c>
      <c r="B11" s="8">
        <v>1999</v>
      </c>
      <c r="C11" s="8">
        <v>763</v>
      </c>
      <c r="D11" s="8">
        <v>763</v>
      </c>
      <c r="E11" s="8">
        <v>1053</v>
      </c>
      <c r="F11" s="8">
        <v>763</v>
      </c>
      <c r="G11" s="8">
        <v>2159</v>
      </c>
      <c r="H11" s="8">
        <v>2865</v>
      </c>
      <c r="I11" s="8">
        <v>3471</v>
      </c>
      <c r="J11" s="8">
        <v>3633</v>
      </c>
      <c r="K11" s="8">
        <v>3699</v>
      </c>
      <c r="L11" s="8">
        <v>3464</v>
      </c>
      <c r="M11" s="8">
        <v>2723</v>
      </c>
      <c r="N11" s="8">
        <v>1962</v>
      </c>
      <c r="O11" s="8">
        <v>1208</v>
      </c>
      <c r="P11" s="8">
        <v>885</v>
      </c>
    </row>
    <row r="20" spans="8:8" x14ac:dyDescent="0.2">
      <c r="H20" s="29"/>
    </row>
    <row r="23" spans="8:8" x14ac:dyDescent="0.2">
      <c r="H23" s="29"/>
    </row>
    <row r="25" spans="8:8" x14ac:dyDescent="0.2">
      <c r="H25" s="29"/>
    </row>
    <row r="26" spans="8:8" x14ac:dyDescent="0.2">
      <c r="H26" s="29"/>
    </row>
    <row r="27" spans="8:8" x14ac:dyDescent="0.2">
      <c r="H27" s="29"/>
    </row>
    <row r="28" spans="8:8" x14ac:dyDescent="0.2">
      <c r="H28" s="29"/>
    </row>
    <row r="29" spans="8:8" x14ac:dyDescent="0.2">
      <c r="H29" s="29"/>
    </row>
    <row r="30" spans="8:8" x14ac:dyDescent="0.2">
      <c r="H30" s="29"/>
    </row>
    <row r="31" spans="8:8" x14ac:dyDescent="0.2">
      <c r="H31" s="29"/>
    </row>
    <row r="32" spans="8:8" x14ac:dyDescent="0.2">
      <c r="H32" s="29"/>
    </row>
    <row r="33" spans="8:8" x14ac:dyDescent="0.2">
      <c r="H33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68"/>
  <sheetViews>
    <sheetView tabSelected="1" topLeftCell="D1" workbookViewId="0">
      <selection activeCell="H15" sqref="H15"/>
    </sheetView>
  </sheetViews>
  <sheetFormatPr baseColWidth="10" defaultColWidth="8.83203125" defaultRowHeight="15" x14ac:dyDescent="0.2"/>
  <cols>
    <col min="1" max="1" width="17.6640625" bestFit="1" customWidth="1"/>
    <col min="2" max="2" width="38.5" customWidth="1"/>
    <col min="3" max="3" width="12.5" customWidth="1"/>
    <col min="4" max="4" width="38.5" bestFit="1" customWidth="1"/>
  </cols>
  <sheetData>
    <row r="1" spans="1:40" x14ac:dyDescent="0.2">
      <c r="A1" s="3" t="s">
        <v>0</v>
      </c>
      <c r="B1" s="3" t="s">
        <v>1</v>
      </c>
      <c r="C1" s="3" t="s">
        <v>4000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1" t="s">
        <v>12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20</v>
      </c>
      <c r="AI1" s="1" t="s">
        <v>21</v>
      </c>
      <c r="AJ1" s="1" t="s">
        <v>22</v>
      </c>
      <c r="AK1" s="1" t="s">
        <v>23</v>
      </c>
      <c r="AL1" s="1" t="s">
        <v>24</v>
      </c>
      <c r="AM1" s="1" t="s">
        <v>25</v>
      </c>
      <c r="AN1" s="1" t="s">
        <v>26</v>
      </c>
    </row>
    <row r="2" spans="1:40" x14ac:dyDescent="0.2">
      <c r="A2" s="2">
        <v>45995.467499999999</v>
      </c>
      <c r="B2" t="s">
        <v>42</v>
      </c>
      <c r="C2" t="s">
        <v>28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33</v>
      </c>
      <c r="J2" t="s">
        <v>34</v>
      </c>
      <c r="K2">
        <v>35</v>
      </c>
      <c r="L2">
        <v>10</v>
      </c>
      <c r="M2">
        <v>1</v>
      </c>
      <c r="N2">
        <v>0</v>
      </c>
      <c r="O2">
        <v>0</v>
      </c>
      <c r="P2">
        <v>0</v>
      </c>
      <c r="Q2">
        <v>0</v>
      </c>
      <c r="R2">
        <v>4</v>
      </c>
      <c r="S2">
        <v>1</v>
      </c>
      <c r="T2">
        <v>1</v>
      </c>
      <c r="U2">
        <v>1</v>
      </c>
      <c r="V2">
        <v>2</v>
      </c>
      <c r="W2">
        <v>0</v>
      </c>
      <c r="X2">
        <v>0</v>
      </c>
      <c r="Y2">
        <v>0</v>
      </c>
      <c r="Z2">
        <v>0</v>
      </c>
      <c r="AA2">
        <v>0</v>
      </c>
      <c r="AC2" t="s">
        <v>35</v>
      </c>
      <c r="AD2" t="s">
        <v>34</v>
      </c>
      <c r="AE2">
        <v>1</v>
      </c>
      <c r="AF2">
        <v>0</v>
      </c>
      <c r="AG2" t="s">
        <v>48</v>
      </c>
      <c r="AL2" t="s">
        <v>34</v>
      </c>
      <c r="AM2" t="s">
        <v>34</v>
      </c>
    </row>
    <row r="3" spans="1:40" x14ac:dyDescent="0.2">
      <c r="A3" s="2">
        <v>45995.469317129631</v>
      </c>
      <c r="B3" t="s">
        <v>51</v>
      </c>
      <c r="C3" t="s">
        <v>28</v>
      </c>
      <c r="D3" t="s">
        <v>52</v>
      </c>
      <c r="E3" t="s">
        <v>53</v>
      </c>
      <c r="F3" t="s">
        <v>54</v>
      </c>
      <c r="G3">
        <v>89585433747</v>
      </c>
      <c r="H3" t="s">
        <v>55</v>
      </c>
      <c r="I3" t="s">
        <v>41</v>
      </c>
      <c r="J3" t="s">
        <v>34</v>
      </c>
      <c r="K3">
        <v>40</v>
      </c>
      <c r="L3">
        <v>18</v>
      </c>
      <c r="M3">
        <v>0</v>
      </c>
      <c r="N3">
        <v>0</v>
      </c>
      <c r="O3">
        <v>0</v>
      </c>
      <c r="P3">
        <v>0</v>
      </c>
      <c r="Q3">
        <v>0</v>
      </c>
      <c r="R3">
        <v>5</v>
      </c>
      <c r="S3">
        <v>4</v>
      </c>
      <c r="T3">
        <v>3</v>
      </c>
      <c r="U3">
        <v>0</v>
      </c>
      <c r="V3">
        <v>0</v>
      </c>
      <c r="W3">
        <v>6</v>
      </c>
      <c r="X3">
        <v>0</v>
      </c>
      <c r="Y3">
        <v>0</v>
      </c>
      <c r="Z3">
        <v>0</v>
      </c>
      <c r="AA3">
        <v>0</v>
      </c>
      <c r="AC3" t="s">
        <v>34</v>
      </c>
      <c r="AD3" t="s">
        <v>34</v>
      </c>
      <c r="AE3">
        <v>1</v>
      </c>
      <c r="AF3">
        <v>0</v>
      </c>
      <c r="AG3" t="s">
        <v>56</v>
      </c>
      <c r="AL3" t="s">
        <v>34</v>
      </c>
      <c r="AM3" t="s">
        <v>34</v>
      </c>
    </row>
    <row r="4" spans="1:40" x14ac:dyDescent="0.2">
      <c r="A4" s="2">
        <v>45982.047233796293</v>
      </c>
      <c r="B4" t="s">
        <v>73</v>
      </c>
      <c r="C4" t="s">
        <v>28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34</v>
      </c>
      <c r="K4">
        <v>45</v>
      </c>
      <c r="L4">
        <v>18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</v>
      </c>
      <c r="U4">
        <v>6</v>
      </c>
      <c r="V4">
        <v>3</v>
      </c>
      <c r="W4">
        <v>1</v>
      </c>
      <c r="X4">
        <v>3</v>
      </c>
      <c r="Y4">
        <v>1</v>
      </c>
      <c r="Z4">
        <v>2</v>
      </c>
      <c r="AA4">
        <v>0</v>
      </c>
      <c r="AB4" t="s">
        <v>80</v>
      </c>
      <c r="AC4" t="s">
        <v>35</v>
      </c>
      <c r="AD4" t="s">
        <v>35</v>
      </c>
      <c r="AE4">
        <v>1</v>
      </c>
      <c r="AF4">
        <v>0</v>
      </c>
      <c r="AG4" t="s">
        <v>81</v>
      </c>
      <c r="AL4" t="s">
        <v>34</v>
      </c>
      <c r="AM4" t="s">
        <v>34</v>
      </c>
      <c r="AN4" t="s">
        <v>82</v>
      </c>
    </row>
    <row r="5" spans="1:40" x14ac:dyDescent="0.2">
      <c r="A5" s="2">
        <v>45979.071979166663</v>
      </c>
      <c r="B5" t="s">
        <v>83</v>
      </c>
      <c r="C5" t="s">
        <v>28</v>
      </c>
      <c r="D5" t="s">
        <v>74</v>
      </c>
      <c r="E5" t="s">
        <v>84</v>
      </c>
      <c r="F5" t="s">
        <v>85</v>
      </c>
      <c r="G5">
        <v>74153178501</v>
      </c>
      <c r="H5" t="s">
        <v>86</v>
      </c>
      <c r="I5" t="s">
        <v>49</v>
      </c>
      <c r="J5" t="s">
        <v>34</v>
      </c>
      <c r="K5">
        <v>100</v>
      </c>
      <c r="L5">
        <v>62</v>
      </c>
      <c r="M5">
        <v>0</v>
      </c>
      <c r="N5">
        <v>0</v>
      </c>
      <c r="O5">
        <v>0</v>
      </c>
      <c r="P5">
        <v>0</v>
      </c>
      <c r="Q5">
        <v>0</v>
      </c>
      <c r="R5">
        <v>4</v>
      </c>
      <c r="S5">
        <v>8</v>
      </c>
      <c r="T5">
        <v>10</v>
      </c>
      <c r="U5">
        <v>11</v>
      </c>
      <c r="V5">
        <v>12</v>
      </c>
      <c r="W5">
        <v>4</v>
      </c>
      <c r="X5">
        <v>6</v>
      </c>
      <c r="Y5">
        <v>7</v>
      </c>
      <c r="Z5">
        <v>0</v>
      </c>
      <c r="AA5">
        <v>0</v>
      </c>
      <c r="AB5" t="s">
        <v>87</v>
      </c>
      <c r="AC5" t="s">
        <v>34</v>
      </c>
      <c r="AD5" t="s">
        <v>34</v>
      </c>
      <c r="AE5">
        <v>2</v>
      </c>
      <c r="AF5">
        <v>1</v>
      </c>
      <c r="AG5" t="s">
        <v>88</v>
      </c>
      <c r="AL5" t="s">
        <v>34</v>
      </c>
      <c r="AM5" t="s">
        <v>34</v>
      </c>
    </row>
    <row r="6" spans="1:40" x14ac:dyDescent="0.2">
      <c r="A6" s="2">
        <v>45982.426365740743</v>
      </c>
      <c r="B6" t="s">
        <v>132</v>
      </c>
      <c r="C6" t="s">
        <v>28</v>
      </c>
      <c r="D6" t="s">
        <v>74</v>
      </c>
      <c r="E6" t="s">
        <v>133</v>
      </c>
      <c r="F6" t="s">
        <v>134</v>
      </c>
      <c r="G6">
        <v>84152236175</v>
      </c>
      <c r="H6" t="s">
        <v>135</v>
      </c>
      <c r="I6" t="s">
        <v>136</v>
      </c>
      <c r="J6" t="s">
        <v>34</v>
      </c>
      <c r="K6">
        <v>15</v>
      </c>
      <c r="L6">
        <v>15</v>
      </c>
      <c r="M6">
        <v>10</v>
      </c>
      <c r="N6">
        <v>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50</v>
      </c>
      <c r="AC6" t="s">
        <v>35</v>
      </c>
      <c r="AD6" t="s">
        <v>34</v>
      </c>
      <c r="AE6">
        <v>1</v>
      </c>
      <c r="AF6">
        <v>1</v>
      </c>
      <c r="AG6" t="s">
        <v>34</v>
      </c>
      <c r="AL6" t="s">
        <v>35</v>
      </c>
      <c r="AM6" t="s">
        <v>34</v>
      </c>
    </row>
    <row r="7" spans="1:40" x14ac:dyDescent="0.2">
      <c r="A7" s="2">
        <v>45995.473136574074</v>
      </c>
      <c r="B7" t="s">
        <v>137</v>
      </c>
      <c r="C7" t="s">
        <v>28</v>
      </c>
      <c r="D7" t="s">
        <v>74</v>
      </c>
      <c r="E7" t="s">
        <v>138</v>
      </c>
      <c r="F7" t="s">
        <v>139</v>
      </c>
      <c r="G7">
        <v>84152297138</v>
      </c>
      <c r="H7" t="s">
        <v>140</v>
      </c>
      <c r="I7" t="s">
        <v>41</v>
      </c>
      <c r="J7" t="s">
        <v>34</v>
      </c>
      <c r="K7">
        <v>45</v>
      </c>
      <c r="L7">
        <v>23</v>
      </c>
      <c r="M7">
        <v>0</v>
      </c>
      <c r="N7">
        <v>0</v>
      </c>
      <c r="O7">
        <v>0</v>
      </c>
      <c r="P7">
        <v>0</v>
      </c>
      <c r="Q7">
        <v>0</v>
      </c>
      <c r="R7">
        <v>2</v>
      </c>
      <c r="S7">
        <v>4</v>
      </c>
      <c r="T7">
        <v>5</v>
      </c>
      <c r="U7">
        <v>5</v>
      </c>
      <c r="V7">
        <v>4</v>
      </c>
      <c r="W7">
        <v>3</v>
      </c>
      <c r="X7">
        <v>0</v>
      </c>
      <c r="Y7">
        <v>0</v>
      </c>
      <c r="Z7">
        <v>0</v>
      </c>
      <c r="AA7">
        <v>0</v>
      </c>
      <c r="AC7" t="s">
        <v>35</v>
      </c>
      <c r="AD7" t="s">
        <v>34</v>
      </c>
      <c r="AE7">
        <v>1</v>
      </c>
      <c r="AF7">
        <v>0</v>
      </c>
      <c r="AG7" t="s">
        <v>56</v>
      </c>
      <c r="AL7" t="s">
        <v>34</v>
      </c>
      <c r="AM7" t="s">
        <v>34</v>
      </c>
    </row>
    <row r="8" spans="1:40" x14ac:dyDescent="0.2">
      <c r="A8" s="2">
        <v>45981.364432870367</v>
      </c>
      <c r="B8" t="s">
        <v>141</v>
      </c>
      <c r="C8" t="s">
        <v>28</v>
      </c>
      <c r="D8" t="s">
        <v>74</v>
      </c>
      <c r="E8" t="s">
        <v>138</v>
      </c>
      <c r="F8" t="s">
        <v>142</v>
      </c>
      <c r="G8" t="s">
        <v>143</v>
      </c>
      <c r="H8" t="s">
        <v>144</v>
      </c>
      <c r="I8" t="s">
        <v>145</v>
      </c>
      <c r="J8" t="s">
        <v>34</v>
      </c>
      <c r="K8">
        <v>8</v>
      </c>
      <c r="L8">
        <v>8</v>
      </c>
      <c r="M8">
        <v>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146</v>
      </c>
      <c r="AC8" t="s">
        <v>35</v>
      </c>
      <c r="AD8" t="s">
        <v>34</v>
      </c>
      <c r="AE8">
        <v>3</v>
      </c>
      <c r="AF8">
        <v>1</v>
      </c>
      <c r="AG8" t="s">
        <v>147</v>
      </c>
      <c r="AH8">
        <v>1</v>
      </c>
      <c r="AL8" t="s">
        <v>34</v>
      </c>
      <c r="AM8" t="s">
        <v>34</v>
      </c>
    </row>
    <row r="9" spans="1:40" x14ac:dyDescent="0.2">
      <c r="A9" s="2">
        <v>45981.345046296286</v>
      </c>
      <c r="B9" t="s">
        <v>148</v>
      </c>
      <c r="C9" t="s">
        <v>28</v>
      </c>
      <c r="D9" t="s">
        <v>74</v>
      </c>
      <c r="E9" t="s">
        <v>138</v>
      </c>
      <c r="F9" t="s">
        <v>149</v>
      </c>
      <c r="G9">
        <v>89619699815</v>
      </c>
      <c r="H9" t="s">
        <v>150</v>
      </c>
      <c r="I9" t="s">
        <v>33</v>
      </c>
      <c r="J9" t="s">
        <v>34</v>
      </c>
      <c r="K9">
        <v>560</v>
      </c>
      <c r="L9">
        <v>76</v>
      </c>
      <c r="M9">
        <v>8</v>
      </c>
      <c r="N9">
        <v>0</v>
      </c>
      <c r="O9">
        <v>3</v>
      </c>
      <c r="P9">
        <v>5</v>
      </c>
      <c r="Q9">
        <v>2</v>
      </c>
      <c r="R9">
        <v>2</v>
      </c>
      <c r="S9">
        <v>3</v>
      </c>
      <c r="T9">
        <v>8</v>
      </c>
      <c r="U9">
        <v>4</v>
      </c>
      <c r="V9">
        <v>10</v>
      </c>
      <c r="W9">
        <v>10</v>
      </c>
      <c r="X9">
        <v>8</v>
      </c>
      <c r="Y9">
        <v>5</v>
      </c>
      <c r="Z9">
        <v>5</v>
      </c>
      <c r="AA9">
        <v>3</v>
      </c>
      <c r="AB9" t="s">
        <v>151</v>
      </c>
      <c r="AC9" t="s">
        <v>35</v>
      </c>
      <c r="AD9" t="s">
        <v>34</v>
      </c>
      <c r="AE9">
        <v>3</v>
      </c>
      <c r="AF9">
        <v>1</v>
      </c>
      <c r="AG9" t="s">
        <v>152</v>
      </c>
      <c r="AH9">
        <v>1</v>
      </c>
      <c r="AL9" t="s">
        <v>35</v>
      </c>
      <c r="AM9" t="s">
        <v>35</v>
      </c>
    </row>
    <row r="10" spans="1:40" x14ac:dyDescent="0.2">
      <c r="A10" s="2">
        <v>45979.159988425927</v>
      </c>
      <c r="B10" t="s">
        <v>102</v>
      </c>
      <c r="C10" t="s">
        <v>28</v>
      </c>
      <c r="D10" t="s">
        <v>103</v>
      </c>
      <c r="E10" t="s">
        <v>104</v>
      </c>
      <c r="F10" t="s">
        <v>105</v>
      </c>
      <c r="G10" t="s">
        <v>106</v>
      </c>
      <c r="H10" t="s">
        <v>107</v>
      </c>
      <c r="I10" t="s">
        <v>49</v>
      </c>
      <c r="J10" t="s">
        <v>34</v>
      </c>
      <c r="K10">
        <v>370</v>
      </c>
      <c r="L10">
        <v>17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6</v>
      </c>
      <c r="U10">
        <v>4</v>
      </c>
      <c r="V10">
        <v>5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108</v>
      </c>
      <c r="AC10" t="s">
        <v>34</v>
      </c>
      <c r="AD10" t="s">
        <v>35</v>
      </c>
      <c r="AE10">
        <v>1</v>
      </c>
      <c r="AF10">
        <v>0</v>
      </c>
      <c r="AG10" t="s">
        <v>109</v>
      </c>
      <c r="AH10">
        <v>1</v>
      </c>
      <c r="AL10" t="s">
        <v>35</v>
      </c>
      <c r="AM10" t="s">
        <v>34</v>
      </c>
    </row>
    <row r="11" spans="1:40" x14ac:dyDescent="0.2">
      <c r="A11" s="2">
        <v>45979.112997685188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>
        <v>84236297311</v>
      </c>
      <c r="H11" t="s">
        <v>32</v>
      </c>
      <c r="I11" t="s">
        <v>33</v>
      </c>
      <c r="J11" t="s">
        <v>34</v>
      </c>
      <c r="K11">
        <v>98</v>
      </c>
      <c r="L11">
        <v>2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C11" t="s">
        <v>35</v>
      </c>
      <c r="AD11" t="s">
        <v>34</v>
      </c>
      <c r="AE11">
        <v>0</v>
      </c>
      <c r="AF11">
        <v>0</v>
      </c>
      <c r="AG11">
        <v>0</v>
      </c>
      <c r="AL11" t="s">
        <v>34</v>
      </c>
      <c r="AM11" t="s">
        <v>34</v>
      </c>
    </row>
    <row r="12" spans="1:40" x14ac:dyDescent="0.2">
      <c r="A12" s="2">
        <v>45995.475960648153</v>
      </c>
      <c r="B12" t="s">
        <v>36</v>
      </c>
      <c r="C12" t="s">
        <v>28</v>
      </c>
      <c r="D12" t="s">
        <v>29</v>
      </c>
      <c r="E12" t="s">
        <v>37</v>
      </c>
      <c r="F12" t="s">
        <v>38</v>
      </c>
      <c r="G12" t="s">
        <v>39</v>
      </c>
      <c r="H12" t="s">
        <v>40</v>
      </c>
      <c r="I12" t="s">
        <v>41</v>
      </c>
      <c r="J12" t="s">
        <v>34</v>
      </c>
      <c r="K12">
        <v>5</v>
      </c>
      <c r="L12">
        <v>5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2</v>
      </c>
      <c r="U12">
        <v>0</v>
      </c>
      <c r="V12">
        <v>0</v>
      </c>
      <c r="W12">
        <v>2</v>
      </c>
      <c r="X12">
        <v>0</v>
      </c>
      <c r="Y12">
        <v>0</v>
      </c>
      <c r="Z12">
        <v>0</v>
      </c>
      <c r="AA12">
        <v>0</v>
      </c>
      <c r="AC12" t="s">
        <v>35</v>
      </c>
      <c r="AD12" t="s">
        <v>34</v>
      </c>
      <c r="AE12">
        <v>1</v>
      </c>
      <c r="AF12">
        <v>0</v>
      </c>
      <c r="AG12">
        <v>0</v>
      </c>
      <c r="AL12" t="s">
        <v>34</v>
      </c>
      <c r="AM12" t="s">
        <v>34</v>
      </c>
    </row>
    <row r="13" spans="1:40" x14ac:dyDescent="0.2">
      <c r="A13" s="2">
        <v>45999.18445601852</v>
      </c>
      <c r="B13" t="s">
        <v>57</v>
      </c>
      <c r="C13" t="s">
        <v>28</v>
      </c>
      <c r="D13" t="s">
        <v>29</v>
      </c>
      <c r="E13" t="s">
        <v>58</v>
      </c>
      <c r="F13" t="s">
        <v>59</v>
      </c>
      <c r="G13">
        <v>79147901535</v>
      </c>
      <c r="H13" t="s">
        <v>60</v>
      </c>
      <c r="I13" t="s">
        <v>61</v>
      </c>
      <c r="J13" t="s">
        <v>34</v>
      </c>
      <c r="K13">
        <v>339</v>
      </c>
      <c r="L13">
        <v>29</v>
      </c>
      <c r="M13">
        <v>16</v>
      </c>
      <c r="N13">
        <v>4</v>
      </c>
      <c r="O13">
        <v>0</v>
      </c>
      <c r="P13">
        <v>1</v>
      </c>
      <c r="Q13">
        <v>2</v>
      </c>
      <c r="R13">
        <v>1</v>
      </c>
      <c r="S13">
        <v>2</v>
      </c>
      <c r="T13">
        <v>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62</v>
      </c>
      <c r="AC13" t="s">
        <v>35</v>
      </c>
      <c r="AD13" t="s">
        <v>34</v>
      </c>
      <c r="AE13">
        <v>2</v>
      </c>
      <c r="AF13">
        <v>0</v>
      </c>
      <c r="AG13">
        <v>0</v>
      </c>
      <c r="AL13" t="s">
        <v>35</v>
      </c>
      <c r="AM13" t="s">
        <v>35</v>
      </c>
      <c r="AN13" t="s">
        <v>63</v>
      </c>
    </row>
    <row r="14" spans="1:40" x14ac:dyDescent="0.2">
      <c r="A14" s="2">
        <v>45978.074178240742</v>
      </c>
      <c r="B14" t="s">
        <v>64</v>
      </c>
      <c r="C14" t="s">
        <v>28</v>
      </c>
      <c r="D14" t="s">
        <v>29</v>
      </c>
      <c r="E14" t="s">
        <v>65</v>
      </c>
      <c r="F14" t="s">
        <v>66</v>
      </c>
      <c r="G14">
        <v>84232274385</v>
      </c>
      <c r="H14" t="s">
        <v>67</v>
      </c>
      <c r="I14" t="s">
        <v>49</v>
      </c>
      <c r="J14" t="s">
        <v>34</v>
      </c>
      <c r="K14">
        <v>450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2</v>
      </c>
      <c r="AA14">
        <v>0</v>
      </c>
      <c r="AC14" t="s">
        <v>34</v>
      </c>
      <c r="AD14" t="s">
        <v>34</v>
      </c>
      <c r="AE14">
        <v>0</v>
      </c>
      <c r="AF14">
        <v>0</v>
      </c>
      <c r="AG14">
        <v>0</v>
      </c>
      <c r="AL14" t="s">
        <v>35</v>
      </c>
      <c r="AM14" t="s">
        <v>34</v>
      </c>
    </row>
    <row r="15" spans="1:40" x14ac:dyDescent="0.2">
      <c r="A15" s="2">
        <v>45978.118321759262</v>
      </c>
      <c r="B15" t="s">
        <v>110</v>
      </c>
      <c r="C15" t="s">
        <v>28</v>
      </c>
      <c r="D15" t="s">
        <v>29</v>
      </c>
      <c r="E15" t="s">
        <v>111</v>
      </c>
      <c r="F15" t="s">
        <v>112</v>
      </c>
      <c r="G15">
        <v>84236697106</v>
      </c>
      <c r="H15" t="s">
        <v>113</v>
      </c>
      <c r="I15" t="s">
        <v>49</v>
      </c>
      <c r="J15" t="s">
        <v>114</v>
      </c>
      <c r="K15">
        <v>297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C15" t="s">
        <v>35</v>
      </c>
      <c r="AD15" t="s">
        <v>34</v>
      </c>
      <c r="AE15">
        <v>0</v>
      </c>
      <c r="AF15">
        <v>0</v>
      </c>
      <c r="AG15">
        <v>0</v>
      </c>
      <c r="AL15" t="s">
        <v>35</v>
      </c>
      <c r="AM15" t="s">
        <v>34</v>
      </c>
    </row>
    <row r="16" spans="1:40" x14ac:dyDescent="0.2">
      <c r="A16" s="2">
        <v>45996.92087962963</v>
      </c>
      <c r="B16" t="s">
        <v>153</v>
      </c>
      <c r="C16" t="s">
        <v>28</v>
      </c>
      <c r="D16" t="s">
        <v>29</v>
      </c>
      <c r="E16" t="s">
        <v>154</v>
      </c>
      <c r="F16" t="s">
        <v>155</v>
      </c>
      <c r="G16">
        <v>79294284990</v>
      </c>
      <c r="H16" t="s">
        <v>156</v>
      </c>
      <c r="I16" t="s">
        <v>157</v>
      </c>
      <c r="J16" t="s">
        <v>34</v>
      </c>
      <c r="K16">
        <v>230</v>
      </c>
      <c r="L16">
        <v>58</v>
      </c>
      <c r="M16">
        <v>2</v>
      </c>
      <c r="N16">
        <v>0</v>
      </c>
      <c r="O16">
        <v>0</v>
      </c>
      <c r="P16">
        <v>0</v>
      </c>
      <c r="Q16">
        <v>0</v>
      </c>
      <c r="R16">
        <v>8</v>
      </c>
      <c r="S16">
        <v>7</v>
      </c>
      <c r="T16">
        <v>6</v>
      </c>
      <c r="U16">
        <v>7</v>
      </c>
      <c r="V16">
        <v>5</v>
      </c>
      <c r="W16">
        <v>6</v>
      </c>
      <c r="X16">
        <v>6</v>
      </c>
      <c r="Y16">
        <v>3</v>
      </c>
      <c r="Z16">
        <v>5</v>
      </c>
      <c r="AA16">
        <v>3</v>
      </c>
      <c r="AB16" t="s">
        <v>158</v>
      </c>
      <c r="AC16" t="s">
        <v>34</v>
      </c>
      <c r="AD16" t="s">
        <v>35</v>
      </c>
      <c r="AE16">
        <v>3</v>
      </c>
      <c r="AF16">
        <v>1</v>
      </c>
      <c r="AG16" t="s">
        <v>34</v>
      </c>
      <c r="AL16" t="s">
        <v>34</v>
      </c>
      <c r="AM16" t="s">
        <v>34</v>
      </c>
      <c r="AN16" t="s">
        <v>159</v>
      </c>
    </row>
    <row r="17" spans="1:40" x14ac:dyDescent="0.2">
      <c r="A17" s="2">
        <v>45978.191400462973</v>
      </c>
      <c r="B17" t="s">
        <v>160</v>
      </c>
      <c r="C17" t="s">
        <v>28</v>
      </c>
      <c r="D17" t="s">
        <v>29</v>
      </c>
      <c r="E17" t="s">
        <v>161</v>
      </c>
      <c r="F17" t="s">
        <v>162</v>
      </c>
      <c r="G17">
        <v>84233535414</v>
      </c>
      <c r="H17" t="s">
        <v>163</v>
      </c>
      <c r="I17" t="s">
        <v>33</v>
      </c>
      <c r="J17" t="s">
        <v>34</v>
      </c>
      <c r="K17">
        <v>45</v>
      </c>
      <c r="L17">
        <v>15</v>
      </c>
      <c r="M17">
        <v>0</v>
      </c>
      <c r="N17">
        <v>0</v>
      </c>
      <c r="O17">
        <v>0</v>
      </c>
      <c r="P17">
        <v>0</v>
      </c>
      <c r="Q17">
        <v>2</v>
      </c>
      <c r="R17">
        <v>5</v>
      </c>
      <c r="S17">
        <v>2</v>
      </c>
      <c r="T17">
        <v>2</v>
      </c>
      <c r="U17">
        <v>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50</v>
      </c>
      <c r="AC17" t="s">
        <v>34</v>
      </c>
      <c r="AD17" t="s">
        <v>34</v>
      </c>
      <c r="AE17">
        <v>1</v>
      </c>
      <c r="AF17">
        <v>0</v>
      </c>
      <c r="AG17" t="s">
        <v>56</v>
      </c>
      <c r="AL17" t="s">
        <v>35</v>
      </c>
      <c r="AM17" t="s">
        <v>34</v>
      </c>
    </row>
    <row r="18" spans="1:40" x14ac:dyDescent="0.2">
      <c r="A18" s="2">
        <v>45979.104479166657</v>
      </c>
      <c r="B18" t="s">
        <v>167</v>
      </c>
      <c r="C18" t="s">
        <v>28</v>
      </c>
      <c r="D18" t="s">
        <v>29</v>
      </c>
      <c r="E18" t="s">
        <v>168</v>
      </c>
      <c r="F18" t="s">
        <v>169</v>
      </c>
      <c r="G18" t="s">
        <v>170</v>
      </c>
      <c r="H18" t="s">
        <v>171</v>
      </c>
      <c r="I18" t="s">
        <v>49</v>
      </c>
      <c r="J18" t="s">
        <v>34</v>
      </c>
      <c r="K18">
        <v>157</v>
      </c>
      <c r="L18">
        <v>10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</v>
      </c>
      <c r="Y18">
        <v>4</v>
      </c>
      <c r="Z18">
        <v>0</v>
      </c>
      <c r="AA18">
        <v>0</v>
      </c>
      <c r="AB18" t="s">
        <v>108</v>
      </c>
      <c r="AC18" t="s">
        <v>35</v>
      </c>
      <c r="AD18" t="s">
        <v>35</v>
      </c>
      <c r="AE18">
        <v>1</v>
      </c>
      <c r="AF18">
        <v>1</v>
      </c>
      <c r="AG18" t="s">
        <v>34</v>
      </c>
      <c r="AL18" t="s">
        <v>34</v>
      </c>
      <c r="AM18" t="s">
        <v>34</v>
      </c>
    </row>
    <row r="19" spans="1:40" x14ac:dyDescent="0.2">
      <c r="A19" s="2">
        <v>45999.490405092591</v>
      </c>
      <c r="B19" t="s">
        <v>172</v>
      </c>
      <c r="C19" t="s">
        <v>28</v>
      </c>
      <c r="D19" t="s">
        <v>29</v>
      </c>
      <c r="E19" t="s">
        <v>168</v>
      </c>
      <c r="F19" t="s">
        <v>173</v>
      </c>
      <c r="G19" t="s">
        <v>174</v>
      </c>
      <c r="H19" t="s">
        <v>171</v>
      </c>
      <c r="I19" t="s">
        <v>49</v>
      </c>
      <c r="J19" t="s">
        <v>34</v>
      </c>
      <c r="K19">
        <v>60</v>
      </c>
      <c r="L19">
        <v>32</v>
      </c>
      <c r="M19">
        <v>1</v>
      </c>
      <c r="N19">
        <v>2</v>
      </c>
      <c r="O19">
        <v>1</v>
      </c>
      <c r="P19">
        <v>6</v>
      </c>
      <c r="Q19">
        <v>4</v>
      </c>
      <c r="R19">
        <v>3</v>
      </c>
      <c r="S19">
        <v>3</v>
      </c>
      <c r="T19">
        <v>2</v>
      </c>
      <c r="U19">
        <v>2</v>
      </c>
      <c r="V19">
        <v>1</v>
      </c>
      <c r="W19">
        <v>1</v>
      </c>
      <c r="X19">
        <v>1</v>
      </c>
      <c r="Y19">
        <v>3</v>
      </c>
      <c r="Z19">
        <v>1</v>
      </c>
      <c r="AA19">
        <v>1</v>
      </c>
      <c r="AB19" t="s">
        <v>94</v>
      </c>
      <c r="AC19" t="s">
        <v>35</v>
      </c>
      <c r="AD19" t="s">
        <v>35</v>
      </c>
      <c r="AE19">
        <v>1</v>
      </c>
      <c r="AF19">
        <v>1</v>
      </c>
      <c r="AG19" t="s">
        <v>34</v>
      </c>
      <c r="AL19" t="s">
        <v>35</v>
      </c>
      <c r="AM19" t="s">
        <v>35</v>
      </c>
      <c r="AN19" t="s">
        <v>175</v>
      </c>
    </row>
    <row r="20" spans="1:40" x14ac:dyDescent="0.2">
      <c r="A20" s="2">
        <v>45979.499525462961</v>
      </c>
      <c r="B20" t="s">
        <v>176</v>
      </c>
      <c r="C20" t="s">
        <v>28</v>
      </c>
      <c r="D20" t="s">
        <v>29</v>
      </c>
      <c r="E20" t="s">
        <v>177</v>
      </c>
      <c r="F20" t="s">
        <v>178</v>
      </c>
      <c r="G20" t="s">
        <v>179</v>
      </c>
      <c r="H20" t="s">
        <v>180</v>
      </c>
      <c r="I20" t="s">
        <v>49</v>
      </c>
      <c r="J20" t="s">
        <v>114</v>
      </c>
      <c r="K20">
        <v>245</v>
      </c>
      <c r="L20">
        <v>11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4</v>
      </c>
      <c r="W20">
        <v>0</v>
      </c>
      <c r="X20">
        <v>0</v>
      </c>
      <c r="Y20">
        <v>0</v>
      </c>
      <c r="Z20">
        <v>1</v>
      </c>
      <c r="AA20">
        <v>4</v>
      </c>
      <c r="AB20" t="s">
        <v>181</v>
      </c>
      <c r="AC20" t="s">
        <v>35</v>
      </c>
      <c r="AD20" t="s">
        <v>35</v>
      </c>
      <c r="AE20">
        <v>1</v>
      </c>
      <c r="AF20">
        <v>1</v>
      </c>
      <c r="AG20" t="s">
        <v>56</v>
      </c>
      <c r="AL20" t="s">
        <v>35</v>
      </c>
      <c r="AM20" t="s">
        <v>34</v>
      </c>
    </row>
    <row r="21" spans="1:40" x14ac:dyDescent="0.2">
      <c r="A21" s="2">
        <v>45994.637483229169</v>
      </c>
      <c r="B21" t="s">
        <v>3863</v>
      </c>
      <c r="C21" t="s">
        <v>3465</v>
      </c>
      <c r="D21" t="s">
        <v>3520</v>
      </c>
      <c r="E21" t="s">
        <v>3864</v>
      </c>
      <c r="F21" t="s">
        <v>3865</v>
      </c>
      <c r="G21">
        <v>88512611011</v>
      </c>
      <c r="H21" t="s">
        <v>3866</v>
      </c>
      <c r="I21" t="s">
        <v>49</v>
      </c>
      <c r="J21" t="s">
        <v>34</v>
      </c>
      <c r="K21">
        <v>50</v>
      </c>
      <c r="L21">
        <v>25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3</v>
      </c>
      <c r="U21">
        <v>2</v>
      </c>
      <c r="V21">
        <v>8</v>
      </c>
      <c r="W21">
        <v>1</v>
      </c>
      <c r="X21">
        <v>1</v>
      </c>
      <c r="Y21">
        <v>3</v>
      </c>
      <c r="Z21">
        <v>1</v>
      </c>
      <c r="AA21">
        <v>5</v>
      </c>
      <c r="AB21" t="s">
        <v>108</v>
      </c>
      <c r="AC21" t="s">
        <v>34</v>
      </c>
      <c r="AD21" t="s">
        <v>35</v>
      </c>
      <c r="AE21">
        <v>1</v>
      </c>
      <c r="AF21">
        <v>1</v>
      </c>
      <c r="AG21" t="s">
        <v>3867</v>
      </c>
      <c r="AL21" t="s">
        <v>34</v>
      </c>
      <c r="AM21" t="s">
        <v>34</v>
      </c>
    </row>
    <row r="22" spans="1:40" x14ac:dyDescent="0.2">
      <c r="A22" s="2">
        <v>45995.484594907408</v>
      </c>
      <c r="B22" t="s">
        <v>223</v>
      </c>
      <c r="C22" t="s">
        <v>28</v>
      </c>
      <c r="D22" t="s">
        <v>224</v>
      </c>
      <c r="E22" t="s">
        <v>225</v>
      </c>
      <c r="F22" t="s">
        <v>226</v>
      </c>
      <c r="G22" t="s">
        <v>227</v>
      </c>
      <c r="H22" t="s">
        <v>228</v>
      </c>
      <c r="I22" t="s">
        <v>41</v>
      </c>
      <c r="J22" t="s">
        <v>34</v>
      </c>
      <c r="K22">
        <v>40</v>
      </c>
      <c r="L22">
        <v>14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</v>
      </c>
      <c r="V22">
        <v>10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131</v>
      </c>
      <c r="AC22" t="s">
        <v>34</v>
      </c>
      <c r="AD22" t="s">
        <v>34</v>
      </c>
      <c r="AE22">
        <v>1</v>
      </c>
      <c r="AF22">
        <v>0</v>
      </c>
      <c r="AG22" t="s">
        <v>48</v>
      </c>
      <c r="AL22" t="s">
        <v>34</v>
      </c>
      <c r="AM22" t="s">
        <v>34</v>
      </c>
    </row>
    <row r="23" spans="1:40" x14ac:dyDescent="0.2">
      <c r="A23" s="2">
        <v>45978.108472222222</v>
      </c>
      <c r="B23" t="s">
        <v>115</v>
      </c>
      <c r="C23" t="s">
        <v>28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49</v>
      </c>
      <c r="J23" t="s">
        <v>34</v>
      </c>
      <c r="K23">
        <v>101</v>
      </c>
      <c r="L23">
        <v>16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2</v>
      </c>
      <c r="U23">
        <v>10</v>
      </c>
      <c r="V23">
        <v>0</v>
      </c>
      <c r="W23">
        <v>0</v>
      </c>
      <c r="X23">
        <v>2</v>
      </c>
      <c r="Y23">
        <v>0</v>
      </c>
      <c r="Z23">
        <v>0</v>
      </c>
      <c r="AA23">
        <v>0</v>
      </c>
      <c r="AB23" t="s">
        <v>50</v>
      </c>
      <c r="AC23" t="s">
        <v>35</v>
      </c>
      <c r="AD23" t="s">
        <v>35</v>
      </c>
      <c r="AE23">
        <v>1</v>
      </c>
      <c r="AF23">
        <v>0</v>
      </c>
      <c r="AG23" t="s">
        <v>121</v>
      </c>
      <c r="AL23" t="s">
        <v>35</v>
      </c>
      <c r="AM23" t="s">
        <v>34</v>
      </c>
    </row>
    <row r="24" spans="1:40" x14ac:dyDescent="0.2">
      <c r="A24" s="2">
        <v>45979.0934837963</v>
      </c>
      <c r="B24" t="s">
        <v>122</v>
      </c>
      <c r="C24" t="s">
        <v>28</v>
      </c>
      <c r="D24" t="s">
        <v>116</v>
      </c>
      <c r="E24" t="s">
        <v>123</v>
      </c>
      <c r="F24" t="s">
        <v>124</v>
      </c>
      <c r="G24">
        <v>84244491198</v>
      </c>
      <c r="H24" t="s">
        <v>125</v>
      </c>
      <c r="I24" t="s">
        <v>49</v>
      </c>
      <c r="J24" t="s">
        <v>34</v>
      </c>
      <c r="K24">
        <v>150</v>
      </c>
      <c r="L24">
        <v>50</v>
      </c>
      <c r="M24">
        <v>0</v>
      </c>
      <c r="N24">
        <v>0</v>
      </c>
      <c r="O24">
        <v>0</v>
      </c>
      <c r="P24">
        <v>0</v>
      </c>
      <c r="Q24">
        <v>0</v>
      </c>
      <c r="R24">
        <v>10</v>
      </c>
      <c r="S24">
        <v>10</v>
      </c>
      <c r="T24">
        <v>0</v>
      </c>
      <c r="U24">
        <v>10</v>
      </c>
      <c r="V24">
        <v>0</v>
      </c>
      <c r="W24">
        <v>10</v>
      </c>
      <c r="X24">
        <v>0</v>
      </c>
      <c r="Y24">
        <v>10</v>
      </c>
      <c r="Z24">
        <v>0</v>
      </c>
      <c r="AA24">
        <v>0</v>
      </c>
      <c r="AB24" t="s">
        <v>126</v>
      </c>
      <c r="AC24" t="s">
        <v>35</v>
      </c>
      <c r="AD24" t="s">
        <v>35</v>
      </c>
      <c r="AE24">
        <v>1</v>
      </c>
      <c r="AF24">
        <v>0</v>
      </c>
      <c r="AG24" t="s">
        <v>34</v>
      </c>
      <c r="AL24" t="s">
        <v>35</v>
      </c>
      <c r="AM24" t="s">
        <v>34</v>
      </c>
    </row>
    <row r="25" spans="1:40" x14ac:dyDescent="0.2">
      <c r="A25" s="2">
        <v>45979.053032407413</v>
      </c>
      <c r="B25" t="s">
        <v>218</v>
      </c>
      <c r="C25" t="s">
        <v>28</v>
      </c>
      <c r="D25" t="s">
        <v>116</v>
      </c>
      <c r="E25" t="s">
        <v>219</v>
      </c>
      <c r="F25" t="s">
        <v>220</v>
      </c>
      <c r="G25">
        <v>89241813079</v>
      </c>
      <c r="H25" t="s">
        <v>221</v>
      </c>
      <c r="I25" t="s">
        <v>49</v>
      </c>
      <c r="J25" t="s">
        <v>114</v>
      </c>
      <c r="K25">
        <v>472</v>
      </c>
      <c r="L25">
        <v>58</v>
      </c>
      <c r="M25" s="4">
        <v>0</v>
      </c>
      <c r="N25" s="4">
        <v>0</v>
      </c>
      <c r="O25" s="4">
        <v>0</v>
      </c>
      <c r="P25" s="4">
        <v>0</v>
      </c>
      <c r="Q25" s="4">
        <v>5</v>
      </c>
      <c r="R25" s="4">
        <v>10</v>
      </c>
      <c r="S25" s="4">
        <v>5</v>
      </c>
      <c r="T25" s="4">
        <v>6</v>
      </c>
      <c r="U25" s="4">
        <v>8</v>
      </c>
      <c r="V25" s="4">
        <v>9</v>
      </c>
      <c r="W25" s="4">
        <v>6</v>
      </c>
      <c r="X25" s="4">
        <v>3</v>
      </c>
      <c r="Y25" s="4">
        <v>4</v>
      </c>
      <c r="Z25" s="4">
        <v>2</v>
      </c>
      <c r="AA25" s="4">
        <v>0</v>
      </c>
      <c r="AB25" t="s">
        <v>62</v>
      </c>
      <c r="AC25" t="s">
        <v>34</v>
      </c>
      <c r="AD25" t="s">
        <v>35</v>
      </c>
      <c r="AE25">
        <v>2</v>
      </c>
      <c r="AF25">
        <v>0</v>
      </c>
      <c r="AG25" t="s">
        <v>222</v>
      </c>
      <c r="AH25">
        <v>2</v>
      </c>
      <c r="AL25" t="s">
        <v>35</v>
      </c>
      <c r="AM25" t="s">
        <v>35</v>
      </c>
    </row>
    <row r="26" spans="1:40" x14ac:dyDescent="0.2">
      <c r="A26" s="2">
        <v>45995.454004629632</v>
      </c>
      <c r="B26" t="s">
        <v>68</v>
      </c>
      <c r="C26" t="s">
        <v>28</v>
      </c>
      <c r="D26" t="s">
        <v>96</v>
      </c>
      <c r="E26" t="s">
        <v>70</v>
      </c>
      <c r="F26" t="s">
        <v>71</v>
      </c>
      <c r="G26">
        <v>84215331265</v>
      </c>
      <c r="H26" t="s">
        <v>72</v>
      </c>
      <c r="I26" t="s">
        <v>41</v>
      </c>
      <c r="J26" t="s">
        <v>34</v>
      </c>
      <c r="K26">
        <v>45</v>
      </c>
      <c r="L26">
        <v>23</v>
      </c>
      <c r="M26" s="4">
        <v>0</v>
      </c>
      <c r="N26" s="4">
        <v>0</v>
      </c>
      <c r="O26" s="4">
        <v>0</v>
      </c>
      <c r="P26" s="4">
        <v>0</v>
      </c>
      <c r="Q26" s="4">
        <v>5</v>
      </c>
      <c r="R26" s="4">
        <v>5</v>
      </c>
      <c r="S26" s="4">
        <v>7</v>
      </c>
      <c r="T26" s="4">
        <v>4</v>
      </c>
      <c r="U26" s="4">
        <v>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C26" t="s">
        <v>34</v>
      </c>
      <c r="AD26" t="s">
        <v>34</v>
      </c>
      <c r="AE26">
        <v>1</v>
      </c>
      <c r="AF26">
        <v>0</v>
      </c>
      <c r="AG26" t="s">
        <v>56</v>
      </c>
      <c r="AL26" t="s">
        <v>34</v>
      </c>
      <c r="AM26" t="s">
        <v>34</v>
      </c>
    </row>
    <row r="27" spans="1:40" x14ac:dyDescent="0.2">
      <c r="A27" s="2">
        <v>45999.382407407407</v>
      </c>
      <c r="B27" t="s">
        <v>89</v>
      </c>
      <c r="C27" t="s">
        <v>28</v>
      </c>
      <c r="D27" t="s">
        <v>96</v>
      </c>
      <c r="E27" t="s">
        <v>91</v>
      </c>
      <c r="F27" t="s">
        <v>91</v>
      </c>
      <c r="G27">
        <v>89142121877</v>
      </c>
      <c r="H27" t="s">
        <v>92</v>
      </c>
      <c r="I27" t="s">
        <v>93</v>
      </c>
      <c r="J27" t="s">
        <v>34</v>
      </c>
      <c r="K27">
        <v>90</v>
      </c>
      <c r="L27">
        <v>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2</v>
      </c>
      <c r="Z27">
        <v>3</v>
      </c>
      <c r="AA27">
        <v>0</v>
      </c>
      <c r="AB27" t="s">
        <v>94</v>
      </c>
      <c r="AC27" t="s">
        <v>35</v>
      </c>
      <c r="AD27" t="s">
        <v>35</v>
      </c>
      <c r="AE27">
        <v>1</v>
      </c>
      <c r="AF27">
        <v>0</v>
      </c>
      <c r="AG27" t="s">
        <v>56</v>
      </c>
      <c r="AL27" t="s">
        <v>35</v>
      </c>
      <c r="AM27" t="s">
        <v>34</v>
      </c>
    </row>
    <row r="28" spans="1:40" x14ac:dyDescent="0.2">
      <c r="A28" s="2">
        <v>46000.412893518522</v>
      </c>
      <c r="B28" t="s">
        <v>95</v>
      </c>
      <c r="C28" t="s">
        <v>28</v>
      </c>
      <c r="D28" t="s">
        <v>96</v>
      </c>
      <c r="E28" t="s">
        <v>97</v>
      </c>
      <c r="F28" t="s">
        <v>98</v>
      </c>
      <c r="G28">
        <v>89141564155</v>
      </c>
      <c r="H28" t="s">
        <v>99</v>
      </c>
      <c r="I28" t="s">
        <v>100</v>
      </c>
      <c r="J28" t="s">
        <v>34</v>
      </c>
      <c r="K28">
        <v>38</v>
      </c>
      <c r="L28">
        <v>38</v>
      </c>
      <c r="M28">
        <v>7</v>
      </c>
      <c r="N28">
        <v>3</v>
      </c>
      <c r="O28">
        <v>4</v>
      </c>
      <c r="P28">
        <v>4</v>
      </c>
      <c r="Q28">
        <v>2</v>
      </c>
      <c r="R28">
        <v>5</v>
      </c>
      <c r="S28">
        <v>3</v>
      </c>
      <c r="T28">
        <v>4</v>
      </c>
      <c r="U28">
        <v>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101</v>
      </c>
      <c r="AC28" t="s">
        <v>34</v>
      </c>
      <c r="AD28" t="s">
        <v>34</v>
      </c>
      <c r="AE28">
        <v>1</v>
      </c>
      <c r="AF28">
        <v>1</v>
      </c>
      <c r="AG28" t="s">
        <v>56</v>
      </c>
      <c r="AL28" t="s">
        <v>34</v>
      </c>
      <c r="AM28" t="s">
        <v>34</v>
      </c>
    </row>
    <row r="29" spans="1:40" x14ac:dyDescent="0.2">
      <c r="A29" s="2">
        <v>45995.451377314806</v>
      </c>
      <c r="B29" t="s">
        <v>127</v>
      </c>
      <c r="C29" t="s">
        <v>28</v>
      </c>
      <c r="D29" t="s">
        <v>96</v>
      </c>
      <c r="E29" t="s">
        <v>128</v>
      </c>
      <c r="F29" t="s">
        <v>129</v>
      </c>
      <c r="G29" t="s">
        <v>56</v>
      </c>
      <c r="H29" t="s">
        <v>130</v>
      </c>
      <c r="I29" t="s">
        <v>41</v>
      </c>
      <c r="J29" t="s">
        <v>34</v>
      </c>
      <c r="K29">
        <v>5</v>
      </c>
      <c r="L29">
        <v>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</v>
      </c>
      <c r="T29">
        <v>2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131</v>
      </c>
      <c r="AC29" t="s">
        <v>35</v>
      </c>
      <c r="AD29" t="s">
        <v>34</v>
      </c>
      <c r="AE29">
        <v>1</v>
      </c>
      <c r="AF29">
        <v>0</v>
      </c>
      <c r="AG29">
        <v>0</v>
      </c>
      <c r="AL29" t="s">
        <v>34</v>
      </c>
      <c r="AM29" t="s">
        <v>34</v>
      </c>
    </row>
    <row r="30" spans="1:40" x14ac:dyDescent="0.2">
      <c r="A30" s="2">
        <v>46000.43209490741</v>
      </c>
      <c r="B30" t="s">
        <v>164</v>
      </c>
      <c r="C30" t="s">
        <v>28</v>
      </c>
      <c r="D30" t="s">
        <v>96</v>
      </c>
      <c r="E30" t="s">
        <v>165</v>
      </c>
      <c r="G30">
        <v>89622889588</v>
      </c>
      <c r="H30" t="s">
        <v>166</v>
      </c>
      <c r="I30" t="s">
        <v>100</v>
      </c>
      <c r="J30" t="s">
        <v>34</v>
      </c>
      <c r="K30">
        <v>13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</v>
      </c>
      <c r="V30">
        <v>5</v>
      </c>
      <c r="W30">
        <v>3</v>
      </c>
      <c r="X30">
        <v>0</v>
      </c>
      <c r="Y30">
        <v>0</v>
      </c>
      <c r="Z30">
        <v>0</v>
      </c>
      <c r="AA30">
        <v>0</v>
      </c>
      <c r="AC30" t="s">
        <v>35</v>
      </c>
      <c r="AD30" t="s">
        <v>34</v>
      </c>
      <c r="AE30">
        <v>1</v>
      </c>
      <c r="AF30">
        <v>1</v>
      </c>
      <c r="AG30" t="s">
        <v>56</v>
      </c>
      <c r="AL30" t="s">
        <v>34</v>
      </c>
      <c r="AM30" t="s">
        <v>34</v>
      </c>
    </row>
    <row r="31" spans="1:40" x14ac:dyDescent="0.2">
      <c r="A31" s="2">
        <v>45978.152951388889</v>
      </c>
      <c r="B31" t="s">
        <v>182</v>
      </c>
      <c r="C31" t="s">
        <v>28</v>
      </c>
      <c r="D31" t="s">
        <v>96</v>
      </c>
      <c r="E31" t="s">
        <v>183</v>
      </c>
      <c r="F31" t="s">
        <v>184</v>
      </c>
      <c r="G31" t="s">
        <v>185</v>
      </c>
      <c r="H31" t="s">
        <v>186</v>
      </c>
      <c r="I31" t="s">
        <v>187</v>
      </c>
      <c r="J31" t="s">
        <v>188</v>
      </c>
      <c r="K31">
        <v>367</v>
      </c>
      <c r="L31">
        <v>61</v>
      </c>
      <c r="M31">
        <v>0</v>
      </c>
      <c r="N31">
        <v>0</v>
      </c>
      <c r="O31">
        <v>0</v>
      </c>
      <c r="P31">
        <v>0</v>
      </c>
      <c r="Q31">
        <v>0</v>
      </c>
      <c r="R31">
        <v>4</v>
      </c>
      <c r="S31">
        <v>9</v>
      </c>
      <c r="T31">
        <v>7</v>
      </c>
      <c r="U31">
        <v>11</v>
      </c>
      <c r="V31">
        <v>12</v>
      </c>
      <c r="W31">
        <v>13</v>
      </c>
      <c r="X31">
        <v>2</v>
      </c>
      <c r="Y31">
        <v>3</v>
      </c>
      <c r="Z31">
        <v>0</v>
      </c>
      <c r="AA31">
        <v>0</v>
      </c>
      <c r="AB31" t="s">
        <v>189</v>
      </c>
      <c r="AC31" t="s">
        <v>34</v>
      </c>
      <c r="AD31" t="s">
        <v>34</v>
      </c>
      <c r="AE31">
        <v>3</v>
      </c>
      <c r="AF31">
        <v>3</v>
      </c>
      <c r="AG31" t="s">
        <v>190</v>
      </c>
      <c r="AH31">
        <v>1</v>
      </c>
      <c r="AI31">
        <v>2</v>
      </c>
      <c r="AL31" t="s">
        <v>35</v>
      </c>
      <c r="AM31" t="s">
        <v>34</v>
      </c>
      <c r="AN31" t="s">
        <v>191</v>
      </c>
    </row>
    <row r="32" spans="1:40" x14ac:dyDescent="0.2">
      <c r="A32" s="2">
        <v>46000.184282407397</v>
      </c>
      <c r="B32" t="s">
        <v>192</v>
      </c>
      <c r="C32" t="s">
        <v>28</v>
      </c>
      <c r="D32" t="s">
        <v>96</v>
      </c>
      <c r="E32" t="s">
        <v>183</v>
      </c>
      <c r="F32" t="s">
        <v>193</v>
      </c>
      <c r="G32" t="s">
        <v>194</v>
      </c>
      <c r="H32" t="s">
        <v>195</v>
      </c>
      <c r="I32" t="s">
        <v>196</v>
      </c>
      <c r="J32" t="s">
        <v>34</v>
      </c>
      <c r="K32">
        <v>48</v>
      </c>
      <c r="L32">
        <v>16</v>
      </c>
      <c r="M32">
        <v>7</v>
      </c>
      <c r="N32">
        <v>2</v>
      </c>
      <c r="O32">
        <v>1</v>
      </c>
      <c r="P32">
        <v>0</v>
      </c>
      <c r="Q32">
        <v>0</v>
      </c>
      <c r="R32">
        <v>2</v>
      </c>
      <c r="S32">
        <v>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62</v>
      </c>
      <c r="AC32" t="s">
        <v>34</v>
      </c>
      <c r="AD32" t="s">
        <v>34</v>
      </c>
      <c r="AE32">
        <v>2</v>
      </c>
      <c r="AF32">
        <v>1</v>
      </c>
      <c r="AG32" t="s">
        <v>197</v>
      </c>
      <c r="AH32">
        <v>2</v>
      </c>
      <c r="AL32" t="s">
        <v>34</v>
      </c>
      <c r="AM32" t="s">
        <v>34</v>
      </c>
      <c r="AN32" t="s">
        <v>198</v>
      </c>
    </row>
    <row r="33" spans="1:40" x14ac:dyDescent="0.2">
      <c r="A33" s="2">
        <v>45995.432141203702</v>
      </c>
      <c r="B33" t="s">
        <v>199</v>
      </c>
      <c r="C33" t="s">
        <v>28</v>
      </c>
      <c r="D33" t="s">
        <v>96</v>
      </c>
      <c r="E33" t="s">
        <v>183</v>
      </c>
      <c r="F33" t="s">
        <v>200</v>
      </c>
      <c r="G33" t="s">
        <v>201</v>
      </c>
      <c r="H33" t="s">
        <v>202</v>
      </c>
      <c r="I33" t="s">
        <v>100</v>
      </c>
      <c r="J33" t="s">
        <v>34</v>
      </c>
      <c r="K33">
        <v>17</v>
      </c>
      <c r="L33">
        <v>17</v>
      </c>
      <c r="M33" s="4">
        <v>12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4</v>
      </c>
      <c r="U33" s="4">
        <v>1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C33" t="s">
        <v>34</v>
      </c>
      <c r="AD33" t="s">
        <v>34</v>
      </c>
      <c r="AE33">
        <v>1</v>
      </c>
      <c r="AF33">
        <v>0</v>
      </c>
      <c r="AG33" t="s">
        <v>56</v>
      </c>
      <c r="AL33" t="s">
        <v>34</v>
      </c>
      <c r="AM33" t="s">
        <v>34</v>
      </c>
    </row>
    <row r="34" spans="1:40" x14ac:dyDescent="0.2">
      <c r="A34" s="2">
        <v>45995.487638888888</v>
      </c>
      <c r="B34" t="s">
        <v>203</v>
      </c>
      <c r="C34" t="s">
        <v>28</v>
      </c>
      <c r="D34" t="s">
        <v>96</v>
      </c>
      <c r="E34" t="s">
        <v>183</v>
      </c>
      <c r="F34" t="s">
        <v>204</v>
      </c>
      <c r="G34" t="s">
        <v>205</v>
      </c>
      <c r="H34" t="s">
        <v>206</v>
      </c>
      <c r="I34" t="s">
        <v>49</v>
      </c>
      <c r="J34" t="s">
        <v>34</v>
      </c>
      <c r="K34">
        <v>55</v>
      </c>
      <c r="L34">
        <v>20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</v>
      </c>
      <c r="U34">
        <v>10</v>
      </c>
      <c r="V34">
        <v>5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207</v>
      </c>
      <c r="AC34" t="s">
        <v>34</v>
      </c>
      <c r="AD34" t="s">
        <v>34</v>
      </c>
      <c r="AE34">
        <v>1</v>
      </c>
      <c r="AF34">
        <v>0</v>
      </c>
      <c r="AG34">
        <v>0</v>
      </c>
      <c r="AL34" t="s">
        <v>34</v>
      </c>
      <c r="AM34" t="s">
        <v>34</v>
      </c>
    </row>
    <row r="35" spans="1:40" x14ac:dyDescent="0.2">
      <c r="A35" s="2">
        <v>45995.437997685192</v>
      </c>
      <c r="B35" t="s">
        <v>208</v>
      </c>
      <c r="C35" t="s">
        <v>28</v>
      </c>
      <c r="D35" t="s">
        <v>96</v>
      </c>
      <c r="E35" t="s">
        <v>209</v>
      </c>
      <c r="F35" t="s">
        <v>210</v>
      </c>
      <c r="G35">
        <v>89141687778</v>
      </c>
      <c r="H35" t="s">
        <v>211</v>
      </c>
      <c r="I35" t="s">
        <v>212</v>
      </c>
      <c r="J35" t="s">
        <v>34</v>
      </c>
      <c r="K35">
        <v>30</v>
      </c>
      <c r="L35">
        <v>15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4</v>
      </c>
      <c r="S35" s="4">
        <v>4</v>
      </c>
      <c r="T35" s="4">
        <v>3</v>
      </c>
      <c r="U35" s="4">
        <v>2</v>
      </c>
      <c r="V35" s="4">
        <v>2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C35" t="s">
        <v>34</v>
      </c>
      <c r="AD35" t="s">
        <v>34</v>
      </c>
      <c r="AE35">
        <v>1</v>
      </c>
      <c r="AF35">
        <v>0</v>
      </c>
      <c r="AG35">
        <v>0</v>
      </c>
      <c r="AL35" t="s">
        <v>34</v>
      </c>
      <c r="AM35" t="s">
        <v>34</v>
      </c>
    </row>
    <row r="36" spans="1:40" x14ac:dyDescent="0.2">
      <c r="A36" s="2">
        <v>45988.462245370371</v>
      </c>
      <c r="B36" t="s">
        <v>436</v>
      </c>
      <c r="C36" t="s">
        <v>230</v>
      </c>
      <c r="D36" t="s">
        <v>437</v>
      </c>
      <c r="E36" t="s">
        <v>438</v>
      </c>
      <c r="F36" t="s">
        <v>439</v>
      </c>
      <c r="G36">
        <v>84933620560</v>
      </c>
      <c r="H36" t="s">
        <v>440</v>
      </c>
      <c r="I36" t="s">
        <v>441</v>
      </c>
      <c r="J36" t="s">
        <v>34</v>
      </c>
      <c r="K36">
        <v>56</v>
      </c>
      <c r="L36">
        <v>36</v>
      </c>
      <c r="M36">
        <v>0</v>
      </c>
      <c r="N36">
        <v>0</v>
      </c>
      <c r="O36">
        <v>0</v>
      </c>
      <c r="P36">
        <v>1</v>
      </c>
      <c r="Q36">
        <v>5</v>
      </c>
      <c r="R36">
        <v>3</v>
      </c>
      <c r="S36">
        <v>2</v>
      </c>
      <c r="T36">
        <v>5</v>
      </c>
      <c r="U36">
        <v>5</v>
      </c>
      <c r="V36">
        <v>5</v>
      </c>
      <c r="W36">
        <v>4</v>
      </c>
      <c r="X36">
        <v>3</v>
      </c>
      <c r="Y36">
        <v>3</v>
      </c>
      <c r="Z36">
        <v>0</v>
      </c>
      <c r="AA36">
        <v>0</v>
      </c>
      <c r="AB36" t="s">
        <v>131</v>
      </c>
      <c r="AC36" t="s">
        <v>34</v>
      </c>
      <c r="AD36" t="s">
        <v>34</v>
      </c>
      <c r="AE36">
        <v>1</v>
      </c>
      <c r="AF36">
        <v>0</v>
      </c>
      <c r="AG36" t="s">
        <v>442</v>
      </c>
      <c r="AH36">
        <v>1</v>
      </c>
      <c r="AL36" t="s">
        <v>34</v>
      </c>
      <c r="AM36" t="s">
        <v>34</v>
      </c>
    </row>
    <row r="37" spans="1:40" x14ac:dyDescent="0.2">
      <c r="A37" s="2">
        <v>45989.405810185177</v>
      </c>
      <c r="B37" t="s">
        <v>229</v>
      </c>
      <c r="C37" t="s">
        <v>230</v>
      </c>
      <c r="D37" t="s">
        <v>231</v>
      </c>
      <c r="E37" t="s">
        <v>232</v>
      </c>
      <c r="F37" t="s">
        <v>233</v>
      </c>
      <c r="G37">
        <v>89005831348</v>
      </c>
      <c r="H37" t="s">
        <v>81</v>
      </c>
      <c r="I37" t="s">
        <v>49</v>
      </c>
      <c r="J37" t="s">
        <v>34</v>
      </c>
      <c r="K37">
        <v>25</v>
      </c>
      <c r="L37">
        <v>25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10</v>
      </c>
      <c r="T37" s="4">
        <v>9</v>
      </c>
      <c r="U37" s="4">
        <v>1</v>
      </c>
      <c r="V37" s="4">
        <v>2</v>
      </c>
      <c r="W37" s="4">
        <v>2</v>
      </c>
      <c r="X37" s="4">
        <v>1</v>
      </c>
      <c r="Y37" s="4">
        <v>0</v>
      </c>
      <c r="Z37" s="4">
        <v>0</v>
      </c>
      <c r="AA37" s="4">
        <v>0</v>
      </c>
      <c r="AB37" t="s">
        <v>50</v>
      </c>
      <c r="AC37" t="s">
        <v>34</v>
      </c>
      <c r="AD37" t="s">
        <v>34</v>
      </c>
      <c r="AE37">
        <v>1</v>
      </c>
      <c r="AF37">
        <v>0</v>
      </c>
      <c r="AG37" t="s">
        <v>234</v>
      </c>
      <c r="AL37" t="s">
        <v>34</v>
      </c>
      <c r="AM37" t="s">
        <v>34</v>
      </c>
      <c r="AN37" t="s">
        <v>235</v>
      </c>
    </row>
    <row r="38" spans="1:40" x14ac:dyDescent="0.2">
      <c r="A38" s="2">
        <v>45975.365925925929</v>
      </c>
      <c r="B38" t="s">
        <v>256</v>
      </c>
      <c r="C38" t="s">
        <v>230</v>
      </c>
      <c r="D38" t="s">
        <v>231</v>
      </c>
      <c r="E38" t="s">
        <v>257</v>
      </c>
      <c r="F38" t="s">
        <v>258</v>
      </c>
      <c r="G38" t="s">
        <v>259</v>
      </c>
      <c r="H38" t="s">
        <v>260</v>
      </c>
      <c r="I38" t="s">
        <v>33</v>
      </c>
      <c r="J38" t="s">
        <v>34</v>
      </c>
      <c r="K38">
        <v>41</v>
      </c>
      <c r="L38">
        <v>41</v>
      </c>
      <c r="M38">
        <v>37</v>
      </c>
      <c r="N38">
        <v>0</v>
      </c>
      <c r="O38">
        <v>2</v>
      </c>
      <c r="P38">
        <v>0</v>
      </c>
      <c r="Q38">
        <v>0</v>
      </c>
      <c r="R38">
        <v>1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 t="s">
        <v>34</v>
      </c>
      <c r="AD38" t="s">
        <v>34</v>
      </c>
      <c r="AE38">
        <v>2</v>
      </c>
      <c r="AF38">
        <v>1</v>
      </c>
      <c r="AG38" t="s">
        <v>261</v>
      </c>
      <c r="AH38">
        <v>1</v>
      </c>
      <c r="AI38">
        <v>1</v>
      </c>
      <c r="AL38" t="s">
        <v>34</v>
      </c>
      <c r="AM38" t="s">
        <v>34</v>
      </c>
    </row>
    <row r="39" spans="1:40" x14ac:dyDescent="0.2">
      <c r="A39" s="2">
        <v>45975.378437500003</v>
      </c>
      <c r="B39" t="s">
        <v>262</v>
      </c>
      <c r="C39" t="s">
        <v>230</v>
      </c>
      <c r="D39" t="s">
        <v>231</v>
      </c>
      <c r="E39" t="s">
        <v>257</v>
      </c>
      <c r="F39" t="s">
        <v>263</v>
      </c>
      <c r="G39" t="s">
        <v>264</v>
      </c>
      <c r="H39" t="s">
        <v>265</v>
      </c>
      <c r="I39" t="s">
        <v>49</v>
      </c>
      <c r="J39" t="s">
        <v>34</v>
      </c>
      <c r="K39">
        <v>522</v>
      </c>
      <c r="L39">
        <v>89</v>
      </c>
      <c r="M39">
        <v>6</v>
      </c>
      <c r="N39">
        <v>2</v>
      </c>
      <c r="O39">
        <v>4</v>
      </c>
      <c r="P39">
        <v>3</v>
      </c>
      <c r="Q39">
        <v>4</v>
      </c>
      <c r="R39">
        <v>5</v>
      </c>
      <c r="S39">
        <v>14</v>
      </c>
      <c r="T39">
        <v>10</v>
      </c>
      <c r="U39">
        <v>9</v>
      </c>
      <c r="V39">
        <v>7</v>
      </c>
      <c r="W39">
        <v>6</v>
      </c>
      <c r="X39">
        <v>6</v>
      </c>
      <c r="Y39">
        <v>8</v>
      </c>
      <c r="Z39">
        <v>3</v>
      </c>
      <c r="AA39">
        <v>2</v>
      </c>
      <c r="AB39" t="s">
        <v>266</v>
      </c>
      <c r="AC39" t="s">
        <v>34</v>
      </c>
      <c r="AD39" t="s">
        <v>35</v>
      </c>
      <c r="AE39">
        <v>2</v>
      </c>
      <c r="AF39">
        <v>2</v>
      </c>
      <c r="AG39" t="s">
        <v>267</v>
      </c>
      <c r="AH39">
        <v>1</v>
      </c>
      <c r="AL39" t="s">
        <v>35</v>
      </c>
      <c r="AM39" t="s">
        <v>34</v>
      </c>
    </row>
    <row r="40" spans="1:40" x14ac:dyDescent="0.2">
      <c r="A40" s="2">
        <v>45978.550046296303</v>
      </c>
      <c r="B40" t="s">
        <v>312</v>
      </c>
      <c r="C40" t="s">
        <v>230</v>
      </c>
      <c r="D40" t="s">
        <v>231</v>
      </c>
      <c r="E40" t="s">
        <v>313</v>
      </c>
      <c r="F40" t="s">
        <v>314</v>
      </c>
      <c r="G40">
        <v>89307442518</v>
      </c>
      <c r="H40" t="s">
        <v>315</v>
      </c>
      <c r="I40" t="s">
        <v>316</v>
      </c>
      <c r="J40" t="s">
        <v>34</v>
      </c>
      <c r="K40">
        <v>34</v>
      </c>
      <c r="L40">
        <v>34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6</v>
      </c>
      <c r="T40">
        <v>1</v>
      </c>
      <c r="U40">
        <v>3</v>
      </c>
      <c r="V40">
        <v>6</v>
      </c>
      <c r="W40">
        <v>8</v>
      </c>
      <c r="X40">
        <v>6</v>
      </c>
      <c r="Y40">
        <v>3</v>
      </c>
      <c r="Z40">
        <v>0</v>
      </c>
      <c r="AA40">
        <v>0</v>
      </c>
      <c r="AB40" t="s">
        <v>317</v>
      </c>
      <c r="AC40" t="s">
        <v>34</v>
      </c>
      <c r="AD40" t="s">
        <v>35</v>
      </c>
      <c r="AE40">
        <v>1</v>
      </c>
      <c r="AF40">
        <v>0</v>
      </c>
      <c r="AG40" t="s">
        <v>34</v>
      </c>
      <c r="AL40" t="s">
        <v>35</v>
      </c>
      <c r="AM40" t="s">
        <v>34</v>
      </c>
    </row>
    <row r="41" spans="1:40" x14ac:dyDescent="0.2">
      <c r="A41" s="2">
        <v>45979.316967592589</v>
      </c>
      <c r="B41" t="s">
        <v>328</v>
      </c>
      <c r="C41" t="s">
        <v>230</v>
      </c>
      <c r="D41" t="s">
        <v>231</v>
      </c>
      <c r="E41" t="s">
        <v>329</v>
      </c>
      <c r="F41" t="s">
        <v>330</v>
      </c>
      <c r="G41" t="s">
        <v>331</v>
      </c>
      <c r="H41" t="s">
        <v>332</v>
      </c>
      <c r="I41" t="s">
        <v>49</v>
      </c>
      <c r="J41" t="s">
        <v>114</v>
      </c>
      <c r="K41">
        <v>275</v>
      </c>
      <c r="L41">
        <v>33</v>
      </c>
      <c r="M41">
        <v>11</v>
      </c>
      <c r="N41">
        <v>0</v>
      </c>
      <c r="O41">
        <v>1</v>
      </c>
      <c r="P41">
        <v>1</v>
      </c>
      <c r="Q41">
        <v>3</v>
      </c>
      <c r="R41">
        <v>2</v>
      </c>
      <c r="S41">
        <v>4</v>
      </c>
      <c r="T41">
        <v>4</v>
      </c>
      <c r="U41">
        <v>2</v>
      </c>
      <c r="V41">
        <v>1</v>
      </c>
      <c r="W41">
        <v>2</v>
      </c>
      <c r="X41">
        <v>1</v>
      </c>
      <c r="Y41">
        <v>1</v>
      </c>
      <c r="Z41">
        <v>0</v>
      </c>
      <c r="AA41">
        <v>0</v>
      </c>
      <c r="AB41" t="s">
        <v>50</v>
      </c>
      <c r="AC41" t="s">
        <v>34</v>
      </c>
      <c r="AD41" t="s">
        <v>34</v>
      </c>
      <c r="AE41">
        <v>1</v>
      </c>
      <c r="AF41">
        <v>0</v>
      </c>
      <c r="AG41" t="s">
        <v>333</v>
      </c>
      <c r="AL41" t="s">
        <v>35</v>
      </c>
      <c r="AM41" t="s">
        <v>34</v>
      </c>
    </row>
    <row r="42" spans="1:40" x14ac:dyDescent="0.2">
      <c r="A42" s="2">
        <v>45989.417511574073</v>
      </c>
      <c r="B42" t="s">
        <v>408</v>
      </c>
      <c r="C42" t="s">
        <v>230</v>
      </c>
      <c r="D42" t="s">
        <v>231</v>
      </c>
      <c r="E42" t="s">
        <v>409</v>
      </c>
      <c r="F42" t="s">
        <v>410</v>
      </c>
      <c r="G42">
        <v>89046585539</v>
      </c>
      <c r="H42" t="s">
        <v>411</v>
      </c>
      <c r="I42" t="s">
        <v>399</v>
      </c>
      <c r="J42" t="s">
        <v>34</v>
      </c>
      <c r="K42">
        <v>100</v>
      </c>
      <c r="L42">
        <v>40</v>
      </c>
      <c r="M42">
        <v>7</v>
      </c>
      <c r="N42">
        <v>2</v>
      </c>
      <c r="O42">
        <v>1</v>
      </c>
      <c r="P42">
        <v>2</v>
      </c>
      <c r="Q42">
        <v>0</v>
      </c>
      <c r="R42">
        <v>0</v>
      </c>
      <c r="S42">
        <v>3</v>
      </c>
      <c r="T42">
        <v>13</v>
      </c>
      <c r="U42">
        <v>4</v>
      </c>
      <c r="V42">
        <v>0</v>
      </c>
      <c r="W42">
        <v>2</v>
      </c>
      <c r="X42">
        <v>3</v>
      </c>
      <c r="Y42">
        <v>3</v>
      </c>
      <c r="Z42">
        <v>0</v>
      </c>
      <c r="AA42">
        <v>0</v>
      </c>
      <c r="AB42" t="s">
        <v>255</v>
      </c>
      <c r="AC42" t="s">
        <v>34</v>
      </c>
      <c r="AD42" t="s">
        <v>34</v>
      </c>
      <c r="AE42">
        <v>2</v>
      </c>
      <c r="AF42">
        <v>2</v>
      </c>
      <c r="AG42" t="s">
        <v>412</v>
      </c>
      <c r="AL42" t="s">
        <v>34</v>
      </c>
      <c r="AM42" t="s">
        <v>34</v>
      </c>
    </row>
    <row r="43" spans="1:40" x14ac:dyDescent="0.2">
      <c r="A43" s="2">
        <v>45979.834548611107</v>
      </c>
      <c r="B43" t="s">
        <v>413</v>
      </c>
      <c r="C43" t="s">
        <v>230</v>
      </c>
      <c r="D43" t="s">
        <v>231</v>
      </c>
      <c r="E43" t="s">
        <v>414</v>
      </c>
      <c r="F43" t="s">
        <v>415</v>
      </c>
      <c r="G43" t="s">
        <v>416</v>
      </c>
      <c r="H43" t="s">
        <v>417</v>
      </c>
      <c r="I43" t="s">
        <v>114</v>
      </c>
      <c r="J43" t="s">
        <v>114</v>
      </c>
      <c r="K43">
        <v>300</v>
      </c>
      <c r="L43">
        <v>30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</v>
      </c>
      <c r="W43">
        <v>18</v>
      </c>
      <c r="X43">
        <v>8</v>
      </c>
      <c r="Y43">
        <v>2</v>
      </c>
      <c r="Z43">
        <v>0</v>
      </c>
      <c r="AA43">
        <v>0</v>
      </c>
      <c r="AB43" t="s">
        <v>80</v>
      </c>
      <c r="AC43" t="s">
        <v>34</v>
      </c>
      <c r="AD43" t="s">
        <v>35</v>
      </c>
      <c r="AE43">
        <v>1</v>
      </c>
      <c r="AF43">
        <v>0</v>
      </c>
      <c r="AG43" t="s">
        <v>418</v>
      </c>
      <c r="AL43" t="s">
        <v>35</v>
      </c>
      <c r="AM43" t="s">
        <v>34</v>
      </c>
    </row>
    <row r="44" spans="1:40" x14ac:dyDescent="0.2">
      <c r="A44" s="2">
        <v>45989.413182870368</v>
      </c>
      <c r="B44" t="s">
        <v>430</v>
      </c>
      <c r="C44" t="s">
        <v>230</v>
      </c>
      <c r="D44" t="s">
        <v>231</v>
      </c>
      <c r="E44" t="s">
        <v>431</v>
      </c>
      <c r="F44" t="s">
        <v>432</v>
      </c>
      <c r="G44">
        <v>84925432382</v>
      </c>
      <c r="H44" t="s">
        <v>433</v>
      </c>
      <c r="I44" t="s">
        <v>33</v>
      </c>
      <c r="J44" t="s">
        <v>34</v>
      </c>
      <c r="K44">
        <v>142</v>
      </c>
      <c r="L44">
        <v>37</v>
      </c>
      <c r="M44" s="4">
        <v>0</v>
      </c>
      <c r="N44" s="4">
        <v>0</v>
      </c>
      <c r="O44" s="4">
        <v>0</v>
      </c>
      <c r="P44" s="4">
        <v>0</v>
      </c>
      <c r="Q44" s="4">
        <v>2</v>
      </c>
      <c r="R44" s="4">
        <v>8</v>
      </c>
      <c r="S44" s="4">
        <v>5</v>
      </c>
      <c r="T44" s="4">
        <v>4</v>
      </c>
      <c r="U44" s="4">
        <v>4</v>
      </c>
      <c r="V44" s="4">
        <v>3</v>
      </c>
      <c r="W44" s="4">
        <v>5</v>
      </c>
      <c r="X44" s="4">
        <v>6</v>
      </c>
      <c r="Y44" s="4">
        <v>0</v>
      </c>
      <c r="Z44" s="4">
        <v>0</v>
      </c>
      <c r="AA44" s="4">
        <v>0</v>
      </c>
      <c r="AB44" t="s">
        <v>434</v>
      </c>
      <c r="AC44" t="s">
        <v>35</v>
      </c>
      <c r="AD44" t="s">
        <v>34</v>
      </c>
      <c r="AE44">
        <v>2</v>
      </c>
      <c r="AF44">
        <v>0</v>
      </c>
      <c r="AG44" t="s">
        <v>435</v>
      </c>
      <c r="AL44" t="s">
        <v>35</v>
      </c>
      <c r="AM44" t="s">
        <v>34</v>
      </c>
    </row>
    <row r="45" spans="1:40" x14ac:dyDescent="0.2">
      <c r="A45" s="4"/>
      <c r="B45" s="4" t="s">
        <v>268</v>
      </c>
      <c r="C45" s="4" t="s">
        <v>230</v>
      </c>
      <c r="D45" s="4" t="s">
        <v>231</v>
      </c>
      <c r="E45" s="4" t="s">
        <v>257</v>
      </c>
      <c r="F45" s="4" t="s">
        <v>269</v>
      </c>
      <c r="G45" s="4">
        <v>-1551</v>
      </c>
      <c r="H45" s="4" t="s">
        <v>270</v>
      </c>
      <c r="I45" s="4"/>
      <c r="J45" s="4"/>
      <c r="K45" s="27">
        <v>46.800000000000004</v>
      </c>
      <c r="L45" s="4">
        <v>18</v>
      </c>
      <c r="M45" s="4">
        <v>2</v>
      </c>
      <c r="N45" s="4">
        <v>2</v>
      </c>
      <c r="O45" s="4">
        <v>1</v>
      </c>
      <c r="P45" s="4">
        <v>1</v>
      </c>
      <c r="Q45" s="4">
        <v>3</v>
      </c>
      <c r="R45" s="4">
        <v>3</v>
      </c>
      <c r="S45" s="4">
        <v>3</v>
      </c>
      <c r="T45" s="4">
        <v>2</v>
      </c>
      <c r="U45" s="4">
        <v>0</v>
      </c>
      <c r="V45" s="4">
        <v>0</v>
      </c>
      <c r="W45" s="4">
        <v>0</v>
      </c>
      <c r="X45" s="4">
        <v>1</v>
      </c>
      <c r="Y45" s="4">
        <v>0</v>
      </c>
      <c r="Z45" s="4">
        <v>0</v>
      </c>
      <c r="AA45" s="4">
        <v>0</v>
      </c>
    </row>
    <row r="46" spans="1:40" x14ac:dyDescent="0.2">
      <c r="A46" s="4"/>
      <c r="B46" s="4" t="s">
        <v>271</v>
      </c>
      <c r="C46" s="4" t="s">
        <v>230</v>
      </c>
      <c r="D46" s="4" t="s">
        <v>231</v>
      </c>
      <c r="E46" s="4" t="s">
        <v>257</v>
      </c>
      <c r="F46" s="4" t="s">
        <v>272</v>
      </c>
      <c r="G46" s="4" t="s">
        <v>273</v>
      </c>
      <c r="H46" s="4" t="s">
        <v>274</v>
      </c>
      <c r="I46" s="4"/>
      <c r="J46" s="4"/>
      <c r="K46" s="27">
        <v>78</v>
      </c>
      <c r="L46" s="4">
        <v>30</v>
      </c>
      <c r="M46">
        <v>0</v>
      </c>
      <c r="N46">
        <v>0</v>
      </c>
      <c r="O46">
        <v>0</v>
      </c>
      <c r="P46">
        <v>0</v>
      </c>
      <c r="Q46">
        <v>8</v>
      </c>
      <c r="R46">
        <v>7</v>
      </c>
      <c r="S46">
        <v>3</v>
      </c>
      <c r="T46">
        <v>5</v>
      </c>
      <c r="U46">
        <v>3</v>
      </c>
      <c r="V46">
        <v>4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40" x14ac:dyDescent="0.2">
      <c r="A47" s="4"/>
      <c r="B47" s="4" t="s">
        <v>318</v>
      </c>
      <c r="C47" s="4" t="s">
        <v>230</v>
      </c>
      <c r="D47" s="4" t="s">
        <v>231</v>
      </c>
      <c r="E47" s="4" t="s">
        <v>313</v>
      </c>
      <c r="F47" s="4" t="s">
        <v>319</v>
      </c>
      <c r="G47" s="4" t="s">
        <v>320</v>
      </c>
      <c r="H47" s="4" t="s">
        <v>321</v>
      </c>
      <c r="I47" s="4"/>
      <c r="J47" s="4"/>
      <c r="K47" s="27">
        <v>101.4</v>
      </c>
      <c r="L47" s="4">
        <v>39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12</v>
      </c>
      <c r="T47">
        <v>3</v>
      </c>
      <c r="U47">
        <v>2</v>
      </c>
      <c r="V47">
        <v>10</v>
      </c>
      <c r="W47">
        <v>6</v>
      </c>
      <c r="X47">
        <v>4</v>
      </c>
      <c r="Y47">
        <v>1</v>
      </c>
      <c r="Z47">
        <v>0</v>
      </c>
      <c r="AA47">
        <v>0</v>
      </c>
    </row>
    <row r="48" spans="1:40" x14ac:dyDescent="0.2">
      <c r="A48" s="2">
        <v>45989.738692129627</v>
      </c>
      <c r="B48" t="s">
        <v>236</v>
      </c>
      <c r="C48" t="s">
        <v>230</v>
      </c>
      <c r="D48" t="s">
        <v>69</v>
      </c>
      <c r="E48" t="s">
        <v>237</v>
      </c>
      <c r="F48" t="s">
        <v>238</v>
      </c>
      <c r="G48" t="s">
        <v>239</v>
      </c>
      <c r="H48" t="s">
        <v>240</v>
      </c>
      <c r="I48" t="s">
        <v>241</v>
      </c>
      <c r="J48" t="s">
        <v>34</v>
      </c>
      <c r="K48">
        <v>24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</v>
      </c>
      <c r="Y48">
        <v>0</v>
      </c>
      <c r="Z48">
        <v>0</v>
      </c>
      <c r="AA48">
        <v>0</v>
      </c>
      <c r="AB48" t="s">
        <v>131</v>
      </c>
      <c r="AC48" t="s">
        <v>35</v>
      </c>
      <c r="AD48" t="s">
        <v>35</v>
      </c>
      <c r="AE48">
        <v>1</v>
      </c>
      <c r="AF48">
        <v>0</v>
      </c>
      <c r="AG48" t="s">
        <v>48</v>
      </c>
      <c r="AL48" t="s">
        <v>35</v>
      </c>
      <c r="AM48" t="s">
        <v>34</v>
      </c>
    </row>
    <row r="49" spans="1:40" x14ac:dyDescent="0.2">
      <c r="A49" s="2">
        <v>45982.952280092592</v>
      </c>
      <c r="B49" t="s">
        <v>275</v>
      </c>
      <c r="C49" t="s">
        <v>230</v>
      </c>
      <c r="D49" t="s">
        <v>69</v>
      </c>
      <c r="E49" t="s">
        <v>276</v>
      </c>
      <c r="F49" t="s">
        <v>277</v>
      </c>
      <c r="G49">
        <v>88172299080</v>
      </c>
      <c r="H49" t="s">
        <v>278</v>
      </c>
      <c r="I49" t="s">
        <v>93</v>
      </c>
      <c r="J49" t="s">
        <v>114</v>
      </c>
      <c r="K49">
        <v>744</v>
      </c>
      <c r="L49">
        <v>73</v>
      </c>
      <c r="M49">
        <v>0</v>
      </c>
      <c r="N49">
        <v>0</v>
      </c>
      <c r="O49">
        <v>0</v>
      </c>
      <c r="P49">
        <v>0</v>
      </c>
      <c r="Q49">
        <v>2</v>
      </c>
      <c r="R49">
        <v>6</v>
      </c>
      <c r="S49">
        <v>13</v>
      </c>
      <c r="T49">
        <v>10</v>
      </c>
      <c r="U49">
        <v>14</v>
      </c>
      <c r="V49">
        <v>8</v>
      </c>
      <c r="W49">
        <v>5</v>
      </c>
      <c r="X49">
        <v>8</v>
      </c>
      <c r="Y49">
        <v>5</v>
      </c>
      <c r="Z49">
        <v>2</v>
      </c>
      <c r="AA49">
        <v>0</v>
      </c>
      <c r="AB49" t="s">
        <v>131</v>
      </c>
      <c r="AC49" t="s">
        <v>35</v>
      </c>
      <c r="AD49" t="s">
        <v>34</v>
      </c>
      <c r="AE49">
        <v>2</v>
      </c>
      <c r="AF49">
        <v>0</v>
      </c>
      <c r="AG49" t="s">
        <v>34</v>
      </c>
      <c r="AL49" t="s">
        <v>35</v>
      </c>
      <c r="AM49" t="s">
        <v>34</v>
      </c>
    </row>
    <row r="50" spans="1:40" x14ac:dyDescent="0.2">
      <c r="A50" s="2">
        <v>45989.744629629633</v>
      </c>
      <c r="B50" t="s">
        <v>279</v>
      </c>
      <c r="C50" t="s">
        <v>230</v>
      </c>
      <c r="D50" t="s">
        <v>69</v>
      </c>
      <c r="E50" t="s">
        <v>276</v>
      </c>
      <c r="F50" t="s">
        <v>280</v>
      </c>
      <c r="G50" t="s">
        <v>281</v>
      </c>
      <c r="H50" t="s">
        <v>56</v>
      </c>
      <c r="I50" t="s">
        <v>282</v>
      </c>
      <c r="J50" t="s">
        <v>34</v>
      </c>
      <c r="K50" s="4">
        <v>50</v>
      </c>
      <c r="L50">
        <v>18</v>
      </c>
      <c r="M50">
        <v>18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283</v>
      </c>
      <c r="AC50" t="s">
        <v>34</v>
      </c>
      <c r="AD50" t="s">
        <v>34</v>
      </c>
      <c r="AE50">
        <v>1</v>
      </c>
      <c r="AF50">
        <v>0</v>
      </c>
      <c r="AG50" t="s">
        <v>48</v>
      </c>
      <c r="AL50" t="s">
        <v>35</v>
      </c>
      <c r="AM50" t="s">
        <v>35</v>
      </c>
    </row>
    <row r="51" spans="1:40" x14ac:dyDescent="0.2">
      <c r="A51" s="2">
        <v>45978.55846064815</v>
      </c>
      <c r="B51" t="s">
        <v>284</v>
      </c>
      <c r="C51" t="s">
        <v>230</v>
      </c>
      <c r="D51" t="s">
        <v>69</v>
      </c>
      <c r="E51" t="s">
        <v>276</v>
      </c>
      <c r="F51" t="s">
        <v>285</v>
      </c>
      <c r="G51" t="s">
        <v>286</v>
      </c>
      <c r="H51" t="s">
        <v>287</v>
      </c>
      <c r="I51" t="s">
        <v>93</v>
      </c>
      <c r="J51" t="s">
        <v>34</v>
      </c>
      <c r="K51">
        <v>367</v>
      </c>
      <c r="L51">
        <v>30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</v>
      </c>
      <c r="W51">
        <v>6</v>
      </c>
      <c r="X51">
        <v>8</v>
      </c>
      <c r="Y51">
        <v>5</v>
      </c>
      <c r="Z51">
        <v>8</v>
      </c>
      <c r="AA51">
        <v>0</v>
      </c>
      <c r="AB51" t="s">
        <v>108</v>
      </c>
      <c r="AC51" t="s">
        <v>34</v>
      </c>
      <c r="AD51" t="s">
        <v>34</v>
      </c>
      <c r="AE51">
        <v>1</v>
      </c>
      <c r="AF51">
        <v>1</v>
      </c>
      <c r="AG51">
        <v>0</v>
      </c>
      <c r="AL51" t="s">
        <v>35</v>
      </c>
      <c r="AM51" t="s">
        <v>35</v>
      </c>
    </row>
    <row r="52" spans="1:40" x14ac:dyDescent="0.2">
      <c r="A52" s="2">
        <v>45989.740868055553</v>
      </c>
      <c r="B52" t="s">
        <v>288</v>
      </c>
      <c r="C52" t="s">
        <v>230</v>
      </c>
      <c r="D52" t="s">
        <v>69</v>
      </c>
      <c r="E52" t="s">
        <v>289</v>
      </c>
      <c r="F52" t="s">
        <v>290</v>
      </c>
      <c r="G52" t="s">
        <v>291</v>
      </c>
      <c r="H52" t="s">
        <v>56</v>
      </c>
      <c r="I52" t="s">
        <v>292</v>
      </c>
      <c r="J52" t="s">
        <v>34</v>
      </c>
      <c r="K52">
        <v>22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131</v>
      </c>
      <c r="AC52" t="s">
        <v>35</v>
      </c>
      <c r="AD52" t="s">
        <v>35</v>
      </c>
      <c r="AE52">
        <v>1</v>
      </c>
      <c r="AF52">
        <v>1</v>
      </c>
      <c r="AG52" t="s">
        <v>48</v>
      </c>
      <c r="AL52" t="s">
        <v>35</v>
      </c>
      <c r="AM52" t="s">
        <v>35</v>
      </c>
    </row>
    <row r="53" spans="1:40" x14ac:dyDescent="0.2">
      <c r="A53" s="2">
        <v>45978.577650462961</v>
      </c>
      <c r="B53" t="s">
        <v>322</v>
      </c>
      <c r="C53" t="s">
        <v>230</v>
      </c>
      <c r="D53" t="s">
        <v>69</v>
      </c>
      <c r="E53" t="s">
        <v>323</v>
      </c>
      <c r="F53" t="s">
        <v>324</v>
      </c>
      <c r="G53" t="s">
        <v>325</v>
      </c>
      <c r="H53" t="s">
        <v>326</v>
      </c>
      <c r="I53" t="s">
        <v>327</v>
      </c>
      <c r="J53" t="s">
        <v>34</v>
      </c>
      <c r="K53">
        <v>140</v>
      </c>
      <c r="L53">
        <v>21</v>
      </c>
      <c r="M53">
        <v>0</v>
      </c>
      <c r="N53">
        <v>1</v>
      </c>
      <c r="O53">
        <v>5</v>
      </c>
      <c r="P53">
        <v>3</v>
      </c>
      <c r="Q53">
        <v>1</v>
      </c>
      <c r="R53">
        <v>2</v>
      </c>
      <c r="S53">
        <v>4</v>
      </c>
      <c r="T53">
        <v>1</v>
      </c>
      <c r="U53">
        <v>2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  <c r="AB53" t="s">
        <v>56</v>
      </c>
      <c r="AC53" t="s">
        <v>35</v>
      </c>
      <c r="AD53" t="s">
        <v>34</v>
      </c>
      <c r="AE53">
        <v>1</v>
      </c>
      <c r="AF53">
        <v>0</v>
      </c>
      <c r="AG53">
        <v>0</v>
      </c>
      <c r="AL53" t="s">
        <v>35</v>
      </c>
      <c r="AM53" t="s">
        <v>34</v>
      </c>
      <c r="AN53" t="s">
        <v>56</v>
      </c>
    </row>
    <row r="54" spans="1:40" x14ac:dyDescent="0.2">
      <c r="A54" s="2">
        <v>45989.735636574071</v>
      </c>
      <c r="B54" t="s">
        <v>358</v>
      </c>
      <c r="C54" t="s">
        <v>230</v>
      </c>
      <c r="D54" t="s">
        <v>69</v>
      </c>
      <c r="E54" t="s">
        <v>359</v>
      </c>
      <c r="F54" t="s">
        <v>360</v>
      </c>
      <c r="G54" t="s">
        <v>361</v>
      </c>
      <c r="H54" t="s">
        <v>362</v>
      </c>
      <c r="I54" t="s">
        <v>49</v>
      </c>
      <c r="J54" t="s">
        <v>34</v>
      </c>
      <c r="K54">
        <v>35</v>
      </c>
      <c r="L54">
        <v>2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 t="s">
        <v>131</v>
      </c>
      <c r="AC54" t="s">
        <v>35</v>
      </c>
      <c r="AD54" t="s">
        <v>35</v>
      </c>
      <c r="AE54">
        <v>1</v>
      </c>
      <c r="AF54">
        <v>0</v>
      </c>
      <c r="AG54" t="s">
        <v>48</v>
      </c>
      <c r="AL54" t="s">
        <v>35</v>
      </c>
      <c r="AM54" t="s">
        <v>34</v>
      </c>
    </row>
    <row r="55" spans="1:40" x14ac:dyDescent="0.2">
      <c r="A55" s="2">
        <v>45985.391608796293</v>
      </c>
      <c r="B55" t="s">
        <v>483</v>
      </c>
      <c r="C55" t="s">
        <v>230</v>
      </c>
      <c r="D55" t="s">
        <v>69</v>
      </c>
      <c r="E55" t="s">
        <v>484</v>
      </c>
      <c r="F55" t="s">
        <v>485</v>
      </c>
      <c r="G55" t="s">
        <v>486</v>
      </c>
      <c r="H55" t="s">
        <v>487</v>
      </c>
      <c r="I55" t="s">
        <v>49</v>
      </c>
      <c r="J55" t="s">
        <v>34</v>
      </c>
      <c r="K55">
        <v>307</v>
      </c>
      <c r="L55">
        <v>27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</v>
      </c>
      <c r="T55">
        <v>2</v>
      </c>
      <c r="U55">
        <v>5</v>
      </c>
      <c r="V55">
        <v>7</v>
      </c>
      <c r="W55">
        <v>7</v>
      </c>
      <c r="X55">
        <v>2</v>
      </c>
      <c r="Y55">
        <v>1</v>
      </c>
      <c r="Z55">
        <v>0</v>
      </c>
      <c r="AA55">
        <v>0</v>
      </c>
      <c r="AB55" t="s">
        <v>255</v>
      </c>
      <c r="AC55" t="s">
        <v>35</v>
      </c>
      <c r="AD55" t="s">
        <v>35</v>
      </c>
      <c r="AE55">
        <v>1</v>
      </c>
      <c r="AF55">
        <v>0</v>
      </c>
      <c r="AG55" t="s">
        <v>488</v>
      </c>
      <c r="AH55">
        <v>1</v>
      </c>
      <c r="AL55" t="s">
        <v>34</v>
      </c>
      <c r="AM55" t="s">
        <v>34</v>
      </c>
    </row>
    <row r="56" spans="1:40" x14ac:dyDescent="0.2">
      <c r="A56" s="2">
        <v>45988.280069444438</v>
      </c>
      <c r="B56" t="s">
        <v>492</v>
      </c>
      <c r="C56" t="s">
        <v>230</v>
      </c>
      <c r="D56" t="s">
        <v>69</v>
      </c>
      <c r="E56" t="s">
        <v>484</v>
      </c>
      <c r="F56" t="s">
        <v>493</v>
      </c>
      <c r="G56">
        <v>79212541641</v>
      </c>
      <c r="H56" t="s">
        <v>494</v>
      </c>
      <c r="I56" t="s">
        <v>495</v>
      </c>
      <c r="J56" t="s">
        <v>34</v>
      </c>
      <c r="K56">
        <v>250</v>
      </c>
      <c r="L56">
        <v>54</v>
      </c>
      <c r="M56">
        <v>10</v>
      </c>
      <c r="N56">
        <v>2</v>
      </c>
      <c r="O56">
        <v>1</v>
      </c>
      <c r="P56">
        <v>2</v>
      </c>
      <c r="Q56">
        <v>3</v>
      </c>
      <c r="R56">
        <v>3</v>
      </c>
      <c r="S56">
        <v>4</v>
      </c>
      <c r="T56">
        <v>4</v>
      </c>
      <c r="U56">
        <v>4</v>
      </c>
      <c r="V56">
        <v>4</v>
      </c>
      <c r="W56">
        <v>5</v>
      </c>
      <c r="X56">
        <v>5</v>
      </c>
      <c r="Y56">
        <v>2</v>
      </c>
      <c r="Z56">
        <v>2</v>
      </c>
      <c r="AA56">
        <v>3</v>
      </c>
      <c r="AB56" t="s">
        <v>189</v>
      </c>
      <c r="AC56" t="s">
        <v>35</v>
      </c>
      <c r="AD56" t="s">
        <v>35</v>
      </c>
      <c r="AE56">
        <v>3</v>
      </c>
      <c r="AF56">
        <v>1</v>
      </c>
      <c r="AG56" t="s">
        <v>496</v>
      </c>
      <c r="AH56">
        <v>1</v>
      </c>
      <c r="AL56" t="s">
        <v>34</v>
      </c>
      <c r="AM56" t="s">
        <v>35</v>
      </c>
    </row>
    <row r="57" spans="1:40" x14ac:dyDescent="0.2">
      <c r="A57" s="2">
        <v>45978.601666666669</v>
      </c>
      <c r="B57" t="s">
        <v>497</v>
      </c>
      <c r="C57" t="s">
        <v>230</v>
      </c>
      <c r="D57" t="s">
        <v>69</v>
      </c>
      <c r="E57" t="s">
        <v>498</v>
      </c>
      <c r="F57" t="s">
        <v>499</v>
      </c>
      <c r="G57">
        <v>89175541241</v>
      </c>
      <c r="H57" t="s">
        <v>500</v>
      </c>
      <c r="I57" t="s">
        <v>49</v>
      </c>
      <c r="J57" t="s">
        <v>34</v>
      </c>
      <c r="K57">
        <v>63</v>
      </c>
      <c r="L57">
        <v>47</v>
      </c>
      <c r="M57">
        <v>3</v>
      </c>
      <c r="N57">
        <v>1</v>
      </c>
      <c r="O57">
        <v>3</v>
      </c>
      <c r="P57">
        <v>1</v>
      </c>
      <c r="Q57">
        <v>2</v>
      </c>
      <c r="R57">
        <v>4</v>
      </c>
      <c r="S57">
        <v>5</v>
      </c>
      <c r="T57">
        <v>5</v>
      </c>
      <c r="U57">
        <v>3</v>
      </c>
      <c r="V57">
        <v>2</v>
      </c>
      <c r="W57">
        <v>3</v>
      </c>
      <c r="X57">
        <v>10</v>
      </c>
      <c r="Y57">
        <v>3</v>
      </c>
      <c r="Z57">
        <v>2</v>
      </c>
      <c r="AA57">
        <v>0</v>
      </c>
      <c r="AB57" t="s">
        <v>501</v>
      </c>
      <c r="AC57" t="s">
        <v>35</v>
      </c>
      <c r="AD57" t="s">
        <v>34</v>
      </c>
      <c r="AE57">
        <v>2</v>
      </c>
      <c r="AF57">
        <v>1</v>
      </c>
      <c r="AG57" t="s">
        <v>56</v>
      </c>
      <c r="AL57" t="s">
        <v>34</v>
      </c>
      <c r="AM57" t="s">
        <v>34</v>
      </c>
      <c r="AN57" t="s">
        <v>56</v>
      </c>
    </row>
    <row r="58" spans="1:40" x14ac:dyDescent="0.2">
      <c r="A58" s="4"/>
      <c r="B58" s="4" t="s">
        <v>489</v>
      </c>
      <c r="C58" s="4" t="s">
        <v>230</v>
      </c>
      <c r="D58" s="4" t="s">
        <v>69</v>
      </c>
      <c r="E58" s="4" t="s">
        <v>484</v>
      </c>
      <c r="F58" s="4" t="s">
        <v>490</v>
      </c>
      <c r="G58" s="4">
        <v>79315142454</v>
      </c>
      <c r="H58" s="4" t="s">
        <v>491</v>
      </c>
      <c r="I58" s="4"/>
      <c r="J58" s="4"/>
      <c r="K58" s="4">
        <v>53</v>
      </c>
      <c r="L58" s="4">
        <v>53</v>
      </c>
      <c r="M58">
        <v>16</v>
      </c>
      <c r="N58">
        <v>3</v>
      </c>
      <c r="O58">
        <v>2</v>
      </c>
      <c r="P58">
        <v>3</v>
      </c>
      <c r="Q58">
        <v>1</v>
      </c>
      <c r="R58">
        <v>1</v>
      </c>
      <c r="S58">
        <v>0</v>
      </c>
      <c r="T58">
        <v>5</v>
      </c>
      <c r="U58">
        <v>6</v>
      </c>
      <c r="V58">
        <v>6</v>
      </c>
      <c r="W58">
        <v>5</v>
      </c>
      <c r="X58">
        <v>4</v>
      </c>
      <c r="Y58">
        <v>1</v>
      </c>
      <c r="Z58">
        <v>0</v>
      </c>
      <c r="AA58">
        <v>0</v>
      </c>
    </row>
    <row r="59" spans="1:40" x14ac:dyDescent="0.2">
      <c r="A59" s="4"/>
      <c r="B59" s="4" t="s">
        <v>354</v>
      </c>
      <c r="C59" s="4" t="s">
        <v>230</v>
      </c>
      <c r="D59" s="4" t="s">
        <v>69</v>
      </c>
      <c r="E59" s="4" t="s">
        <v>355</v>
      </c>
      <c r="F59" s="4" t="s">
        <v>356</v>
      </c>
      <c r="G59" s="4">
        <v>89055859479</v>
      </c>
      <c r="H59" s="4" t="s">
        <v>357</v>
      </c>
      <c r="I59" s="4"/>
      <c r="J59" s="4"/>
      <c r="K59" s="4">
        <v>15</v>
      </c>
      <c r="L59" s="4">
        <v>15</v>
      </c>
      <c r="M59">
        <v>13</v>
      </c>
      <c r="N59">
        <v>0</v>
      </c>
      <c r="O59">
        <v>0</v>
      </c>
      <c r="P59">
        <v>0</v>
      </c>
      <c r="Q59">
        <v>0</v>
      </c>
      <c r="R59">
        <v>0</v>
      </c>
      <c r="S59">
        <v>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40" x14ac:dyDescent="0.2">
      <c r="A60" s="4"/>
      <c r="B60" s="4" t="s">
        <v>443</v>
      </c>
      <c r="C60" s="4" t="s">
        <v>230</v>
      </c>
      <c r="D60" s="4" t="s">
        <v>249</v>
      </c>
      <c r="E60" s="4" t="s">
        <v>438</v>
      </c>
      <c r="F60" s="4" t="s">
        <v>444</v>
      </c>
      <c r="G60" s="4">
        <v>79050582919</v>
      </c>
      <c r="H60" s="4" t="s">
        <v>445</v>
      </c>
      <c r="I60" s="4"/>
      <c r="J60" s="4"/>
      <c r="K60" s="27">
        <v>78</v>
      </c>
      <c r="L60" s="4">
        <v>30</v>
      </c>
      <c r="M60">
        <v>0</v>
      </c>
      <c r="N60">
        <v>0</v>
      </c>
      <c r="O60">
        <v>0</v>
      </c>
      <c r="P60">
        <v>0</v>
      </c>
      <c r="Q60">
        <v>3</v>
      </c>
      <c r="R60">
        <v>4</v>
      </c>
      <c r="S60">
        <v>2</v>
      </c>
      <c r="T60">
        <v>4</v>
      </c>
      <c r="U60">
        <v>7</v>
      </c>
      <c r="V60">
        <v>5</v>
      </c>
      <c r="W60">
        <v>3</v>
      </c>
      <c r="X60">
        <v>0</v>
      </c>
      <c r="Y60">
        <v>1</v>
      </c>
      <c r="Z60">
        <v>1</v>
      </c>
      <c r="AA60">
        <v>0</v>
      </c>
    </row>
    <row r="61" spans="1:40" x14ac:dyDescent="0.2">
      <c r="A61" s="4"/>
      <c r="B61" s="4" t="s">
        <v>478</v>
      </c>
      <c r="C61" s="4" t="s">
        <v>230</v>
      </c>
      <c r="D61" s="4" t="s">
        <v>249</v>
      </c>
      <c r="E61" s="4" t="s">
        <v>479</v>
      </c>
      <c r="F61" s="4" t="s">
        <v>480</v>
      </c>
      <c r="G61" s="4" t="s">
        <v>481</v>
      </c>
      <c r="H61" s="4" t="s">
        <v>482</v>
      </c>
      <c r="I61" s="4"/>
      <c r="J61" s="4"/>
      <c r="K61" s="27">
        <v>39</v>
      </c>
      <c r="L61" s="4">
        <v>15</v>
      </c>
      <c r="M61">
        <v>1</v>
      </c>
      <c r="N61">
        <v>0</v>
      </c>
      <c r="O61">
        <v>0</v>
      </c>
      <c r="P61">
        <v>0</v>
      </c>
      <c r="Q61">
        <v>2</v>
      </c>
      <c r="R61">
        <v>5</v>
      </c>
      <c r="S61">
        <v>0</v>
      </c>
      <c r="T61">
        <v>3</v>
      </c>
      <c r="U61">
        <v>3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40" x14ac:dyDescent="0.2">
      <c r="A62" s="2">
        <v>45978.610115740739</v>
      </c>
      <c r="B62" t="s">
        <v>248</v>
      </c>
      <c r="C62" t="s">
        <v>230</v>
      </c>
      <c r="D62" t="s">
        <v>249</v>
      </c>
      <c r="E62" t="s">
        <v>250</v>
      </c>
      <c r="F62" t="s">
        <v>251</v>
      </c>
      <c r="G62" t="s">
        <v>252</v>
      </c>
      <c r="H62" t="s">
        <v>253</v>
      </c>
      <c r="I62" t="s">
        <v>254</v>
      </c>
      <c r="J62" t="s">
        <v>34</v>
      </c>
      <c r="K62">
        <v>73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255</v>
      </c>
      <c r="AC62" t="s">
        <v>35</v>
      </c>
      <c r="AD62" t="s">
        <v>34</v>
      </c>
      <c r="AE62">
        <v>1</v>
      </c>
      <c r="AF62">
        <v>1</v>
      </c>
      <c r="AG62">
        <v>0</v>
      </c>
      <c r="AL62" t="s">
        <v>34</v>
      </c>
      <c r="AM62" t="s">
        <v>34</v>
      </c>
    </row>
    <row r="63" spans="1:40" x14ac:dyDescent="0.2">
      <c r="A63" s="2">
        <v>45979.570347222223</v>
      </c>
      <c r="B63" t="s">
        <v>301</v>
      </c>
      <c r="C63" t="s">
        <v>230</v>
      </c>
      <c r="D63" t="s">
        <v>249</v>
      </c>
      <c r="E63" t="s">
        <v>302</v>
      </c>
      <c r="F63" t="s">
        <v>303</v>
      </c>
      <c r="G63">
        <v>84935522035</v>
      </c>
      <c r="H63" t="s">
        <v>304</v>
      </c>
      <c r="I63" t="s">
        <v>305</v>
      </c>
      <c r="J63" t="s">
        <v>34</v>
      </c>
      <c r="K63">
        <v>63</v>
      </c>
      <c r="L63">
        <v>17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</v>
      </c>
      <c r="T63">
        <v>4</v>
      </c>
      <c r="U63">
        <v>4</v>
      </c>
      <c r="V63">
        <v>4</v>
      </c>
      <c r="W63">
        <v>0</v>
      </c>
      <c r="X63">
        <v>0</v>
      </c>
      <c r="Y63">
        <v>2</v>
      </c>
      <c r="Z63">
        <v>0</v>
      </c>
      <c r="AA63">
        <v>0</v>
      </c>
      <c r="AB63" t="s">
        <v>255</v>
      </c>
      <c r="AC63" t="s">
        <v>34</v>
      </c>
      <c r="AD63" t="s">
        <v>34</v>
      </c>
      <c r="AE63">
        <v>1</v>
      </c>
      <c r="AF63">
        <v>0</v>
      </c>
      <c r="AG63" t="s">
        <v>306</v>
      </c>
      <c r="AL63" t="s">
        <v>34</v>
      </c>
      <c r="AM63" t="s">
        <v>34</v>
      </c>
    </row>
    <row r="64" spans="1:40" x14ac:dyDescent="0.2">
      <c r="A64" s="2">
        <v>45989.423298611109</v>
      </c>
      <c r="B64" t="s">
        <v>341</v>
      </c>
      <c r="C64" t="s">
        <v>230</v>
      </c>
      <c r="D64" t="s">
        <v>249</v>
      </c>
      <c r="E64" t="s">
        <v>342</v>
      </c>
      <c r="F64" t="s">
        <v>343</v>
      </c>
      <c r="G64">
        <v>79806911509</v>
      </c>
      <c r="H64" t="s">
        <v>344</v>
      </c>
      <c r="I64" t="s">
        <v>345</v>
      </c>
      <c r="J64" t="s">
        <v>34</v>
      </c>
      <c r="K64">
        <v>30</v>
      </c>
      <c r="L64">
        <v>30</v>
      </c>
      <c r="M64">
        <v>3</v>
      </c>
      <c r="N64">
        <v>0</v>
      </c>
      <c r="O64">
        <v>0</v>
      </c>
      <c r="P64">
        <v>0</v>
      </c>
      <c r="Q64">
        <v>7</v>
      </c>
      <c r="R64">
        <v>5</v>
      </c>
      <c r="S64">
        <v>2</v>
      </c>
      <c r="T64">
        <v>3</v>
      </c>
      <c r="U64">
        <v>5</v>
      </c>
      <c r="V64">
        <v>5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299</v>
      </c>
      <c r="AC64" t="s">
        <v>34</v>
      </c>
      <c r="AD64" t="s">
        <v>34</v>
      </c>
      <c r="AE64">
        <v>1</v>
      </c>
      <c r="AF64">
        <v>0</v>
      </c>
      <c r="AG64" t="s">
        <v>346</v>
      </c>
      <c r="AL64" t="s">
        <v>34</v>
      </c>
      <c r="AM64" t="s">
        <v>34</v>
      </c>
    </row>
    <row r="65" spans="1:40" x14ac:dyDescent="0.2">
      <c r="A65" s="2">
        <v>45987.633414351847</v>
      </c>
      <c r="B65" t="s">
        <v>347</v>
      </c>
      <c r="C65" t="s">
        <v>230</v>
      </c>
      <c r="D65" t="s">
        <v>249</v>
      </c>
      <c r="E65" t="s">
        <v>342</v>
      </c>
      <c r="F65" t="s">
        <v>348</v>
      </c>
      <c r="G65" t="s">
        <v>349</v>
      </c>
      <c r="H65" t="s">
        <v>350</v>
      </c>
      <c r="I65" t="s">
        <v>49</v>
      </c>
      <c r="J65" t="s">
        <v>34</v>
      </c>
      <c r="K65">
        <v>247</v>
      </c>
      <c r="L65">
        <v>46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10</v>
      </c>
      <c r="U65">
        <v>11</v>
      </c>
      <c r="V65">
        <v>7</v>
      </c>
      <c r="W65">
        <v>7</v>
      </c>
      <c r="X65">
        <v>2</v>
      </c>
      <c r="Y65">
        <v>1</v>
      </c>
      <c r="Z65">
        <v>0</v>
      </c>
      <c r="AA65">
        <v>6</v>
      </c>
      <c r="AB65" t="s">
        <v>351</v>
      </c>
      <c r="AC65" t="s">
        <v>34</v>
      </c>
      <c r="AD65" t="s">
        <v>34</v>
      </c>
      <c r="AE65">
        <v>1</v>
      </c>
      <c r="AF65">
        <v>0</v>
      </c>
      <c r="AG65" t="s">
        <v>352</v>
      </c>
      <c r="AL65" t="s">
        <v>35</v>
      </c>
      <c r="AM65" t="s">
        <v>35</v>
      </c>
      <c r="AN65" t="s">
        <v>353</v>
      </c>
    </row>
    <row r="66" spans="1:40" x14ac:dyDescent="0.2">
      <c r="A66" s="4"/>
      <c r="B66" s="4" t="s">
        <v>453</v>
      </c>
      <c r="C66" s="4" t="s">
        <v>230</v>
      </c>
      <c r="D66" s="4" t="s">
        <v>335</v>
      </c>
      <c r="E66" s="4" t="s">
        <v>454</v>
      </c>
      <c r="F66" s="4" t="s">
        <v>455</v>
      </c>
      <c r="G66" s="4">
        <v>88337522504</v>
      </c>
      <c r="H66" s="4" t="s">
        <v>456</v>
      </c>
      <c r="I66" s="4"/>
      <c r="J66" s="4"/>
      <c r="K66" s="27">
        <v>78</v>
      </c>
      <c r="L66" s="4">
        <v>30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4</v>
      </c>
      <c r="T66">
        <v>6</v>
      </c>
      <c r="U66">
        <v>9</v>
      </c>
      <c r="V66">
        <v>8</v>
      </c>
      <c r="W66">
        <v>2</v>
      </c>
      <c r="X66">
        <v>1</v>
      </c>
      <c r="Y66">
        <v>0</v>
      </c>
      <c r="Z66">
        <v>0</v>
      </c>
      <c r="AA66">
        <v>0</v>
      </c>
    </row>
    <row r="67" spans="1:40" x14ac:dyDescent="0.2">
      <c r="A67" s="2">
        <v>45978.663576388892</v>
      </c>
      <c r="B67" t="s">
        <v>334</v>
      </c>
      <c r="C67" t="s">
        <v>230</v>
      </c>
      <c r="D67" t="s">
        <v>335</v>
      </c>
      <c r="E67" t="s">
        <v>336</v>
      </c>
      <c r="F67" t="s">
        <v>337</v>
      </c>
      <c r="G67">
        <v>8833225208</v>
      </c>
      <c r="H67" t="s">
        <v>338</v>
      </c>
      <c r="I67" t="s">
        <v>49</v>
      </c>
      <c r="J67" t="s">
        <v>34</v>
      </c>
      <c r="K67">
        <v>135</v>
      </c>
      <c r="L67">
        <v>49</v>
      </c>
      <c r="M67" s="4">
        <v>0</v>
      </c>
      <c r="N67" s="4">
        <v>0</v>
      </c>
      <c r="O67" s="4">
        <v>0</v>
      </c>
      <c r="P67" s="4">
        <v>0</v>
      </c>
      <c r="Q67" s="4">
        <v>1</v>
      </c>
      <c r="R67" s="4">
        <v>4</v>
      </c>
      <c r="S67" s="4">
        <v>2</v>
      </c>
      <c r="T67" s="4">
        <v>1</v>
      </c>
      <c r="U67" s="4">
        <v>4</v>
      </c>
      <c r="V67" s="4">
        <v>4</v>
      </c>
      <c r="W67" s="4">
        <v>4</v>
      </c>
      <c r="X67" s="4">
        <v>2</v>
      </c>
      <c r="Y67" s="4">
        <v>1</v>
      </c>
      <c r="Z67" s="4">
        <v>1</v>
      </c>
      <c r="AA67" s="4">
        <v>25</v>
      </c>
      <c r="AB67" t="s">
        <v>339</v>
      </c>
      <c r="AC67" t="s">
        <v>35</v>
      </c>
      <c r="AD67" t="s">
        <v>35</v>
      </c>
      <c r="AE67">
        <v>3</v>
      </c>
      <c r="AF67">
        <v>1</v>
      </c>
      <c r="AG67" t="s">
        <v>48</v>
      </c>
      <c r="AL67" t="s">
        <v>35</v>
      </c>
      <c r="AM67" t="s">
        <v>34</v>
      </c>
      <c r="AN67" t="s">
        <v>340</v>
      </c>
    </row>
    <row r="68" spans="1:40" x14ac:dyDescent="0.2">
      <c r="A68" s="2">
        <v>45979.376979166656</v>
      </c>
      <c r="B68" t="s">
        <v>368</v>
      </c>
      <c r="C68" t="s">
        <v>230</v>
      </c>
      <c r="D68" t="s">
        <v>335</v>
      </c>
      <c r="E68" t="s">
        <v>369</v>
      </c>
      <c r="F68" t="s">
        <v>370</v>
      </c>
      <c r="G68">
        <v>8332711888</v>
      </c>
      <c r="H68" t="s">
        <v>371</v>
      </c>
      <c r="I68" t="s">
        <v>49</v>
      </c>
      <c r="J68" t="s">
        <v>114</v>
      </c>
      <c r="K68">
        <v>1121</v>
      </c>
      <c r="L68">
        <v>67</v>
      </c>
      <c r="M68">
        <v>0</v>
      </c>
      <c r="N68">
        <v>0</v>
      </c>
      <c r="O68">
        <v>0</v>
      </c>
      <c r="P68">
        <v>0</v>
      </c>
      <c r="Q68">
        <v>1</v>
      </c>
      <c r="R68">
        <v>4</v>
      </c>
      <c r="S68">
        <v>2</v>
      </c>
      <c r="T68">
        <v>9</v>
      </c>
      <c r="U68">
        <v>11</v>
      </c>
      <c r="V68">
        <v>9</v>
      </c>
      <c r="W68">
        <v>7</v>
      </c>
      <c r="X68">
        <v>14</v>
      </c>
      <c r="Y68">
        <v>7</v>
      </c>
      <c r="Z68">
        <v>3</v>
      </c>
      <c r="AA68">
        <v>0</v>
      </c>
      <c r="AC68" t="s">
        <v>35</v>
      </c>
      <c r="AD68" t="s">
        <v>35</v>
      </c>
      <c r="AE68">
        <v>2</v>
      </c>
      <c r="AF68">
        <v>0</v>
      </c>
      <c r="AG68" t="s">
        <v>34</v>
      </c>
      <c r="AL68" t="s">
        <v>35</v>
      </c>
      <c r="AM68" t="s">
        <v>35</v>
      </c>
    </row>
    <row r="69" spans="1:40" x14ac:dyDescent="0.2">
      <c r="A69" s="2">
        <v>45978.56177083333</v>
      </c>
      <c r="B69" t="s">
        <v>372</v>
      </c>
      <c r="C69" t="s">
        <v>230</v>
      </c>
      <c r="D69" t="s">
        <v>335</v>
      </c>
      <c r="E69" t="s">
        <v>369</v>
      </c>
      <c r="F69" t="s">
        <v>373</v>
      </c>
      <c r="G69" t="s">
        <v>374</v>
      </c>
      <c r="H69" t="s">
        <v>375</v>
      </c>
      <c r="I69" t="s">
        <v>376</v>
      </c>
      <c r="J69" t="s">
        <v>34</v>
      </c>
      <c r="K69">
        <v>1000</v>
      </c>
      <c r="L69">
        <v>115</v>
      </c>
      <c r="M69">
        <v>70</v>
      </c>
      <c r="N69">
        <v>0</v>
      </c>
      <c r="O69">
        <v>0</v>
      </c>
      <c r="P69">
        <v>0</v>
      </c>
      <c r="Q69">
        <v>1</v>
      </c>
      <c r="R69">
        <v>3</v>
      </c>
      <c r="S69">
        <v>2</v>
      </c>
      <c r="T69">
        <v>3</v>
      </c>
      <c r="U69">
        <v>3</v>
      </c>
      <c r="V69">
        <v>3</v>
      </c>
      <c r="W69">
        <v>4</v>
      </c>
      <c r="X69">
        <v>2</v>
      </c>
      <c r="Y69">
        <v>2</v>
      </c>
      <c r="Z69">
        <v>2</v>
      </c>
      <c r="AA69">
        <v>20</v>
      </c>
      <c r="AB69" t="s">
        <v>62</v>
      </c>
      <c r="AC69" t="s">
        <v>35</v>
      </c>
      <c r="AD69" t="s">
        <v>35</v>
      </c>
      <c r="AE69">
        <v>4</v>
      </c>
      <c r="AF69">
        <v>1</v>
      </c>
      <c r="AG69" t="s">
        <v>377</v>
      </c>
      <c r="AH69">
        <v>1</v>
      </c>
      <c r="AL69" t="s">
        <v>34</v>
      </c>
      <c r="AM69" t="s">
        <v>34</v>
      </c>
    </row>
    <row r="70" spans="1:40" x14ac:dyDescent="0.2">
      <c r="A70" s="2">
        <v>45978.539710648147</v>
      </c>
      <c r="B70" t="s">
        <v>378</v>
      </c>
      <c r="C70" t="s">
        <v>230</v>
      </c>
      <c r="D70" t="s">
        <v>335</v>
      </c>
      <c r="E70" t="s">
        <v>369</v>
      </c>
      <c r="F70" t="s">
        <v>379</v>
      </c>
      <c r="G70">
        <v>89229557303</v>
      </c>
      <c r="H70" t="s">
        <v>380</v>
      </c>
      <c r="I70" t="s">
        <v>381</v>
      </c>
      <c r="J70" t="s">
        <v>34</v>
      </c>
      <c r="K70">
        <v>14</v>
      </c>
      <c r="L70">
        <v>14</v>
      </c>
      <c r="M70">
        <v>13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382</v>
      </c>
      <c r="AC70" t="s">
        <v>34</v>
      </c>
      <c r="AD70" t="s">
        <v>34</v>
      </c>
      <c r="AE70">
        <v>1</v>
      </c>
      <c r="AF70">
        <v>0</v>
      </c>
      <c r="AG70" t="s">
        <v>48</v>
      </c>
      <c r="AL70" t="s">
        <v>34</v>
      </c>
      <c r="AM70" t="s">
        <v>34</v>
      </c>
    </row>
    <row r="71" spans="1:40" x14ac:dyDescent="0.2">
      <c r="A71" s="2">
        <v>45987.538564814808</v>
      </c>
      <c r="B71" t="s">
        <v>383</v>
      </c>
      <c r="C71" t="s">
        <v>230</v>
      </c>
      <c r="D71" t="s">
        <v>335</v>
      </c>
      <c r="E71" t="s">
        <v>369</v>
      </c>
      <c r="F71" t="s">
        <v>384</v>
      </c>
      <c r="G71" t="s">
        <v>385</v>
      </c>
      <c r="H71" t="s">
        <v>386</v>
      </c>
      <c r="I71" t="s">
        <v>93</v>
      </c>
      <c r="J71" t="s">
        <v>114</v>
      </c>
      <c r="K71">
        <v>595</v>
      </c>
      <c r="L71">
        <v>57</v>
      </c>
      <c r="M71">
        <v>13</v>
      </c>
      <c r="N71">
        <v>0</v>
      </c>
      <c r="O71">
        <v>0</v>
      </c>
      <c r="P71">
        <v>1</v>
      </c>
      <c r="Q71">
        <v>0</v>
      </c>
      <c r="R71">
        <v>2</v>
      </c>
      <c r="S71">
        <v>4</v>
      </c>
      <c r="T71">
        <v>4</v>
      </c>
      <c r="U71">
        <v>3</v>
      </c>
      <c r="V71">
        <v>2</v>
      </c>
      <c r="W71">
        <v>2</v>
      </c>
      <c r="X71">
        <v>4</v>
      </c>
      <c r="Y71">
        <v>4</v>
      </c>
      <c r="Z71">
        <v>18</v>
      </c>
      <c r="AA71">
        <v>0</v>
      </c>
      <c r="AB71" t="s">
        <v>62</v>
      </c>
      <c r="AC71" t="s">
        <v>34</v>
      </c>
      <c r="AD71" t="s">
        <v>35</v>
      </c>
      <c r="AE71">
        <v>2</v>
      </c>
      <c r="AF71">
        <v>1</v>
      </c>
      <c r="AG71" t="s">
        <v>56</v>
      </c>
      <c r="AL71" t="s">
        <v>35</v>
      </c>
      <c r="AM71" t="s">
        <v>35</v>
      </c>
    </row>
    <row r="72" spans="1:40" x14ac:dyDescent="0.2">
      <c r="A72" s="2">
        <v>45996.548761574071</v>
      </c>
      <c r="B72" t="s">
        <v>387</v>
      </c>
      <c r="C72" t="s">
        <v>230</v>
      </c>
      <c r="D72" t="s">
        <v>388</v>
      </c>
      <c r="E72" t="s">
        <v>389</v>
      </c>
      <c r="F72" t="s">
        <v>390</v>
      </c>
      <c r="G72" t="s">
        <v>391</v>
      </c>
      <c r="H72" t="s">
        <v>392</v>
      </c>
      <c r="I72" t="s">
        <v>93</v>
      </c>
      <c r="J72" t="s">
        <v>34</v>
      </c>
      <c r="K72">
        <v>200</v>
      </c>
      <c r="L72">
        <v>95</v>
      </c>
      <c r="M72">
        <v>0</v>
      </c>
      <c r="N72">
        <v>0</v>
      </c>
      <c r="O72">
        <v>5</v>
      </c>
      <c r="P72">
        <v>5</v>
      </c>
      <c r="Q72">
        <v>8</v>
      </c>
      <c r="R72">
        <v>15</v>
      </c>
      <c r="S72">
        <v>15</v>
      </c>
      <c r="T72">
        <v>14</v>
      </c>
      <c r="U72">
        <v>10</v>
      </c>
      <c r="V72">
        <v>10</v>
      </c>
      <c r="W72">
        <v>5</v>
      </c>
      <c r="X72">
        <v>4</v>
      </c>
      <c r="Y72">
        <v>4</v>
      </c>
      <c r="Z72">
        <v>0</v>
      </c>
      <c r="AA72">
        <v>0</v>
      </c>
      <c r="AB72" t="s">
        <v>62</v>
      </c>
      <c r="AC72" t="s">
        <v>34</v>
      </c>
      <c r="AD72" t="s">
        <v>34</v>
      </c>
      <c r="AE72">
        <v>1</v>
      </c>
      <c r="AF72">
        <v>0</v>
      </c>
      <c r="AG72" t="s">
        <v>393</v>
      </c>
      <c r="AH72">
        <v>3</v>
      </c>
      <c r="AL72" t="s">
        <v>35</v>
      </c>
      <c r="AM72" t="s">
        <v>35</v>
      </c>
    </row>
    <row r="73" spans="1:40" x14ac:dyDescent="0.2">
      <c r="A73" s="2">
        <v>45979.477361111109</v>
      </c>
      <c r="B73" t="s">
        <v>394</v>
      </c>
      <c r="C73" t="s">
        <v>230</v>
      </c>
      <c r="D73" t="s">
        <v>388</v>
      </c>
      <c r="E73" t="s">
        <v>389</v>
      </c>
      <c r="F73" t="s">
        <v>395</v>
      </c>
      <c r="G73">
        <v>74942414131</v>
      </c>
      <c r="H73" t="s">
        <v>396</v>
      </c>
      <c r="I73" t="s">
        <v>49</v>
      </c>
      <c r="J73" t="s">
        <v>114</v>
      </c>
      <c r="K73">
        <v>370</v>
      </c>
      <c r="L73">
        <v>28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4</v>
      </c>
      <c r="T73">
        <v>5</v>
      </c>
      <c r="U73">
        <v>8</v>
      </c>
      <c r="V73">
        <v>4</v>
      </c>
      <c r="W73">
        <v>2</v>
      </c>
      <c r="X73">
        <v>3</v>
      </c>
      <c r="Y73">
        <v>1</v>
      </c>
      <c r="Z73">
        <v>0</v>
      </c>
      <c r="AA73">
        <v>0</v>
      </c>
      <c r="AB73" t="s">
        <v>189</v>
      </c>
      <c r="AC73" t="s">
        <v>35</v>
      </c>
      <c r="AD73" t="s">
        <v>35</v>
      </c>
      <c r="AE73">
        <v>1</v>
      </c>
      <c r="AF73">
        <v>1</v>
      </c>
      <c r="AG73" t="s">
        <v>397</v>
      </c>
      <c r="AH73">
        <v>2</v>
      </c>
      <c r="AL73" t="s">
        <v>35</v>
      </c>
      <c r="AM73" t="s">
        <v>34</v>
      </c>
    </row>
    <row r="74" spans="1:40" x14ac:dyDescent="0.2">
      <c r="A74" s="2">
        <v>45993.347094907411</v>
      </c>
      <c r="B74" t="s">
        <v>398</v>
      </c>
      <c r="C74" t="s">
        <v>230</v>
      </c>
      <c r="D74" t="s">
        <v>388</v>
      </c>
      <c r="E74" t="s">
        <v>389</v>
      </c>
      <c r="F74" t="s">
        <v>389</v>
      </c>
      <c r="G74">
        <v>89206490755</v>
      </c>
      <c r="H74" t="s">
        <v>56</v>
      </c>
      <c r="I74" t="s">
        <v>399</v>
      </c>
      <c r="J74" t="s">
        <v>34</v>
      </c>
      <c r="K74">
        <v>42</v>
      </c>
      <c r="L74">
        <v>42</v>
      </c>
      <c r="M74">
        <v>0</v>
      </c>
      <c r="N74">
        <v>0</v>
      </c>
      <c r="O74">
        <v>2</v>
      </c>
      <c r="P74">
        <v>3</v>
      </c>
      <c r="Q74">
        <v>2</v>
      </c>
      <c r="R74">
        <v>5</v>
      </c>
      <c r="S74">
        <v>5</v>
      </c>
      <c r="T74">
        <v>5</v>
      </c>
      <c r="U74">
        <v>2</v>
      </c>
      <c r="V74">
        <v>8</v>
      </c>
      <c r="W74">
        <v>5</v>
      </c>
      <c r="X74">
        <v>5</v>
      </c>
      <c r="Y74">
        <v>0</v>
      </c>
      <c r="Z74">
        <v>0</v>
      </c>
      <c r="AA74">
        <v>0</v>
      </c>
      <c r="AB74" t="s">
        <v>207</v>
      </c>
      <c r="AC74" t="s">
        <v>34</v>
      </c>
      <c r="AD74" t="s">
        <v>34</v>
      </c>
      <c r="AE74">
        <v>2</v>
      </c>
      <c r="AF74">
        <v>0</v>
      </c>
      <c r="AG74" t="s">
        <v>400</v>
      </c>
      <c r="AL74" t="s">
        <v>34</v>
      </c>
      <c r="AM74" t="s">
        <v>34</v>
      </c>
    </row>
    <row r="75" spans="1:40" x14ac:dyDescent="0.2">
      <c r="A75" s="2">
        <v>45999.833703703713</v>
      </c>
      <c r="B75" t="s">
        <v>419</v>
      </c>
      <c r="C75" t="s">
        <v>230</v>
      </c>
      <c r="D75" t="s">
        <v>388</v>
      </c>
      <c r="E75" t="s">
        <v>420</v>
      </c>
      <c r="F75" t="s">
        <v>421</v>
      </c>
      <c r="G75">
        <v>89676802109</v>
      </c>
      <c r="H75" t="s">
        <v>56</v>
      </c>
      <c r="I75" t="s">
        <v>49</v>
      </c>
      <c r="J75" t="s">
        <v>34</v>
      </c>
      <c r="K75">
        <v>64</v>
      </c>
      <c r="L75">
        <v>64</v>
      </c>
      <c r="M75">
        <v>4</v>
      </c>
      <c r="N75">
        <v>1</v>
      </c>
      <c r="O75">
        <v>2</v>
      </c>
      <c r="P75">
        <v>3</v>
      </c>
      <c r="Q75">
        <v>4</v>
      </c>
      <c r="R75">
        <v>10</v>
      </c>
      <c r="S75">
        <v>5</v>
      </c>
      <c r="T75">
        <v>3</v>
      </c>
      <c r="U75">
        <v>2</v>
      </c>
      <c r="V75">
        <v>10</v>
      </c>
      <c r="W75">
        <v>10</v>
      </c>
      <c r="X75">
        <v>10</v>
      </c>
      <c r="Y75">
        <v>0</v>
      </c>
      <c r="Z75">
        <v>0</v>
      </c>
      <c r="AA75">
        <v>0</v>
      </c>
      <c r="AB75" t="s">
        <v>207</v>
      </c>
      <c r="AC75" t="s">
        <v>34</v>
      </c>
      <c r="AD75" t="s">
        <v>34</v>
      </c>
      <c r="AE75">
        <v>2</v>
      </c>
      <c r="AF75">
        <v>0</v>
      </c>
      <c r="AG75" t="s">
        <v>422</v>
      </c>
      <c r="AL75" t="s">
        <v>34</v>
      </c>
      <c r="AM75" t="s">
        <v>34</v>
      </c>
    </row>
    <row r="76" spans="1:40" x14ac:dyDescent="0.2">
      <c r="A76" s="2">
        <v>45989.439409722218</v>
      </c>
      <c r="B76" t="s">
        <v>462</v>
      </c>
      <c r="C76" t="s">
        <v>230</v>
      </c>
      <c r="D76" t="s">
        <v>294</v>
      </c>
      <c r="E76" t="s">
        <v>464</v>
      </c>
      <c r="F76" t="s">
        <v>465</v>
      </c>
      <c r="G76" t="s">
        <v>466</v>
      </c>
      <c r="H76" t="s">
        <v>467</v>
      </c>
      <c r="I76" t="s">
        <v>93</v>
      </c>
      <c r="J76" t="s">
        <v>34</v>
      </c>
      <c r="K76">
        <v>891</v>
      </c>
      <c r="L76">
        <v>67</v>
      </c>
      <c r="M76">
        <v>15</v>
      </c>
      <c r="N76">
        <v>1</v>
      </c>
      <c r="O76">
        <v>0</v>
      </c>
      <c r="P76">
        <v>0</v>
      </c>
      <c r="Q76">
        <v>4</v>
      </c>
      <c r="R76">
        <v>6</v>
      </c>
      <c r="S76">
        <v>8</v>
      </c>
      <c r="T76">
        <v>4</v>
      </c>
      <c r="U76">
        <v>5</v>
      </c>
      <c r="V76">
        <v>5</v>
      </c>
      <c r="W76">
        <v>6</v>
      </c>
      <c r="X76">
        <v>2</v>
      </c>
      <c r="Y76">
        <v>10</v>
      </c>
      <c r="Z76">
        <v>1</v>
      </c>
      <c r="AA76">
        <v>0</v>
      </c>
      <c r="AB76" t="s">
        <v>62</v>
      </c>
      <c r="AC76" t="s">
        <v>34</v>
      </c>
      <c r="AD76" t="s">
        <v>34</v>
      </c>
      <c r="AE76">
        <v>3</v>
      </c>
      <c r="AF76">
        <v>1</v>
      </c>
      <c r="AG76">
        <v>1</v>
      </c>
      <c r="AL76" t="s">
        <v>35</v>
      </c>
      <c r="AM76" t="s">
        <v>34</v>
      </c>
    </row>
    <row r="77" spans="1:40" x14ac:dyDescent="0.2">
      <c r="A77" s="2">
        <v>45995.394375000003</v>
      </c>
      <c r="B77" t="s">
        <v>468</v>
      </c>
      <c r="C77" t="s">
        <v>230</v>
      </c>
      <c r="D77" t="s">
        <v>294</v>
      </c>
      <c r="E77" t="s">
        <v>464</v>
      </c>
      <c r="F77" t="s">
        <v>470</v>
      </c>
      <c r="G77">
        <v>89520620776</v>
      </c>
      <c r="H77" t="s">
        <v>428</v>
      </c>
      <c r="I77" t="s">
        <v>471</v>
      </c>
      <c r="J77" t="s">
        <v>34</v>
      </c>
      <c r="K77">
        <v>44</v>
      </c>
      <c r="L77">
        <v>44</v>
      </c>
      <c r="M77">
        <v>0</v>
      </c>
      <c r="N77">
        <v>0</v>
      </c>
      <c r="O77">
        <v>0</v>
      </c>
      <c r="P77">
        <v>0</v>
      </c>
      <c r="Q77">
        <v>1</v>
      </c>
      <c r="R77">
        <v>3</v>
      </c>
      <c r="S77">
        <v>2</v>
      </c>
      <c r="T77">
        <v>3</v>
      </c>
      <c r="U77">
        <v>1</v>
      </c>
      <c r="V77">
        <v>4</v>
      </c>
      <c r="W77">
        <v>3</v>
      </c>
      <c r="X77">
        <v>3</v>
      </c>
      <c r="Y77">
        <v>8</v>
      </c>
      <c r="Z77">
        <v>4</v>
      </c>
      <c r="AA77">
        <v>12</v>
      </c>
      <c r="AB77" t="s">
        <v>131</v>
      </c>
      <c r="AC77" t="s">
        <v>34</v>
      </c>
      <c r="AD77" t="s">
        <v>34</v>
      </c>
      <c r="AE77">
        <v>1</v>
      </c>
      <c r="AF77">
        <v>0</v>
      </c>
      <c r="AG77" t="s">
        <v>472</v>
      </c>
      <c r="AL77" t="s">
        <v>34</v>
      </c>
      <c r="AM77" t="s">
        <v>34</v>
      </c>
    </row>
    <row r="78" spans="1:40" x14ac:dyDescent="0.2">
      <c r="A78" s="2">
        <v>45995.451608796298</v>
      </c>
      <c r="B78" t="s">
        <v>293</v>
      </c>
      <c r="C78" t="s">
        <v>230</v>
      </c>
      <c r="D78" t="s">
        <v>294</v>
      </c>
      <c r="E78" t="s">
        <v>295</v>
      </c>
      <c r="F78" t="s">
        <v>296</v>
      </c>
      <c r="G78" t="s">
        <v>297</v>
      </c>
      <c r="H78" t="s">
        <v>298</v>
      </c>
      <c r="I78" t="s">
        <v>49</v>
      </c>
      <c r="J78" t="s">
        <v>114</v>
      </c>
      <c r="K78">
        <v>190</v>
      </c>
      <c r="L78">
        <v>20</v>
      </c>
      <c r="M78">
        <v>0</v>
      </c>
      <c r="N78">
        <v>0</v>
      </c>
      <c r="O78">
        <v>0</v>
      </c>
      <c r="P78">
        <v>1</v>
      </c>
      <c r="Q78">
        <v>4</v>
      </c>
      <c r="R78">
        <v>3</v>
      </c>
      <c r="S78">
        <v>2</v>
      </c>
      <c r="T78">
        <v>2</v>
      </c>
      <c r="U78">
        <v>3</v>
      </c>
      <c r="V78">
        <v>3</v>
      </c>
      <c r="W78">
        <v>2</v>
      </c>
      <c r="X78">
        <v>0</v>
      </c>
      <c r="Y78">
        <v>0</v>
      </c>
      <c r="Z78">
        <v>0</v>
      </c>
      <c r="AA78">
        <v>0</v>
      </c>
      <c r="AB78" t="s">
        <v>299</v>
      </c>
      <c r="AC78" t="s">
        <v>35</v>
      </c>
      <c r="AD78" t="s">
        <v>34</v>
      </c>
      <c r="AE78">
        <v>1</v>
      </c>
      <c r="AF78">
        <v>0</v>
      </c>
      <c r="AG78" t="s">
        <v>300</v>
      </c>
      <c r="AL78" t="s">
        <v>35</v>
      </c>
      <c r="AM78" t="s">
        <v>34</v>
      </c>
    </row>
    <row r="79" spans="1:40" x14ac:dyDescent="0.2">
      <c r="A79" s="2">
        <v>45978.629004629627</v>
      </c>
      <c r="B79" t="s">
        <v>363</v>
      </c>
      <c r="C79" t="s">
        <v>230</v>
      </c>
      <c r="D79" t="s">
        <v>294</v>
      </c>
      <c r="E79" t="s">
        <v>364</v>
      </c>
      <c r="F79" t="s">
        <v>365</v>
      </c>
      <c r="G79">
        <v>9201884697</v>
      </c>
      <c r="H79" t="s">
        <v>366</v>
      </c>
      <c r="I79" t="s">
        <v>367</v>
      </c>
      <c r="J79" t="s">
        <v>34</v>
      </c>
      <c r="K79">
        <v>30</v>
      </c>
      <c r="L79">
        <v>17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</v>
      </c>
      <c r="T79">
        <v>0</v>
      </c>
      <c r="U79">
        <v>5</v>
      </c>
      <c r="V79">
        <v>4</v>
      </c>
      <c r="W79">
        <v>4</v>
      </c>
      <c r="X79">
        <v>2</v>
      </c>
      <c r="Y79">
        <v>0</v>
      </c>
      <c r="Z79">
        <v>0</v>
      </c>
      <c r="AA79">
        <v>0</v>
      </c>
      <c r="AB79" t="s">
        <v>80</v>
      </c>
      <c r="AC79" t="s">
        <v>35</v>
      </c>
      <c r="AD79" t="s">
        <v>35</v>
      </c>
      <c r="AE79">
        <v>3</v>
      </c>
      <c r="AF79">
        <v>1</v>
      </c>
      <c r="AG79" t="s">
        <v>48</v>
      </c>
      <c r="AL79" t="s">
        <v>34</v>
      </c>
      <c r="AM79" t="s">
        <v>34</v>
      </c>
    </row>
    <row r="80" spans="1:40" x14ac:dyDescent="0.2">
      <c r="A80" s="2">
        <v>45992.528668981482</v>
      </c>
      <c r="B80" t="s">
        <v>401</v>
      </c>
      <c r="C80" t="s">
        <v>230</v>
      </c>
      <c r="D80" t="s">
        <v>294</v>
      </c>
      <c r="E80" t="s">
        <v>402</v>
      </c>
      <c r="F80" t="s">
        <v>403</v>
      </c>
      <c r="G80">
        <v>89108435603</v>
      </c>
      <c r="H80" t="s">
        <v>404</v>
      </c>
      <c r="I80" t="s">
        <v>49</v>
      </c>
      <c r="J80" t="s">
        <v>34</v>
      </c>
      <c r="K80">
        <v>186</v>
      </c>
      <c r="L80">
        <v>38</v>
      </c>
      <c r="M80">
        <v>0</v>
      </c>
      <c r="N80">
        <v>0</v>
      </c>
      <c r="O80">
        <v>0</v>
      </c>
      <c r="P80">
        <v>2</v>
      </c>
      <c r="Q80">
        <v>3</v>
      </c>
      <c r="R80">
        <v>10</v>
      </c>
      <c r="S80">
        <v>3</v>
      </c>
      <c r="T80">
        <v>3</v>
      </c>
      <c r="U80">
        <v>3</v>
      </c>
      <c r="V80">
        <v>10</v>
      </c>
      <c r="W80">
        <v>4</v>
      </c>
      <c r="X80">
        <v>0</v>
      </c>
      <c r="Y80">
        <v>0</v>
      </c>
      <c r="Z80">
        <v>0</v>
      </c>
      <c r="AA80">
        <v>0</v>
      </c>
      <c r="AB80" t="s">
        <v>405</v>
      </c>
      <c r="AC80" t="s">
        <v>35</v>
      </c>
      <c r="AD80" t="s">
        <v>35</v>
      </c>
      <c r="AE80">
        <v>1</v>
      </c>
      <c r="AF80">
        <v>0</v>
      </c>
      <c r="AG80" t="s">
        <v>406</v>
      </c>
      <c r="AL80" t="s">
        <v>35</v>
      </c>
      <c r="AM80" t="s">
        <v>34</v>
      </c>
      <c r="AN80" t="s">
        <v>407</v>
      </c>
    </row>
    <row r="81" spans="1:40" x14ac:dyDescent="0.2">
      <c r="A81" s="2">
        <v>45995.440995370373</v>
      </c>
      <c r="B81" t="s">
        <v>423</v>
      </c>
      <c r="C81" t="s">
        <v>230</v>
      </c>
      <c r="D81" t="s">
        <v>294</v>
      </c>
      <c r="E81" t="s">
        <v>424</v>
      </c>
      <c r="F81" t="s">
        <v>425</v>
      </c>
      <c r="G81" t="s">
        <v>426</v>
      </c>
      <c r="H81" t="s">
        <v>427</v>
      </c>
      <c r="I81" t="s">
        <v>33</v>
      </c>
      <c r="J81" t="s">
        <v>34</v>
      </c>
      <c r="K81">
        <v>91</v>
      </c>
      <c r="L81">
        <v>27</v>
      </c>
      <c r="M81">
        <v>0</v>
      </c>
      <c r="N81">
        <v>0</v>
      </c>
      <c r="O81">
        <v>0</v>
      </c>
      <c r="P81">
        <v>0</v>
      </c>
      <c r="Q81">
        <v>2</v>
      </c>
      <c r="R81">
        <v>4</v>
      </c>
      <c r="S81">
        <v>6</v>
      </c>
      <c r="T81">
        <v>5</v>
      </c>
      <c r="U81">
        <v>5</v>
      </c>
      <c r="V81">
        <v>5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428</v>
      </c>
      <c r="AC81" t="s">
        <v>35</v>
      </c>
      <c r="AD81" t="s">
        <v>34</v>
      </c>
      <c r="AE81">
        <v>1</v>
      </c>
      <c r="AF81">
        <v>0</v>
      </c>
      <c r="AG81" t="s">
        <v>429</v>
      </c>
      <c r="AL81" t="s">
        <v>34</v>
      </c>
      <c r="AM81" t="s">
        <v>34</v>
      </c>
    </row>
    <row r="82" spans="1:40" x14ac:dyDescent="0.2">
      <c r="A82" s="2">
        <v>45990.368275462963</v>
      </c>
      <c r="B82" t="s">
        <v>473</v>
      </c>
      <c r="C82" t="s">
        <v>230</v>
      </c>
      <c r="D82" t="s">
        <v>294</v>
      </c>
      <c r="E82" t="s">
        <v>474</v>
      </c>
      <c r="F82" t="s">
        <v>475</v>
      </c>
      <c r="G82">
        <v>84823931220</v>
      </c>
      <c r="H82" t="s">
        <v>476</v>
      </c>
      <c r="I82" t="s">
        <v>49</v>
      </c>
      <c r="J82" t="s">
        <v>34</v>
      </c>
      <c r="K82">
        <v>90</v>
      </c>
      <c r="L82">
        <v>31</v>
      </c>
      <c r="M82">
        <v>0</v>
      </c>
      <c r="N82">
        <v>0</v>
      </c>
      <c r="O82">
        <v>0</v>
      </c>
      <c r="P82">
        <v>0</v>
      </c>
      <c r="Q82">
        <v>1</v>
      </c>
      <c r="R82">
        <v>1</v>
      </c>
      <c r="S82">
        <v>3</v>
      </c>
      <c r="T82">
        <v>4</v>
      </c>
      <c r="U82">
        <v>5</v>
      </c>
      <c r="V82">
        <v>5</v>
      </c>
      <c r="W82">
        <v>6</v>
      </c>
      <c r="X82">
        <v>2</v>
      </c>
      <c r="Y82">
        <v>2</v>
      </c>
      <c r="Z82">
        <v>2</v>
      </c>
      <c r="AA82">
        <v>0</v>
      </c>
      <c r="AC82" t="s">
        <v>35</v>
      </c>
      <c r="AD82" t="s">
        <v>34</v>
      </c>
      <c r="AE82">
        <v>3</v>
      </c>
      <c r="AF82">
        <v>0</v>
      </c>
      <c r="AG82" t="s">
        <v>34</v>
      </c>
      <c r="AL82" t="s">
        <v>34</v>
      </c>
      <c r="AM82" t="s">
        <v>34</v>
      </c>
      <c r="AN82" t="s">
        <v>477</v>
      </c>
    </row>
    <row r="83" spans="1:40" x14ac:dyDescent="0.2">
      <c r="A83" s="4"/>
      <c r="B83" s="4" t="s">
        <v>457</v>
      </c>
      <c r="C83" s="4" t="s">
        <v>230</v>
      </c>
      <c r="D83" s="4" t="s">
        <v>243</v>
      </c>
      <c r="E83" s="4" t="s">
        <v>458</v>
      </c>
      <c r="F83" s="4" t="s">
        <v>459</v>
      </c>
      <c r="G83" s="4" t="s">
        <v>460</v>
      </c>
      <c r="H83" s="4" t="s">
        <v>461</v>
      </c>
      <c r="I83" s="4"/>
      <c r="J83" s="4"/>
      <c r="K83" s="27">
        <v>72.8</v>
      </c>
      <c r="L83" s="4">
        <v>28</v>
      </c>
      <c r="M83">
        <v>0</v>
      </c>
      <c r="N83">
        <v>0</v>
      </c>
      <c r="O83">
        <v>0</v>
      </c>
      <c r="P83">
        <v>1</v>
      </c>
      <c r="Q83">
        <v>6</v>
      </c>
      <c r="R83">
        <v>3</v>
      </c>
      <c r="S83">
        <v>4</v>
      </c>
      <c r="T83">
        <v>0</v>
      </c>
      <c r="U83">
        <v>1</v>
      </c>
      <c r="V83">
        <v>0</v>
      </c>
      <c r="W83">
        <v>0</v>
      </c>
      <c r="X83">
        <v>2</v>
      </c>
      <c r="Y83">
        <v>0</v>
      </c>
      <c r="Z83">
        <v>11</v>
      </c>
      <c r="AA83">
        <v>0</v>
      </c>
    </row>
    <row r="84" spans="1:40" x14ac:dyDescent="0.2">
      <c r="A84" s="2">
        <v>45978.581597222219</v>
      </c>
      <c r="B84" t="s">
        <v>446</v>
      </c>
      <c r="C84" t="s">
        <v>230</v>
      </c>
      <c r="D84" t="s">
        <v>243</v>
      </c>
      <c r="E84" t="s">
        <v>448</v>
      </c>
      <c r="F84" t="s">
        <v>449</v>
      </c>
      <c r="G84" t="s">
        <v>450</v>
      </c>
      <c r="H84" t="s">
        <v>451</v>
      </c>
      <c r="I84" t="s">
        <v>49</v>
      </c>
      <c r="J84" t="s">
        <v>114</v>
      </c>
      <c r="K84">
        <v>289</v>
      </c>
      <c r="L84">
        <v>35</v>
      </c>
      <c r="M84" s="4">
        <v>0</v>
      </c>
      <c r="N84" s="4">
        <v>0</v>
      </c>
      <c r="O84" s="4">
        <v>2</v>
      </c>
      <c r="P84" s="4">
        <v>2</v>
      </c>
      <c r="Q84" s="4">
        <v>0</v>
      </c>
      <c r="R84" s="4">
        <v>1</v>
      </c>
      <c r="S84" s="4">
        <v>2</v>
      </c>
      <c r="T84" s="4">
        <v>12</v>
      </c>
      <c r="U84" s="4">
        <v>3</v>
      </c>
      <c r="V84" s="4">
        <v>5</v>
      </c>
      <c r="W84" s="4">
        <v>4</v>
      </c>
      <c r="X84" s="4">
        <v>1</v>
      </c>
      <c r="Y84" s="4">
        <v>3</v>
      </c>
      <c r="Z84" s="4">
        <v>0</v>
      </c>
      <c r="AA84" s="4">
        <v>0</v>
      </c>
      <c r="AB84" t="s">
        <v>131</v>
      </c>
      <c r="AC84" t="s">
        <v>34</v>
      </c>
      <c r="AD84" t="s">
        <v>34</v>
      </c>
      <c r="AE84">
        <v>2</v>
      </c>
      <c r="AF84">
        <v>0</v>
      </c>
      <c r="AG84" t="s">
        <v>452</v>
      </c>
      <c r="AL84" t="s">
        <v>35</v>
      </c>
      <c r="AM84" t="s">
        <v>35</v>
      </c>
    </row>
    <row r="85" spans="1:40" x14ac:dyDescent="0.2">
      <c r="A85" s="2">
        <v>45980.37431712963</v>
      </c>
      <c r="B85" t="s">
        <v>242</v>
      </c>
      <c r="C85" t="s">
        <v>230</v>
      </c>
      <c r="D85" t="s">
        <v>243</v>
      </c>
      <c r="E85" t="s">
        <v>244</v>
      </c>
      <c r="F85" t="s">
        <v>245</v>
      </c>
      <c r="G85">
        <v>89605296581</v>
      </c>
      <c r="H85" t="s">
        <v>246</v>
      </c>
      <c r="I85" t="s">
        <v>247</v>
      </c>
      <c r="J85" t="s">
        <v>34</v>
      </c>
      <c r="K85">
        <v>30</v>
      </c>
      <c r="L85">
        <v>11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</v>
      </c>
      <c r="W85">
        <v>8</v>
      </c>
      <c r="X85">
        <v>0</v>
      </c>
      <c r="Y85">
        <v>0</v>
      </c>
      <c r="Z85">
        <v>0</v>
      </c>
      <c r="AA85">
        <v>0</v>
      </c>
      <c r="AB85" t="s">
        <v>80</v>
      </c>
      <c r="AC85" t="s">
        <v>34</v>
      </c>
      <c r="AD85" t="s">
        <v>34</v>
      </c>
      <c r="AE85">
        <v>1</v>
      </c>
      <c r="AF85">
        <v>0</v>
      </c>
      <c r="AG85" t="s">
        <v>48</v>
      </c>
      <c r="AL85" t="s">
        <v>34</v>
      </c>
      <c r="AM85" t="s">
        <v>34</v>
      </c>
    </row>
    <row r="86" spans="1:40" x14ac:dyDescent="0.2">
      <c r="A86" s="2">
        <v>45979.350324074083</v>
      </c>
      <c r="B86" t="s">
        <v>307</v>
      </c>
      <c r="C86" t="s">
        <v>230</v>
      </c>
      <c r="D86" t="s">
        <v>243</v>
      </c>
      <c r="E86" t="s">
        <v>308</v>
      </c>
      <c r="F86" t="s">
        <v>309</v>
      </c>
      <c r="G86">
        <v>4853424684</v>
      </c>
      <c r="H86" t="s">
        <v>310</v>
      </c>
      <c r="I86" t="s">
        <v>49</v>
      </c>
      <c r="J86" t="s">
        <v>114</v>
      </c>
      <c r="K86">
        <v>164</v>
      </c>
      <c r="L86">
        <v>27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</v>
      </c>
      <c r="U86">
        <v>4</v>
      </c>
      <c r="V86">
        <v>4</v>
      </c>
      <c r="W86">
        <v>6</v>
      </c>
      <c r="X86">
        <v>4</v>
      </c>
      <c r="Y86">
        <v>2</v>
      </c>
      <c r="Z86">
        <v>1</v>
      </c>
      <c r="AA86">
        <v>0</v>
      </c>
      <c r="AB86" t="s">
        <v>108</v>
      </c>
      <c r="AC86" t="s">
        <v>34</v>
      </c>
      <c r="AD86" t="s">
        <v>34</v>
      </c>
      <c r="AE86">
        <v>2</v>
      </c>
      <c r="AF86">
        <v>0</v>
      </c>
      <c r="AG86" t="s">
        <v>311</v>
      </c>
      <c r="AH86">
        <v>1</v>
      </c>
      <c r="AL86" t="s">
        <v>35</v>
      </c>
      <c r="AM86" t="s">
        <v>35</v>
      </c>
    </row>
    <row r="87" spans="1:40" x14ac:dyDescent="0.2">
      <c r="A87" s="2">
        <v>46000.747337962966</v>
      </c>
      <c r="B87" t="s">
        <v>502</v>
      </c>
      <c r="C87" t="s">
        <v>230</v>
      </c>
      <c r="D87" t="s">
        <v>243</v>
      </c>
      <c r="E87" t="s">
        <v>503</v>
      </c>
      <c r="F87" t="s">
        <v>504</v>
      </c>
      <c r="G87">
        <v>89051315644</v>
      </c>
      <c r="H87" t="s">
        <v>505</v>
      </c>
      <c r="I87" t="s">
        <v>49</v>
      </c>
      <c r="J87" t="s">
        <v>114</v>
      </c>
      <c r="K87">
        <v>702</v>
      </c>
      <c r="L87">
        <v>54</v>
      </c>
      <c r="M87" s="4">
        <v>0</v>
      </c>
      <c r="N87" s="4">
        <v>0</v>
      </c>
      <c r="O87" s="4">
        <v>0</v>
      </c>
      <c r="P87" s="4">
        <v>0</v>
      </c>
      <c r="Q87" s="4">
        <v>2</v>
      </c>
      <c r="R87" s="4">
        <v>3</v>
      </c>
      <c r="S87" s="4">
        <v>11</v>
      </c>
      <c r="T87" s="4">
        <v>15</v>
      </c>
      <c r="U87" s="4">
        <v>6</v>
      </c>
      <c r="V87" s="4">
        <v>8</v>
      </c>
      <c r="W87" s="4">
        <v>4</v>
      </c>
      <c r="X87" s="4">
        <v>5</v>
      </c>
      <c r="Y87" s="4">
        <v>0</v>
      </c>
      <c r="Z87" s="4">
        <v>0</v>
      </c>
      <c r="AA87" s="4">
        <v>0</v>
      </c>
      <c r="AB87" t="s">
        <v>506</v>
      </c>
      <c r="AC87" t="s">
        <v>34</v>
      </c>
      <c r="AD87" t="s">
        <v>35</v>
      </c>
      <c r="AE87">
        <v>3</v>
      </c>
      <c r="AF87">
        <v>1</v>
      </c>
      <c r="AG87" t="s">
        <v>507</v>
      </c>
      <c r="AL87" t="s">
        <v>35</v>
      </c>
      <c r="AM87" t="s">
        <v>34</v>
      </c>
    </row>
    <row r="88" spans="1:40" x14ac:dyDescent="0.2">
      <c r="A88" s="2">
        <v>46000.757870370369</v>
      </c>
      <c r="B88" t="s">
        <v>508</v>
      </c>
      <c r="C88" t="s">
        <v>230</v>
      </c>
      <c r="D88" t="s">
        <v>243</v>
      </c>
      <c r="E88" t="s">
        <v>509</v>
      </c>
      <c r="F88" t="s">
        <v>510</v>
      </c>
      <c r="G88">
        <v>89611621333</v>
      </c>
      <c r="H88" t="s">
        <v>511</v>
      </c>
      <c r="I88" t="s">
        <v>512</v>
      </c>
      <c r="J88" t="s">
        <v>34</v>
      </c>
      <c r="K88">
        <v>20</v>
      </c>
      <c r="L88">
        <v>20</v>
      </c>
      <c r="M88">
        <v>15</v>
      </c>
      <c r="N88">
        <v>2</v>
      </c>
      <c r="O88">
        <v>1</v>
      </c>
      <c r="P88">
        <v>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513</v>
      </c>
      <c r="AC88" t="s">
        <v>34</v>
      </c>
      <c r="AD88" t="s">
        <v>34</v>
      </c>
      <c r="AE88">
        <v>1</v>
      </c>
      <c r="AF88">
        <v>0</v>
      </c>
      <c r="AG88" t="s">
        <v>514</v>
      </c>
      <c r="AL88" t="s">
        <v>34</v>
      </c>
      <c r="AM88" t="s">
        <v>34</v>
      </c>
    </row>
    <row r="89" spans="1:40" x14ac:dyDescent="0.2">
      <c r="A89" s="2">
        <v>45978.442870370367</v>
      </c>
      <c r="B89" t="s">
        <v>515</v>
      </c>
      <c r="C89" t="s">
        <v>230</v>
      </c>
      <c r="D89" t="s">
        <v>243</v>
      </c>
      <c r="E89" t="s">
        <v>509</v>
      </c>
      <c r="F89" t="s">
        <v>516</v>
      </c>
      <c r="G89">
        <v>84852744399</v>
      </c>
      <c r="H89" t="s">
        <v>517</v>
      </c>
      <c r="I89" t="s">
        <v>49</v>
      </c>
      <c r="J89" t="s">
        <v>518</v>
      </c>
      <c r="K89">
        <v>859</v>
      </c>
      <c r="L89">
        <v>96</v>
      </c>
      <c r="M89" s="4">
        <v>0</v>
      </c>
      <c r="N89" s="4">
        <v>2</v>
      </c>
      <c r="O89" s="4">
        <v>4</v>
      </c>
      <c r="P89" s="4">
        <v>5</v>
      </c>
      <c r="Q89" s="4">
        <v>5</v>
      </c>
      <c r="R89" s="4">
        <v>5</v>
      </c>
      <c r="S89" s="4">
        <v>7</v>
      </c>
      <c r="T89" s="4">
        <v>7</v>
      </c>
      <c r="U89" s="4">
        <v>8</v>
      </c>
      <c r="V89" s="4">
        <v>9</v>
      </c>
      <c r="W89" s="4">
        <v>12</v>
      </c>
      <c r="X89" s="4">
        <v>15</v>
      </c>
      <c r="Y89" s="4">
        <v>6</v>
      </c>
      <c r="Z89" s="4">
        <v>6</v>
      </c>
      <c r="AA89" s="4">
        <v>5</v>
      </c>
      <c r="AB89" t="s">
        <v>94</v>
      </c>
      <c r="AC89" t="s">
        <v>35</v>
      </c>
      <c r="AD89" t="s">
        <v>35</v>
      </c>
      <c r="AE89">
        <v>3</v>
      </c>
      <c r="AF89">
        <v>1</v>
      </c>
      <c r="AG89" t="s">
        <v>519</v>
      </c>
      <c r="AH89">
        <v>1</v>
      </c>
      <c r="AJ89">
        <v>1</v>
      </c>
      <c r="AL89" t="s">
        <v>35</v>
      </c>
      <c r="AM89" t="s">
        <v>34</v>
      </c>
      <c r="AN89" t="s">
        <v>520</v>
      </c>
    </row>
    <row r="90" spans="1:40" x14ac:dyDescent="0.2">
      <c r="A90" s="2">
        <v>45989.817881944437</v>
      </c>
      <c r="B90" t="s">
        <v>554</v>
      </c>
      <c r="C90" t="s">
        <v>522</v>
      </c>
      <c r="D90" t="s">
        <v>555</v>
      </c>
      <c r="E90" t="s">
        <v>550</v>
      </c>
      <c r="F90" t="s">
        <v>556</v>
      </c>
      <c r="G90">
        <v>9771153277</v>
      </c>
      <c r="H90" t="s">
        <v>557</v>
      </c>
      <c r="I90" t="s">
        <v>558</v>
      </c>
      <c r="J90" t="s">
        <v>34</v>
      </c>
      <c r="K90">
        <v>120</v>
      </c>
      <c r="L90">
        <v>54</v>
      </c>
      <c r="M90">
        <v>44</v>
      </c>
      <c r="N90">
        <v>2</v>
      </c>
      <c r="O90">
        <v>0</v>
      </c>
      <c r="P90">
        <v>0</v>
      </c>
      <c r="Q90">
        <v>0</v>
      </c>
      <c r="R90">
        <v>1</v>
      </c>
      <c r="S90">
        <v>0</v>
      </c>
      <c r="T90">
        <v>4</v>
      </c>
      <c r="U90">
        <v>1</v>
      </c>
      <c r="V90">
        <v>0</v>
      </c>
      <c r="W90">
        <v>0</v>
      </c>
      <c r="X90">
        <v>1</v>
      </c>
      <c r="Y90">
        <v>0</v>
      </c>
      <c r="Z90">
        <v>1</v>
      </c>
      <c r="AA90">
        <v>0</v>
      </c>
      <c r="AB90" t="s">
        <v>559</v>
      </c>
      <c r="AC90" t="s">
        <v>35</v>
      </c>
      <c r="AD90" t="s">
        <v>35</v>
      </c>
      <c r="AE90">
        <v>3</v>
      </c>
      <c r="AF90">
        <v>3</v>
      </c>
      <c r="AG90" t="s">
        <v>56</v>
      </c>
      <c r="AL90" t="s">
        <v>34</v>
      </c>
      <c r="AM90" t="s">
        <v>34</v>
      </c>
      <c r="AN90" t="s">
        <v>56</v>
      </c>
    </row>
    <row r="91" spans="1:40" x14ac:dyDescent="0.2">
      <c r="A91" s="2">
        <v>45981.730555555558</v>
      </c>
      <c r="B91" t="s">
        <v>579</v>
      </c>
      <c r="C91" t="s">
        <v>522</v>
      </c>
      <c r="D91" t="s">
        <v>555</v>
      </c>
      <c r="E91" t="s">
        <v>580</v>
      </c>
      <c r="F91" t="s">
        <v>581</v>
      </c>
      <c r="G91" t="s">
        <v>582</v>
      </c>
      <c r="H91" t="s">
        <v>583</v>
      </c>
      <c r="I91" t="s">
        <v>49</v>
      </c>
      <c r="J91" t="s">
        <v>34</v>
      </c>
      <c r="K91">
        <v>656</v>
      </c>
      <c r="L91">
        <v>63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</v>
      </c>
      <c r="T91">
        <v>10</v>
      </c>
      <c r="U91">
        <v>14</v>
      </c>
      <c r="V91">
        <v>9</v>
      </c>
      <c r="W91">
        <v>7</v>
      </c>
      <c r="X91">
        <v>11</v>
      </c>
      <c r="Y91">
        <v>6</v>
      </c>
      <c r="Z91">
        <v>4</v>
      </c>
      <c r="AA91">
        <v>0</v>
      </c>
      <c r="AB91" t="s">
        <v>584</v>
      </c>
      <c r="AC91" t="s">
        <v>34</v>
      </c>
      <c r="AD91" t="s">
        <v>34</v>
      </c>
      <c r="AE91">
        <v>1</v>
      </c>
      <c r="AF91">
        <v>0</v>
      </c>
      <c r="AG91" t="s">
        <v>48</v>
      </c>
      <c r="AL91" t="s">
        <v>35</v>
      </c>
      <c r="AM91" t="s">
        <v>35</v>
      </c>
    </row>
    <row r="92" spans="1:40" x14ac:dyDescent="0.2">
      <c r="A92" s="2">
        <v>45985.710555555554</v>
      </c>
      <c r="B92" t="s">
        <v>637</v>
      </c>
      <c r="C92" t="s">
        <v>522</v>
      </c>
      <c r="D92" t="s">
        <v>555</v>
      </c>
      <c r="E92" t="s">
        <v>555</v>
      </c>
      <c r="F92" t="s">
        <v>638</v>
      </c>
      <c r="G92" t="s">
        <v>639</v>
      </c>
      <c r="H92" t="s">
        <v>640</v>
      </c>
      <c r="I92" t="s">
        <v>637</v>
      </c>
      <c r="J92" t="s">
        <v>641</v>
      </c>
      <c r="K92">
        <v>75</v>
      </c>
      <c r="L92">
        <v>82</v>
      </c>
      <c r="M92">
        <v>0</v>
      </c>
      <c r="N92">
        <v>0</v>
      </c>
      <c r="O92">
        <v>0</v>
      </c>
      <c r="P92">
        <v>7</v>
      </c>
      <c r="Q92">
        <v>5</v>
      </c>
      <c r="R92">
        <v>12</v>
      </c>
      <c r="S92">
        <v>16</v>
      </c>
      <c r="T92">
        <v>9</v>
      </c>
      <c r="U92">
        <v>12</v>
      </c>
      <c r="V92">
        <v>11</v>
      </c>
      <c r="W92">
        <v>8</v>
      </c>
      <c r="X92">
        <v>2</v>
      </c>
      <c r="Y92">
        <v>0</v>
      </c>
      <c r="Z92">
        <v>0</v>
      </c>
      <c r="AA92">
        <v>0</v>
      </c>
      <c r="AB92" t="s">
        <v>642</v>
      </c>
      <c r="AC92" t="s">
        <v>34</v>
      </c>
      <c r="AD92" t="s">
        <v>34</v>
      </c>
      <c r="AE92">
        <v>10</v>
      </c>
      <c r="AF92">
        <v>4</v>
      </c>
      <c r="AG92" t="s">
        <v>643</v>
      </c>
      <c r="AH92">
        <v>2</v>
      </c>
      <c r="AI92">
        <v>2</v>
      </c>
      <c r="AJ92">
        <v>1</v>
      </c>
      <c r="AL92" t="s">
        <v>35</v>
      </c>
      <c r="AM92" t="s">
        <v>35</v>
      </c>
      <c r="AN92" t="s">
        <v>644</v>
      </c>
    </row>
    <row r="93" spans="1:40" x14ac:dyDescent="0.2">
      <c r="A93" s="2">
        <v>45989.739814814813</v>
      </c>
      <c r="B93" t="s">
        <v>645</v>
      </c>
      <c r="C93" t="s">
        <v>522</v>
      </c>
      <c r="D93" t="s">
        <v>555</v>
      </c>
      <c r="E93" t="s">
        <v>555</v>
      </c>
      <c r="F93" t="s">
        <v>646</v>
      </c>
      <c r="G93">
        <v>79037113276</v>
      </c>
      <c r="H93" t="s">
        <v>647</v>
      </c>
      <c r="I93" t="s">
        <v>648</v>
      </c>
      <c r="J93" t="s">
        <v>34</v>
      </c>
      <c r="K93">
        <v>22</v>
      </c>
      <c r="L93">
        <v>22</v>
      </c>
      <c r="M93">
        <v>20</v>
      </c>
      <c r="N93">
        <v>0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649</v>
      </c>
      <c r="AC93" t="s">
        <v>35</v>
      </c>
      <c r="AD93" t="s">
        <v>35</v>
      </c>
      <c r="AE93">
        <v>1</v>
      </c>
      <c r="AF93">
        <v>0</v>
      </c>
      <c r="AG93" t="s">
        <v>650</v>
      </c>
      <c r="AH93">
        <v>1</v>
      </c>
      <c r="AL93" t="s">
        <v>34</v>
      </c>
      <c r="AM93" t="s">
        <v>34</v>
      </c>
      <c r="AN93" t="s">
        <v>651</v>
      </c>
    </row>
    <row r="94" spans="1:40" x14ac:dyDescent="0.2">
      <c r="A94" s="2">
        <v>45982.433923611112</v>
      </c>
      <c r="B94" t="s">
        <v>652</v>
      </c>
      <c r="C94" t="s">
        <v>522</v>
      </c>
      <c r="D94" t="s">
        <v>555</v>
      </c>
      <c r="E94" t="s">
        <v>555</v>
      </c>
      <c r="F94" t="s">
        <v>653</v>
      </c>
      <c r="G94" t="s">
        <v>654</v>
      </c>
      <c r="H94" t="s">
        <v>655</v>
      </c>
      <c r="I94" t="s">
        <v>656</v>
      </c>
      <c r="J94" t="s">
        <v>518</v>
      </c>
      <c r="K94">
        <v>4844</v>
      </c>
      <c r="L94">
        <v>401</v>
      </c>
      <c r="M94" s="4">
        <v>44</v>
      </c>
      <c r="N94" s="4">
        <v>23</v>
      </c>
      <c r="O94" s="4">
        <v>25</v>
      </c>
      <c r="P94" s="4">
        <v>31</v>
      </c>
      <c r="Q94" s="4">
        <v>34</v>
      </c>
      <c r="R94" s="4">
        <v>40</v>
      </c>
      <c r="S94" s="4">
        <v>37</v>
      </c>
      <c r="T94" s="4">
        <v>30</v>
      </c>
      <c r="U94" s="4">
        <v>39</v>
      </c>
      <c r="V94" s="4">
        <v>32</v>
      </c>
      <c r="W94" s="4">
        <v>25</v>
      </c>
      <c r="X94" s="4">
        <v>27</v>
      </c>
      <c r="Y94" s="4">
        <v>14</v>
      </c>
      <c r="Z94" s="4">
        <v>0</v>
      </c>
      <c r="AA94" s="4">
        <v>0</v>
      </c>
      <c r="AB94" t="s">
        <v>50</v>
      </c>
      <c r="AC94" t="s">
        <v>34</v>
      </c>
      <c r="AD94" t="s">
        <v>35</v>
      </c>
      <c r="AE94">
        <v>10</v>
      </c>
      <c r="AF94">
        <v>4</v>
      </c>
      <c r="AG94" t="s">
        <v>657</v>
      </c>
      <c r="AH94">
        <v>5</v>
      </c>
      <c r="AI94">
        <v>5</v>
      </c>
      <c r="AL94" t="s">
        <v>35</v>
      </c>
      <c r="AM94" t="s">
        <v>35</v>
      </c>
    </row>
    <row r="95" spans="1:40" x14ac:dyDescent="0.2">
      <c r="A95" s="2">
        <v>45986.733217592591</v>
      </c>
      <c r="B95" t="s">
        <v>658</v>
      </c>
      <c r="C95" t="s">
        <v>522</v>
      </c>
      <c r="D95" t="s">
        <v>555</v>
      </c>
      <c r="E95" t="s">
        <v>555</v>
      </c>
      <c r="F95" t="s">
        <v>659</v>
      </c>
      <c r="G95" t="s">
        <v>660</v>
      </c>
      <c r="H95" t="s">
        <v>661</v>
      </c>
      <c r="I95" t="s">
        <v>662</v>
      </c>
      <c r="J95" t="s">
        <v>34</v>
      </c>
      <c r="K95">
        <v>130</v>
      </c>
      <c r="L95">
        <v>130</v>
      </c>
      <c r="M95">
        <v>3</v>
      </c>
      <c r="N95">
        <v>9</v>
      </c>
      <c r="O95">
        <v>5</v>
      </c>
      <c r="P95">
        <v>11</v>
      </c>
      <c r="Q95">
        <v>13</v>
      </c>
      <c r="R95">
        <v>13</v>
      </c>
      <c r="S95">
        <v>11</v>
      </c>
      <c r="T95">
        <v>13</v>
      </c>
      <c r="U95">
        <v>7</v>
      </c>
      <c r="V95">
        <v>14</v>
      </c>
      <c r="W95">
        <v>8</v>
      </c>
      <c r="X95">
        <v>12</v>
      </c>
      <c r="Y95">
        <v>7</v>
      </c>
      <c r="Z95">
        <v>3</v>
      </c>
      <c r="AA95">
        <v>1</v>
      </c>
      <c r="AB95" t="s">
        <v>94</v>
      </c>
      <c r="AC95" t="s">
        <v>34</v>
      </c>
      <c r="AD95" t="s">
        <v>34</v>
      </c>
      <c r="AE95">
        <v>10</v>
      </c>
      <c r="AF95">
        <v>4</v>
      </c>
      <c r="AG95" t="s">
        <v>663</v>
      </c>
      <c r="AH95">
        <v>1</v>
      </c>
      <c r="AI95">
        <v>4</v>
      </c>
      <c r="AJ95">
        <v>4</v>
      </c>
      <c r="AL95" t="s">
        <v>34</v>
      </c>
      <c r="AM95" t="s">
        <v>34</v>
      </c>
    </row>
    <row r="96" spans="1:40" x14ac:dyDescent="0.2">
      <c r="A96" s="2">
        <v>45981.511886574073</v>
      </c>
      <c r="B96" t="s">
        <v>664</v>
      </c>
      <c r="C96" t="s">
        <v>522</v>
      </c>
      <c r="D96" t="s">
        <v>555</v>
      </c>
      <c r="E96" t="s">
        <v>555</v>
      </c>
      <c r="F96" t="s">
        <v>665</v>
      </c>
      <c r="G96">
        <v>89160537333</v>
      </c>
      <c r="H96" t="s">
        <v>666</v>
      </c>
      <c r="I96" t="s">
        <v>667</v>
      </c>
      <c r="J96" t="s">
        <v>34</v>
      </c>
      <c r="K96">
        <v>136</v>
      </c>
      <c r="L96">
        <v>137</v>
      </c>
      <c r="M96">
        <v>18</v>
      </c>
      <c r="N96">
        <v>2</v>
      </c>
      <c r="O96">
        <v>6</v>
      </c>
      <c r="P96">
        <v>9</v>
      </c>
      <c r="Q96">
        <v>8</v>
      </c>
      <c r="R96">
        <v>12</v>
      </c>
      <c r="S96">
        <v>4</v>
      </c>
      <c r="T96">
        <v>7</v>
      </c>
      <c r="U96">
        <v>16</v>
      </c>
      <c r="V96">
        <v>18</v>
      </c>
      <c r="W96">
        <v>8</v>
      </c>
      <c r="X96">
        <v>7</v>
      </c>
      <c r="Y96">
        <v>10</v>
      </c>
      <c r="Z96">
        <v>11</v>
      </c>
      <c r="AA96">
        <v>1</v>
      </c>
      <c r="AB96" t="s">
        <v>108</v>
      </c>
      <c r="AC96" t="s">
        <v>35</v>
      </c>
      <c r="AD96" t="s">
        <v>35</v>
      </c>
      <c r="AE96">
        <v>5</v>
      </c>
      <c r="AF96">
        <v>2</v>
      </c>
      <c r="AG96" t="s">
        <v>668</v>
      </c>
      <c r="AH96">
        <v>1</v>
      </c>
      <c r="AL96" t="s">
        <v>35</v>
      </c>
      <c r="AM96" t="s">
        <v>35</v>
      </c>
      <c r="AN96" t="s">
        <v>669</v>
      </c>
    </row>
    <row r="97" spans="1:40" x14ac:dyDescent="0.2">
      <c r="A97" s="2">
        <v>46000.611087962963</v>
      </c>
      <c r="B97" t="s">
        <v>670</v>
      </c>
      <c r="C97" t="s">
        <v>522</v>
      </c>
      <c r="D97" t="s">
        <v>555</v>
      </c>
      <c r="E97" t="s">
        <v>555</v>
      </c>
      <c r="F97" t="s">
        <v>671</v>
      </c>
      <c r="G97">
        <v>79067777817</v>
      </c>
      <c r="H97" t="s">
        <v>672</v>
      </c>
      <c r="I97" t="s">
        <v>49</v>
      </c>
      <c r="J97" t="s">
        <v>188</v>
      </c>
      <c r="K97">
        <v>321</v>
      </c>
      <c r="L97">
        <v>321</v>
      </c>
      <c r="M97">
        <v>0</v>
      </c>
      <c r="N97">
        <v>0</v>
      </c>
      <c r="O97">
        <v>0</v>
      </c>
      <c r="P97">
        <v>6</v>
      </c>
      <c r="Q97">
        <v>13</v>
      </c>
      <c r="R97">
        <v>16</v>
      </c>
      <c r="S97">
        <v>39</v>
      </c>
      <c r="T97">
        <v>40</v>
      </c>
      <c r="U97">
        <v>42</v>
      </c>
      <c r="V97">
        <v>38</v>
      </c>
      <c r="W97">
        <v>76</v>
      </c>
      <c r="X97">
        <v>38</v>
      </c>
      <c r="Y97">
        <v>13</v>
      </c>
      <c r="Z97">
        <v>0</v>
      </c>
      <c r="AA97">
        <v>0</v>
      </c>
      <c r="AB97" t="s">
        <v>189</v>
      </c>
      <c r="AC97" t="s">
        <v>34</v>
      </c>
      <c r="AD97" t="s">
        <v>34</v>
      </c>
      <c r="AE97">
        <v>0</v>
      </c>
      <c r="AF97">
        <v>0</v>
      </c>
      <c r="AG97" t="s">
        <v>56</v>
      </c>
      <c r="AL97" t="s">
        <v>34</v>
      </c>
      <c r="AM97" t="s">
        <v>34</v>
      </c>
    </row>
    <row r="98" spans="1:40" x14ac:dyDescent="0.2">
      <c r="A98" s="2">
        <v>45992.720752314817</v>
      </c>
      <c r="B98" t="s">
        <v>673</v>
      </c>
      <c r="C98" t="s">
        <v>522</v>
      </c>
      <c r="D98" t="s">
        <v>555</v>
      </c>
      <c r="E98" t="s">
        <v>555</v>
      </c>
      <c r="F98" t="s">
        <v>674</v>
      </c>
      <c r="G98">
        <v>79166911942</v>
      </c>
      <c r="H98" t="s">
        <v>675</v>
      </c>
      <c r="I98" t="s">
        <v>676</v>
      </c>
      <c r="J98" t="s">
        <v>34</v>
      </c>
      <c r="K98">
        <v>24</v>
      </c>
      <c r="L98">
        <v>24</v>
      </c>
      <c r="M98">
        <v>20</v>
      </c>
      <c r="N98">
        <v>1</v>
      </c>
      <c r="O98">
        <v>0</v>
      </c>
      <c r="P98">
        <v>1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533</v>
      </c>
      <c r="AC98" t="s">
        <v>34</v>
      </c>
      <c r="AD98" t="s">
        <v>34</v>
      </c>
      <c r="AE98">
        <v>1</v>
      </c>
      <c r="AF98">
        <v>1</v>
      </c>
      <c r="AG98" t="s">
        <v>48</v>
      </c>
      <c r="AL98" t="s">
        <v>34</v>
      </c>
      <c r="AM98" t="s">
        <v>34</v>
      </c>
    </row>
    <row r="99" spans="1:40" x14ac:dyDescent="0.2">
      <c r="A99" s="2">
        <v>46000.627187500002</v>
      </c>
      <c r="B99" t="s">
        <v>677</v>
      </c>
      <c r="C99" t="s">
        <v>522</v>
      </c>
      <c r="D99" t="s">
        <v>555</v>
      </c>
      <c r="E99" t="s">
        <v>555</v>
      </c>
      <c r="F99" t="s">
        <v>678</v>
      </c>
      <c r="G99" t="s">
        <v>679</v>
      </c>
      <c r="H99" t="s">
        <v>680</v>
      </c>
      <c r="I99" t="s">
        <v>681</v>
      </c>
      <c r="J99" t="s">
        <v>188</v>
      </c>
      <c r="K99">
        <v>49</v>
      </c>
      <c r="L99">
        <v>49</v>
      </c>
      <c r="M99">
        <v>8</v>
      </c>
      <c r="N99">
        <v>4</v>
      </c>
      <c r="O99">
        <v>5</v>
      </c>
      <c r="P99">
        <v>0</v>
      </c>
      <c r="Q99">
        <v>6</v>
      </c>
      <c r="R99">
        <v>9</v>
      </c>
      <c r="S99">
        <v>6</v>
      </c>
      <c r="T99">
        <v>8</v>
      </c>
      <c r="U99">
        <v>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189</v>
      </c>
      <c r="AC99" t="s">
        <v>34</v>
      </c>
      <c r="AD99" t="s">
        <v>34</v>
      </c>
      <c r="AE99">
        <v>0</v>
      </c>
      <c r="AF99">
        <v>0</v>
      </c>
      <c r="AG99" t="s">
        <v>56</v>
      </c>
      <c r="AL99" t="s">
        <v>34</v>
      </c>
      <c r="AM99" t="s">
        <v>34</v>
      </c>
    </row>
    <row r="100" spans="1:40" x14ac:dyDescent="0.2">
      <c r="A100" s="2">
        <v>46000.624398148153</v>
      </c>
      <c r="B100" t="s">
        <v>682</v>
      </c>
      <c r="C100" t="s">
        <v>522</v>
      </c>
      <c r="D100" t="s">
        <v>555</v>
      </c>
      <c r="E100" t="s">
        <v>555</v>
      </c>
      <c r="F100" t="s">
        <v>683</v>
      </c>
      <c r="G100" t="s">
        <v>684</v>
      </c>
      <c r="H100" t="s">
        <v>685</v>
      </c>
      <c r="I100" t="s">
        <v>49</v>
      </c>
      <c r="J100" t="s">
        <v>34</v>
      </c>
      <c r="K100">
        <v>77</v>
      </c>
      <c r="L100">
        <v>77</v>
      </c>
      <c r="M100">
        <v>1</v>
      </c>
      <c r="N100">
        <v>0</v>
      </c>
      <c r="O100">
        <v>0</v>
      </c>
      <c r="P100">
        <v>3</v>
      </c>
      <c r="Q100">
        <v>5</v>
      </c>
      <c r="R100">
        <v>9</v>
      </c>
      <c r="S100">
        <v>16</v>
      </c>
      <c r="T100">
        <v>10</v>
      </c>
      <c r="U100">
        <v>6</v>
      </c>
      <c r="V100">
        <v>7</v>
      </c>
      <c r="W100">
        <v>16</v>
      </c>
      <c r="X100">
        <v>4</v>
      </c>
      <c r="Y100">
        <v>0</v>
      </c>
      <c r="Z100">
        <v>0</v>
      </c>
      <c r="AA100">
        <v>0</v>
      </c>
      <c r="AB100" t="s">
        <v>189</v>
      </c>
      <c r="AC100" t="s">
        <v>34</v>
      </c>
      <c r="AD100" t="s">
        <v>34</v>
      </c>
      <c r="AE100">
        <v>0</v>
      </c>
      <c r="AF100">
        <v>0</v>
      </c>
      <c r="AG100" t="s">
        <v>56</v>
      </c>
      <c r="AL100" t="s">
        <v>34</v>
      </c>
      <c r="AM100" t="s">
        <v>34</v>
      </c>
    </row>
    <row r="101" spans="1:40" x14ac:dyDescent="0.2">
      <c r="A101" s="2">
        <v>45988.86917824074</v>
      </c>
      <c r="B101" t="s">
        <v>686</v>
      </c>
      <c r="C101" t="s">
        <v>522</v>
      </c>
      <c r="D101" t="s">
        <v>555</v>
      </c>
      <c r="E101" t="s">
        <v>555</v>
      </c>
      <c r="F101" t="s">
        <v>687</v>
      </c>
      <c r="G101">
        <v>89161939816</v>
      </c>
      <c r="H101" t="s">
        <v>688</v>
      </c>
      <c r="I101" t="s">
        <v>689</v>
      </c>
      <c r="J101" t="s">
        <v>34</v>
      </c>
      <c r="K101">
        <v>90</v>
      </c>
      <c r="L101">
        <v>20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4</v>
      </c>
      <c r="W101" s="4">
        <v>8</v>
      </c>
      <c r="X101" s="4">
        <v>5</v>
      </c>
      <c r="Y101" s="4">
        <v>3</v>
      </c>
      <c r="Z101" s="4">
        <v>0</v>
      </c>
      <c r="AA101" s="4">
        <v>0</v>
      </c>
      <c r="AB101" t="s">
        <v>131</v>
      </c>
      <c r="AC101" t="s">
        <v>35</v>
      </c>
      <c r="AD101" t="s">
        <v>34</v>
      </c>
      <c r="AE101">
        <v>1</v>
      </c>
      <c r="AF101">
        <v>1</v>
      </c>
      <c r="AG101" t="s">
        <v>690</v>
      </c>
      <c r="AL101" t="s">
        <v>34</v>
      </c>
      <c r="AM101" t="s">
        <v>34</v>
      </c>
    </row>
    <row r="102" spans="1:40" x14ac:dyDescent="0.2">
      <c r="A102" s="2">
        <v>46000.620694444442</v>
      </c>
      <c r="B102" t="s">
        <v>691</v>
      </c>
      <c r="C102" t="s">
        <v>522</v>
      </c>
      <c r="D102" t="s">
        <v>555</v>
      </c>
      <c r="E102" t="s">
        <v>555</v>
      </c>
      <c r="F102" t="s">
        <v>692</v>
      </c>
      <c r="G102" t="s">
        <v>693</v>
      </c>
      <c r="H102" t="s">
        <v>694</v>
      </c>
      <c r="I102" t="s">
        <v>695</v>
      </c>
      <c r="J102" t="s">
        <v>188</v>
      </c>
      <c r="K102">
        <v>77</v>
      </c>
      <c r="L102">
        <v>77</v>
      </c>
      <c r="M102">
        <v>0</v>
      </c>
      <c r="N102">
        <v>0</v>
      </c>
      <c r="O102">
        <v>10</v>
      </c>
      <c r="P102">
        <v>10</v>
      </c>
      <c r="Q102">
        <v>10</v>
      </c>
      <c r="R102">
        <v>12</v>
      </c>
      <c r="S102">
        <v>12</v>
      </c>
      <c r="T102">
        <v>5</v>
      </c>
      <c r="U102">
        <v>1</v>
      </c>
      <c r="V102">
        <v>17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696</v>
      </c>
      <c r="AC102" t="s">
        <v>34</v>
      </c>
      <c r="AD102" t="s">
        <v>34</v>
      </c>
      <c r="AE102">
        <v>0</v>
      </c>
      <c r="AF102">
        <v>0</v>
      </c>
      <c r="AG102" t="s">
        <v>56</v>
      </c>
      <c r="AL102" t="s">
        <v>35</v>
      </c>
      <c r="AM102" t="s">
        <v>35</v>
      </c>
    </row>
    <row r="103" spans="1:40" x14ac:dyDescent="0.2">
      <c r="A103" s="2">
        <v>45985.669166666667</v>
      </c>
      <c r="B103" t="s">
        <v>697</v>
      </c>
      <c r="C103" t="s">
        <v>522</v>
      </c>
      <c r="D103" t="s">
        <v>555</v>
      </c>
      <c r="E103" t="s">
        <v>555</v>
      </c>
      <c r="F103" t="s">
        <v>698</v>
      </c>
      <c r="G103">
        <v>84953116212</v>
      </c>
      <c r="H103" t="s">
        <v>699</v>
      </c>
      <c r="I103" t="s">
        <v>700</v>
      </c>
      <c r="J103" t="s">
        <v>518</v>
      </c>
      <c r="K103">
        <v>2489</v>
      </c>
      <c r="L103">
        <v>265</v>
      </c>
      <c r="M103">
        <v>15</v>
      </c>
      <c r="N103">
        <v>2</v>
      </c>
      <c r="O103">
        <v>10</v>
      </c>
      <c r="P103">
        <v>15</v>
      </c>
      <c r="Q103">
        <v>11</v>
      </c>
      <c r="R103">
        <v>14</v>
      </c>
      <c r="S103">
        <v>20</v>
      </c>
      <c r="T103">
        <v>24</v>
      </c>
      <c r="U103">
        <v>25</v>
      </c>
      <c r="V103">
        <v>22</v>
      </c>
      <c r="W103">
        <v>32</v>
      </c>
      <c r="X103">
        <v>33</v>
      </c>
      <c r="Y103">
        <v>21</v>
      </c>
      <c r="Z103">
        <v>21</v>
      </c>
      <c r="AA103">
        <v>0</v>
      </c>
      <c r="AB103" t="s">
        <v>94</v>
      </c>
      <c r="AC103" t="s">
        <v>34</v>
      </c>
      <c r="AD103" t="s">
        <v>34</v>
      </c>
      <c r="AE103">
        <v>15</v>
      </c>
      <c r="AF103">
        <v>7</v>
      </c>
      <c r="AG103" t="s">
        <v>701</v>
      </c>
      <c r="AH103">
        <v>8</v>
      </c>
      <c r="AI103">
        <v>3</v>
      </c>
      <c r="AJ103">
        <v>3</v>
      </c>
      <c r="AL103" t="s">
        <v>34</v>
      </c>
      <c r="AM103" t="s">
        <v>34</v>
      </c>
    </row>
    <row r="104" spans="1:40" x14ac:dyDescent="0.2">
      <c r="A104" s="2">
        <v>45999.779548611114</v>
      </c>
      <c r="B104" t="s">
        <v>702</v>
      </c>
      <c r="C104" t="s">
        <v>522</v>
      </c>
      <c r="D104" t="s">
        <v>555</v>
      </c>
      <c r="E104" t="s">
        <v>555</v>
      </c>
      <c r="F104" t="s">
        <v>703</v>
      </c>
      <c r="G104">
        <v>84999912014</v>
      </c>
      <c r="H104" t="s">
        <v>704</v>
      </c>
      <c r="I104" t="s">
        <v>705</v>
      </c>
      <c r="J104" t="s">
        <v>34</v>
      </c>
      <c r="K104">
        <v>60</v>
      </c>
      <c r="L104">
        <v>60</v>
      </c>
      <c r="M104">
        <v>60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706</v>
      </c>
      <c r="AC104" t="s">
        <v>34</v>
      </c>
      <c r="AD104" t="s">
        <v>34</v>
      </c>
      <c r="AE104">
        <v>6</v>
      </c>
      <c r="AF104">
        <v>3</v>
      </c>
      <c r="AG104" t="s">
        <v>56</v>
      </c>
      <c r="AL104" t="s">
        <v>34</v>
      </c>
      <c r="AM104" t="s">
        <v>34</v>
      </c>
    </row>
    <row r="105" spans="1:40" x14ac:dyDescent="0.2">
      <c r="A105" s="2">
        <v>46000.617858796293</v>
      </c>
      <c r="B105" t="s">
        <v>707</v>
      </c>
      <c r="C105" t="s">
        <v>522</v>
      </c>
      <c r="D105" t="s">
        <v>555</v>
      </c>
      <c r="E105" t="s">
        <v>555</v>
      </c>
      <c r="F105" t="s">
        <v>708</v>
      </c>
      <c r="G105">
        <v>89055902753</v>
      </c>
      <c r="H105" t="s">
        <v>709</v>
      </c>
      <c r="I105" t="s">
        <v>710</v>
      </c>
      <c r="J105" t="s">
        <v>641</v>
      </c>
      <c r="K105">
        <v>156</v>
      </c>
      <c r="L105">
        <v>156</v>
      </c>
      <c r="M105" s="4">
        <v>4</v>
      </c>
      <c r="N105" s="4">
        <v>6</v>
      </c>
      <c r="O105" s="4">
        <v>6</v>
      </c>
      <c r="P105" s="4">
        <v>10</v>
      </c>
      <c r="Q105" s="4">
        <v>5</v>
      </c>
      <c r="R105" s="4">
        <v>6</v>
      </c>
      <c r="S105" s="4">
        <v>15</v>
      </c>
      <c r="T105" s="4">
        <v>11</v>
      </c>
      <c r="U105" s="4">
        <v>25</v>
      </c>
      <c r="V105" s="4">
        <v>24</v>
      </c>
      <c r="W105" s="4">
        <v>20</v>
      </c>
      <c r="X105" s="4">
        <v>9</v>
      </c>
      <c r="Y105" s="4">
        <v>6</v>
      </c>
      <c r="Z105" s="4">
        <v>5</v>
      </c>
      <c r="AA105" s="4">
        <v>4</v>
      </c>
      <c r="AB105" t="s">
        <v>189</v>
      </c>
      <c r="AC105" t="s">
        <v>34</v>
      </c>
      <c r="AD105" t="s">
        <v>34</v>
      </c>
      <c r="AE105">
        <v>0</v>
      </c>
      <c r="AF105">
        <v>0</v>
      </c>
      <c r="AG105" t="s">
        <v>56</v>
      </c>
      <c r="AL105" t="s">
        <v>35</v>
      </c>
      <c r="AM105" t="s">
        <v>35</v>
      </c>
    </row>
    <row r="106" spans="1:40" x14ac:dyDescent="0.2">
      <c r="A106" s="2">
        <v>45987.731886574067</v>
      </c>
      <c r="B106" t="s">
        <v>711</v>
      </c>
      <c r="C106" t="s">
        <v>522</v>
      </c>
      <c r="D106" t="s">
        <v>555</v>
      </c>
      <c r="E106" t="s">
        <v>712</v>
      </c>
      <c r="F106" t="s">
        <v>713</v>
      </c>
      <c r="G106">
        <v>84991610312</v>
      </c>
      <c r="H106" t="s">
        <v>714</v>
      </c>
      <c r="I106" t="s">
        <v>49</v>
      </c>
      <c r="J106" t="s">
        <v>188</v>
      </c>
      <c r="K106">
        <v>658</v>
      </c>
      <c r="L106">
        <v>126</v>
      </c>
      <c r="M106">
        <v>1</v>
      </c>
      <c r="N106">
        <v>3</v>
      </c>
      <c r="O106">
        <v>6</v>
      </c>
      <c r="P106">
        <v>12</v>
      </c>
      <c r="Q106">
        <v>13</v>
      </c>
      <c r="R106">
        <v>13</v>
      </c>
      <c r="S106">
        <v>12</v>
      </c>
      <c r="T106">
        <v>8</v>
      </c>
      <c r="U106">
        <v>12</v>
      </c>
      <c r="V106">
        <v>16</v>
      </c>
      <c r="W106">
        <v>6</v>
      </c>
      <c r="X106">
        <v>8</v>
      </c>
      <c r="Y106">
        <v>9</v>
      </c>
      <c r="Z106">
        <v>3</v>
      </c>
      <c r="AA106">
        <v>4</v>
      </c>
      <c r="AB106" t="s">
        <v>50</v>
      </c>
      <c r="AC106" t="s">
        <v>34</v>
      </c>
      <c r="AD106" t="s">
        <v>35</v>
      </c>
      <c r="AE106">
        <v>10</v>
      </c>
      <c r="AF106">
        <v>1</v>
      </c>
      <c r="AG106" t="s">
        <v>715</v>
      </c>
      <c r="AH106">
        <v>4</v>
      </c>
      <c r="AI106">
        <v>4</v>
      </c>
      <c r="AJ106">
        <v>2</v>
      </c>
      <c r="AK106">
        <v>1</v>
      </c>
      <c r="AL106" t="s">
        <v>35</v>
      </c>
      <c r="AM106" t="s">
        <v>34</v>
      </c>
      <c r="AN106" t="s">
        <v>716</v>
      </c>
    </row>
    <row r="107" spans="1:40" x14ac:dyDescent="0.2">
      <c r="A107" s="2">
        <v>46000.628831018519</v>
      </c>
      <c r="B107" t="s">
        <v>784</v>
      </c>
      <c r="C107" t="s">
        <v>522</v>
      </c>
      <c r="D107" t="s">
        <v>555</v>
      </c>
      <c r="E107" t="s">
        <v>785</v>
      </c>
      <c r="F107" t="s">
        <v>786</v>
      </c>
      <c r="G107">
        <v>89262723122</v>
      </c>
      <c r="H107" t="s">
        <v>787</v>
      </c>
      <c r="I107" t="s">
        <v>49</v>
      </c>
      <c r="J107" t="s">
        <v>34</v>
      </c>
      <c r="K107">
        <v>37</v>
      </c>
      <c r="L107">
        <v>40</v>
      </c>
      <c r="M107">
        <v>0</v>
      </c>
      <c r="N107">
        <v>0</v>
      </c>
      <c r="O107">
        <v>0</v>
      </c>
      <c r="P107">
        <v>0</v>
      </c>
      <c r="Q107">
        <v>4</v>
      </c>
      <c r="R107">
        <v>5</v>
      </c>
      <c r="S107">
        <v>19</v>
      </c>
      <c r="T107">
        <v>10</v>
      </c>
      <c r="U107">
        <v>0</v>
      </c>
      <c r="V107">
        <v>2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189</v>
      </c>
      <c r="AC107" t="s">
        <v>34</v>
      </c>
      <c r="AD107" t="s">
        <v>34</v>
      </c>
      <c r="AE107">
        <v>0</v>
      </c>
      <c r="AF107">
        <v>0</v>
      </c>
      <c r="AG107" t="s">
        <v>56</v>
      </c>
      <c r="AL107" t="s">
        <v>34</v>
      </c>
      <c r="AM107" t="s">
        <v>34</v>
      </c>
    </row>
    <row r="108" spans="1:40" x14ac:dyDescent="0.2">
      <c r="A108" s="2">
        <v>46000.583333333343</v>
      </c>
      <c r="B108" t="s">
        <v>560</v>
      </c>
      <c r="C108" t="s">
        <v>522</v>
      </c>
      <c r="D108" t="s">
        <v>523</v>
      </c>
      <c r="E108" t="s">
        <v>561</v>
      </c>
      <c r="F108" t="s">
        <v>562</v>
      </c>
      <c r="G108" t="s">
        <v>563</v>
      </c>
      <c r="H108" t="s">
        <v>564</v>
      </c>
      <c r="I108" t="s">
        <v>93</v>
      </c>
      <c r="J108" t="s">
        <v>34</v>
      </c>
      <c r="K108">
        <v>4</v>
      </c>
      <c r="L108">
        <v>4</v>
      </c>
      <c r="M108">
        <v>2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189</v>
      </c>
      <c r="AC108" t="s">
        <v>34</v>
      </c>
      <c r="AD108" t="s">
        <v>34</v>
      </c>
      <c r="AE108">
        <v>0</v>
      </c>
      <c r="AF108">
        <v>0</v>
      </c>
      <c r="AG108" t="s">
        <v>56</v>
      </c>
      <c r="AL108" t="s">
        <v>34</v>
      </c>
      <c r="AM108" t="s">
        <v>34</v>
      </c>
    </row>
    <row r="109" spans="1:40" x14ac:dyDescent="0.2">
      <c r="A109" s="2">
        <v>46000.604953703703</v>
      </c>
      <c r="B109" t="s">
        <v>740</v>
      </c>
      <c r="C109" t="s">
        <v>522</v>
      </c>
      <c r="D109" t="s">
        <v>523</v>
      </c>
      <c r="E109" t="s">
        <v>736</v>
      </c>
      <c r="F109" t="s">
        <v>742</v>
      </c>
      <c r="G109" t="s">
        <v>743</v>
      </c>
      <c r="H109" t="s">
        <v>744</v>
      </c>
      <c r="I109" t="s">
        <v>49</v>
      </c>
      <c r="J109" t="s">
        <v>34</v>
      </c>
      <c r="K109">
        <v>27</v>
      </c>
      <c r="L109">
        <v>28</v>
      </c>
      <c r="M109">
        <v>7</v>
      </c>
      <c r="N109">
        <v>2</v>
      </c>
      <c r="O109">
        <v>4</v>
      </c>
      <c r="P109">
        <v>0</v>
      </c>
      <c r="Q109">
        <v>4</v>
      </c>
      <c r="R109">
        <v>5</v>
      </c>
      <c r="S109">
        <v>3</v>
      </c>
      <c r="T109">
        <v>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189</v>
      </c>
      <c r="AC109" t="s">
        <v>34</v>
      </c>
      <c r="AD109" t="s">
        <v>34</v>
      </c>
      <c r="AE109">
        <v>0</v>
      </c>
      <c r="AF109">
        <v>0</v>
      </c>
      <c r="AG109" t="s">
        <v>745</v>
      </c>
      <c r="AL109" t="s">
        <v>34</v>
      </c>
      <c r="AM109" t="s">
        <v>34</v>
      </c>
    </row>
    <row r="110" spans="1:40" x14ac:dyDescent="0.2">
      <c r="A110" s="2">
        <v>46000.54923611111</v>
      </c>
      <c r="B110" t="s">
        <v>521</v>
      </c>
      <c r="C110" t="s">
        <v>522</v>
      </c>
      <c r="D110" t="s">
        <v>523</v>
      </c>
      <c r="E110" t="s">
        <v>524</v>
      </c>
      <c r="F110" t="s">
        <v>525</v>
      </c>
      <c r="G110" t="s">
        <v>526</v>
      </c>
      <c r="H110" t="s">
        <v>527</v>
      </c>
      <c r="I110" t="s">
        <v>93</v>
      </c>
      <c r="J110" t="s">
        <v>34</v>
      </c>
      <c r="K110">
        <v>34</v>
      </c>
      <c r="L110">
        <v>34</v>
      </c>
      <c r="M110" s="4">
        <v>18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4</v>
      </c>
      <c r="V110" s="4">
        <v>7</v>
      </c>
      <c r="W110" s="4">
        <v>5</v>
      </c>
      <c r="X110" s="4">
        <v>0</v>
      </c>
      <c r="Y110" s="4">
        <v>0</v>
      </c>
      <c r="Z110" s="4">
        <v>0</v>
      </c>
      <c r="AA110" s="4">
        <v>0</v>
      </c>
      <c r="AB110" t="s">
        <v>189</v>
      </c>
      <c r="AC110" t="s">
        <v>35</v>
      </c>
      <c r="AD110" t="s">
        <v>35</v>
      </c>
      <c r="AE110">
        <v>0</v>
      </c>
      <c r="AF110">
        <v>0</v>
      </c>
      <c r="AG110" t="s">
        <v>56</v>
      </c>
      <c r="AL110" t="s">
        <v>34</v>
      </c>
      <c r="AM110" t="s">
        <v>34</v>
      </c>
    </row>
    <row r="111" spans="1:40" x14ac:dyDescent="0.2">
      <c r="A111" s="2">
        <v>45992.505729166667</v>
      </c>
      <c r="B111" t="s">
        <v>528</v>
      </c>
      <c r="C111" t="s">
        <v>522</v>
      </c>
      <c r="D111" t="s">
        <v>523</v>
      </c>
      <c r="E111" t="s">
        <v>524</v>
      </c>
      <c r="F111" t="s">
        <v>529</v>
      </c>
      <c r="G111" t="s">
        <v>530</v>
      </c>
      <c r="H111" t="s">
        <v>531</v>
      </c>
      <c r="I111" t="s">
        <v>532</v>
      </c>
      <c r="J111" t="s">
        <v>34</v>
      </c>
      <c r="K111">
        <v>13</v>
      </c>
      <c r="L111">
        <v>13</v>
      </c>
      <c r="M111">
        <v>12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533</v>
      </c>
      <c r="AC111" t="s">
        <v>34</v>
      </c>
      <c r="AD111" t="s">
        <v>34</v>
      </c>
      <c r="AE111">
        <v>1</v>
      </c>
      <c r="AF111">
        <v>0</v>
      </c>
      <c r="AG111" t="s">
        <v>534</v>
      </c>
      <c r="AL111" t="s">
        <v>34</v>
      </c>
      <c r="AM111" t="s">
        <v>34</v>
      </c>
    </row>
    <row r="112" spans="1:40" x14ac:dyDescent="0.2">
      <c r="A112" s="2">
        <v>46000.585312499999</v>
      </c>
      <c r="B112" t="s">
        <v>535</v>
      </c>
      <c r="C112" t="s">
        <v>522</v>
      </c>
      <c r="D112" t="s">
        <v>523</v>
      </c>
      <c r="E112" t="s">
        <v>536</v>
      </c>
      <c r="F112" t="s">
        <v>537</v>
      </c>
      <c r="G112">
        <v>84964667638</v>
      </c>
      <c r="H112" t="s">
        <v>538</v>
      </c>
      <c r="I112" t="s">
        <v>93</v>
      </c>
      <c r="J112" t="s">
        <v>34</v>
      </c>
      <c r="K112">
        <v>2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189</v>
      </c>
      <c r="AC112" t="s">
        <v>34</v>
      </c>
      <c r="AD112" t="s">
        <v>34</v>
      </c>
      <c r="AE112">
        <v>0</v>
      </c>
      <c r="AF112">
        <v>0</v>
      </c>
      <c r="AG112" t="s">
        <v>56</v>
      </c>
      <c r="AL112" t="s">
        <v>34</v>
      </c>
      <c r="AM112" t="s">
        <v>34</v>
      </c>
    </row>
    <row r="113" spans="1:40" x14ac:dyDescent="0.2">
      <c r="A113" s="2">
        <v>45981.544722222221</v>
      </c>
      <c r="B113" t="s">
        <v>539</v>
      </c>
      <c r="C113" t="s">
        <v>522</v>
      </c>
      <c r="D113" t="s">
        <v>523</v>
      </c>
      <c r="E113" t="s">
        <v>540</v>
      </c>
      <c r="F113" t="s">
        <v>541</v>
      </c>
      <c r="G113" t="s">
        <v>542</v>
      </c>
      <c r="H113" t="s">
        <v>543</v>
      </c>
      <c r="I113" t="s">
        <v>49</v>
      </c>
      <c r="J113" t="s">
        <v>34</v>
      </c>
      <c r="K113">
        <v>288</v>
      </c>
      <c r="L113">
        <v>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</v>
      </c>
      <c r="V113">
        <v>1</v>
      </c>
      <c r="W113">
        <v>1</v>
      </c>
      <c r="X113">
        <v>2</v>
      </c>
      <c r="Y113">
        <v>0</v>
      </c>
      <c r="Z113">
        <v>1</v>
      </c>
      <c r="AA113">
        <v>0</v>
      </c>
      <c r="AB113">
        <v>0</v>
      </c>
      <c r="AC113" t="s">
        <v>35</v>
      </c>
      <c r="AD113" t="s">
        <v>34</v>
      </c>
      <c r="AE113">
        <v>4</v>
      </c>
      <c r="AF113">
        <v>0</v>
      </c>
      <c r="AG113">
        <v>0</v>
      </c>
      <c r="AL113" t="s">
        <v>35</v>
      </c>
      <c r="AM113" t="s">
        <v>34</v>
      </c>
      <c r="AN113">
        <v>0</v>
      </c>
    </row>
    <row r="114" spans="1:40" x14ac:dyDescent="0.2">
      <c r="A114" s="2">
        <v>46000.568449074082</v>
      </c>
      <c r="B114" t="s">
        <v>544</v>
      </c>
      <c r="C114" t="s">
        <v>522</v>
      </c>
      <c r="D114" t="s">
        <v>523</v>
      </c>
      <c r="E114" t="s">
        <v>545</v>
      </c>
      <c r="F114" t="s">
        <v>546</v>
      </c>
      <c r="G114" t="s">
        <v>547</v>
      </c>
      <c r="H114" t="s">
        <v>548</v>
      </c>
      <c r="I114" t="s">
        <v>49</v>
      </c>
      <c r="J114" t="s">
        <v>34</v>
      </c>
      <c r="K114">
        <v>33</v>
      </c>
      <c r="L114">
        <v>33</v>
      </c>
      <c r="M114">
        <v>3</v>
      </c>
      <c r="N114">
        <v>2</v>
      </c>
      <c r="O114">
        <v>4</v>
      </c>
      <c r="P114">
        <v>6</v>
      </c>
      <c r="Q114">
        <v>5</v>
      </c>
      <c r="R114">
        <v>3</v>
      </c>
      <c r="S114">
        <v>4</v>
      </c>
      <c r="T114">
        <v>2</v>
      </c>
      <c r="U114">
        <v>2</v>
      </c>
      <c r="V114">
        <v>2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189</v>
      </c>
      <c r="AC114" t="s">
        <v>35</v>
      </c>
      <c r="AD114" t="s">
        <v>35</v>
      </c>
      <c r="AE114">
        <v>0</v>
      </c>
      <c r="AF114">
        <v>0</v>
      </c>
      <c r="AG114" t="s">
        <v>56</v>
      </c>
      <c r="AL114" t="s">
        <v>34</v>
      </c>
      <c r="AM114" t="s">
        <v>34</v>
      </c>
    </row>
    <row r="115" spans="1:40" x14ac:dyDescent="0.2">
      <c r="A115" s="2">
        <v>46000.600891203707</v>
      </c>
      <c r="B115" t="s">
        <v>549</v>
      </c>
      <c r="C115" t="s">
        <v>522</v>
      </c>
      <c r="D115" t="s">
        <v>523</v>
      </c>
      <c r="E115" t="s">
        <v>550</v>
      </c>
      <c r="F115" t="s">
        <v>551</v>
      </c>
      <c r="G115" t="s">
        <v>552</v>
      </c>
      <c r="H115" t="s">
        <v>553</v>
      </c>
      <c r="I115" t="s">
        <v>49</v>
      </c>
      <c r="J115" t="s">
        <v>34</v>
      </c>
      <c r="K115">
        <v>20</v>
      </c>
      <c r="L115">
        <v>20</v>
      </c>
      <c r="M115">
        <v>2</v>
      </c>
      <c r="N115">
        <v>2</v>
      </c>
      <c r="O115">
        <v>0</v>
      </c>
      <c r="P115">
        <v>3</v>
      </c>
      <c r="Q115">
        <v>1</v>
      </c>
      <c r="R115">
        <v>5</v>
      </c>
      <c r="S115">
        <v>4</v>
      </c>
      <c r="T115">
        <v>1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 t="s">
        <v>189</v>
      </c>
      <c r="AC115" t="s">
        <v>34</v>
      </c>
      <c r="AD115" t="s">
        <v>34</v>
      </c>
      <c r="AE115">
        <v>0</v>
      </c>
      <c r="AF115">
        <v>0</v>
      </c>
      <c r="AG115" t="s">
        <v>56</v>
      </c>
      <c r="AL115" t="s">
        <v>34</v>
      </c>
      <c r="AM115" t="s">
        <v>34</v>
      </c>
    </row>
    <row r="116" spans="1:40" x14ac:dyDescent="0.2">
      <c r="A116" s="2">
        <v>45981.501967592587</v>
      </c>
      <c r="B116" t="s">
        <v>572</v>
      </c>
      <c r="C116" t="s">
        <v>522</v>
      </c>
      <c r="D116" t="s">
        <v>523</v>
      </c>
      <c r="E116" t="s">
        <v>573</v>
      </c>
      <c r="F116" t="s">
        <v>574</v>
      </c>
      <c r="G116" t="s">
        <v>575</v>
      </c>
      <c r="H116" t="s">
        <v>576</v>
      </c>
      <c r="I116" t="s">
        <v>577</v>
      </c>
      <c r="J116" t="s">
        <v>518</v>
      </c>
      <c r="K116">
        <v>260</v>
      </c>
      <c r="L116">
        <v>92</v>
      </c>
      <c r="M116">
        <v>4</v>
      </c>
      <c r="N116">
        <v>8</v>
      </c>
      <c r="O116">
        <v>9</v>
      </c>
      <c r="P116">
        <v>10</v>
      </c>
      <c r="Q116">
        <v>12</v>
      </c>
      <c r="R116">
        <v>12</v>
      </c>
      <c r="S116">
        <v>11</v>
      </c>
      <c r="T116">
        <v>10</v>
      </c>
      <c r="U116">
        <v>11</v>
      </c>
      <c r="V116">
        <v>5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50</v>
      </c>
      <c r="AC116" t="s">
        <v>34</v>
      </c>
      <c r="AD116" t="s">
        <v>34</v>
      </c>
      <c r="AE116">
        <v>6</v>
      </c>
      <c r="AF116">
        <v>2</v>
      </c>
      <c r="AG116" t="s">
        <v>578</v>
      </c>
      <c r="AH116">
        <v>3</v>
      </c>
      <c r="AI116">
        <v>2</v>
      </c>
      <c r="AJ116">
        <v>1</v>
      </c>
      <c r="AL116" t="s">
        <v>35</v>
      </c>
      <c r="AM116" t="s">
        <v>34</v>
      </c>
    </row>
    <row r="117" spans="1:40" x14ac:dyDescent="0.2">
      <c r="A117" s="2">
        <v>46000.561828703707</v>
      </c>
      <c r="B117" t="s">
        <v>585</v>
      </c>
      <c r="C117" t="s">
        <v>522</v>
      </c>
      <c r="D117" t="s">
        <v>523</v>
      </c>
      <c r="E117" t="s">
        <v>586</v>
      </c>
      <c r="F117" t="s">
        <v>587</v>
      </c>
      <c r="G117" t="s">
        <v>588</v>
      </c>
      <c r="H117" t="s">
        <v>589</v>
      </c>
      <c r="I117" t="s">
        <v>49</v>
      </c>
      <c r="J117" t="s">
        <v>34</v>
      </c>
      <c r="K117">
        <v>47</v>
      </c>
      <c r="L117">
        <v>47</v>
      </c>
      <c r="M117" s="4">
        <v>4</v>
      </c>
      <c r="N117" s="4">
        <v>2</v>
      </c>
      <c r="O117" s="4">
        <v>2</v>
      </c>
      <c r="P117" s="4">
        <v>1</v>
      </c>
      <c r="Q117" s="4">
        <v>4</v>
      </c>
      <c r="R117" s="4">
        <v>6</v>
      </c>
      <c r="S117" s="4">
        <v>7</v>
      </c>
      <c r="T117" s="4">
        <v>5</v>
      </c>
      <c r="U117" s="4">
        <v>3</v>
      </c>
      <c r="V117" s="4">
        <v>7</v>
      </c>
      <c r="W117" s="4">
        <v>6</v>
      </c>
      <c r="X117" s="4">
        <v>0</v>
      </c>
      <c r="Y117" s="4">
        <v>0</v>
      </c>
      <c r="Z117" s="4">
        <v>0</v>
      </c>
      <c r="AA117" s="4">
        <v>0</v>
      </c>
      <c r="AB117" t="s">
        <v>189</v>
      </c>
      <c r="AC117" t="s">
        <v>35</v>
      </c>
      <c r="AD117" t="s">
        <v>35</v>
      </c>
      <c r="AE117">
        <v>0</v>
      </c>
      <c r="AF117">
        <v>0</v>
      </c>
      <c r="AG117" t="s">
        <v>56</v>
      </c>
      <c r="AL117" t="s">
        <v>34</v>
      </c>
      <c r="AM117" t="s">
        <v>34</v>
      </c>
    </row>
    <row r="118" spans="1:40" x14ac:dyDescent="0.2">
      <c r="A118" s="2">
        <v>45989.42150462963</v>
      </c>
      <c r="B118" t="s">
        <v>590</v>
      </c>
      <c r="C118" t="s">
        <v>522</v>
      </c>
      <c r="D118" t="s">
        <v>523</v>
      </c>
      <c r="E118" t="s">
        <v>591</v>
      </c>
      <c r="F118" t="s">
        <v>592</v>
      </c>
      <c r="G118">
        <v>84962476791</v>
      </c>
      <c r="H118" t="s">
        <v>593</v>
      </c>
      <c r="I118" t="s">
        <v>93</v>
      </c>
      <c r="J118" t="s">
        <v>34</v>
      </c>
      <c r="K118">
        <v>520</v>
      </c>
      <c r="L118">
        <v>14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3</v>
      </c>
      <c r="T118">
        <v>2</v>
      </c>
      <c r="U118">
        <v>1</v>
      </c>
      <c r="V118">
        <v>3</v>
      </c>
      <c r="W118">
        <v>2</v>
      </c>
      <c r="X118">
        <v>1</v>
      </c>
      <c r="Y118">
        <v>0</v>
      </c>
      <c r="Z118">
        <v>0</v>
      </c>
      <c r="AA118">
        <v>1</v>
      </c>
      <c r="AB118" t="s">
        <v>50</v>
      </c>
      <c r="AC118" t="s">
        <v>35</v>
      </c>
      <c r="AD118" t="s">
        <v>35</v>
      </c>
      <c r="AE118">
        <v>2</v>
      </c>
      <c r="AF118">
        <v>1</v>
      </c>
      <c r="AG118" t="s">
        <v>48</v>
      </c>
      <c r="AL118" t="s">
        <v>35</v>
      </c>
      <c r="AM118" t="s">
        <v>35</v>
      </c>
    </row>
    <row r="119" spans="1:40" x14ac:dyDescent="0.2">
      <c r="A119" s="2">
        <v>46000.554444444453</v>
      </c>
      <c r="B119" t="s">
        <v>594</v>
      </c>
      <c r="C119" t="s">
        <v>522</v>
      </c>
      <c r="D119" t="s">
        <v>523</v>
      </c>
      <c r="E119" t="s">
        <v>595</v>
      </c>
      <c r="F119" t="s">
        <v>596</v>
      </c>
      <c r="G119" t="s">
        <v>597</v>
      </c>
      <c r="H119" t="s">
        <v>598</v>
      </c>
      <c r="I119" t="s">
        <v>599</v>
      </c>
      <c r="J119" t="s">
        <v>34</v>
      </c>
      <c r="K119">
        <v>53</v>
      </c>
      <c r="L119">
        <v>53</v>
      </c>
      <c r="M119" s="4">
        <v>10</v>
      </c>
      <c r="N119" s="4">
        <v>3</v>
      </c>
      <c r="O119" s="4">
        <v>2</v>
      </c>
      <c r="P119" s="4">
        <v>2</v>
      </c>
      <c r="Q119" s="4">
        <v>3</v>
      </c>
      <c r="R119" s="4">
        <v>5</v>
      </c>
      <c r="S119" s="4">
        <v>5</v>
      </c>
      <c r="T119" s="4">
        <v>5</v>
      </c>
      <c r="U119" s="4">
        <v>2</v>
      </c>
      <c r="V119" s="4">
        <v>7</v>
      </c>
      <c r="W119" s="4">
        <v>4</v>
      </c>
      <c r="X119" s="4">
        <v>5</v>
      </c>
      <c r="Y119" s="4">
        <v>0</v>
      </c>
      <c r="Z119" s="4">
        <v>0</v>
      </c>
      <c r="AA119" s="4">
        <v>0</v>
      </c>
      <c r="AB119" t="s">
        <v>189</v>
      </c>
      <c r="AC119" t="s">
        <v>34</v>
      </c>
      <c r="AD119" t="s">
        <v>34</v>
      </c>
      <c r="AE119">
        <v>0</v>
      </c>
      <c r="AF119">
        <v>0</v>
      </c>
      <c r="AG119" t="s">
        <v>56</v>
      </c>
      <c r="AL119" t="s">
        <v>34</v>
      </c>
      <c r="AM119" t="s">
        <v>34</v>
      </c>
    </row>
    <row r="120" spans="1:40" x14ac:dyDescent="0.2">
      <c r="A120" s="2">
        <v>45995.665497685193</v>
      </c>
      <c r="B120" t="s">
        <v>600</v>
      </c>
      <c r="C120" t="s">
        <v>522</v>
      </c>
      <c r="D120" t="s">
        <v>523</v>
      </c>
      <c r="E120" t="s">
        <v>601</v>
      </c>
      <c r="F120" t="s">
        <v>602</v>
      </c>
      <c r="G120">
        <v>79252161168</v>
      </c>
      <c r="H120" t="s">
        <v>603</v>
      </c>
      <c r="I120" t="s">
        <v>604</v>
      </c>
      <c r="J120" t="s">
        <v>34</v>
      </c>
      <c r="K120">
        <v>16</v>
      </c>
      <c r="L120">
        <v>16</v>
      </c>
      <c r="M120">
        <v>15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50</v>
      </c>
      <c r="AC120" t="s">
        <v>34</v>
      </c>
      <c r="AD120" t="s">
        <v>34</v>
      </c>
      <c r="AE120">
        <v>1</v>
      </c>
      <c r="AF120">
        <v>0</v>
      </c>
      <c r="AG120" t="s">
        <v>605</v>
      </c>
      <c r="AL120" t="s">
        <v>34</v>
      </c>
      <c r="AM120" t="s">
        <v>34</v>
      </c>
    </row>
    <row r="121" spans="1:40" x14ac:dyDescent="0.2">
      <c r="A121" s="2">
        <v>46000.581550925926</v>
      </c>
      <c r="B121" t="s">
        <v>606</v>
      </c>
      <c r="C121" t="s">
        <v>522</v>
      </c>
      <c r="D121" t="s">
        <v>523</v>
      </c>
      <c r="E121" t="s">
        <v>601</v>
      </c>
      <c r="F121" t="s">
        <v>607</v>
      </c>
      <c r="G121" t="s">
        <v>608</v>
      </c>
      <c r="H121" t="s">
        <v>609</v>
      </c>
      <c r="I121" t="s">
        <v>49</v>
      </c>
      <c r="J121" t="s">
        <v>34</v>
      </c>
      <c r="K121">
        <v>35</v>
      </c>
      <c r="L121">
        <v>35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1</v>
      </c>
      <c r="S121" s="4">
        <v>2</v>
      </c>
      <c r="T121" s="4">
        <v>2</v>
      </c>
      <c r="U121" s="4">
        <v>7</v>
      </c>
      <c r="V121" s="4">
        <v>10</v>
      </c>
      <c r="W121" s="4">
        <v>5</v>
      </c>
      <c r="X121" s="4">
        <v>6</v>
      </c>
      <c r="Y121" s="4">
        <v>2</v>
      </c>
      <c r="Z121" s="4">
        <v>0</v>
      </c>
      <c r="AA121" s="4">
        <v>0</v>
      </c>
      <c r="AB121" t="s">
        <v>189</v>
      </c>
      <c r="AC121" t="s">
        <v>34</v>
      </c>
      <c r="AD121" t="s">
        <v>34</v>
      </c>
      <c r="AE121">
        <v>0</v>
      </c>
      <c r="AF121">
        <v>0</v>
      </c>
      <c r="AG121" t="s">
        <v>56</v>
      </c>
      <c r="AL121" t="s">
        <v>34</v>
      </c>
      <c r="AM121" t="s">
        <v>34</v>
      </c>
    </row>
    <row r="122" spans="1:40" x14ac:dyDescent="0.2">
      <c r="A122" s="2">
        <v>45995.77480324074</v>
      </c>
      <c r="B122" t="s">
        <v>532</v>
      </c>
      <c r="C122" t="s">
        <v>522</v>
      </c>
      <c r="D122" t="s">
        <v>523</v>
      </c>
      <c r="E122" t="s">
        <v>610</v>
      </c>
      <c r="F122" t="s">
        <v>611</v>
      </c>
      <c r="G122">
        <v>89857152252</v>
      </c>
      <c r="H122" t="s">
        <v>612</v>
      </c>
      <c r="I122" t="s">
        <v>613</v>
      </c>
      <c r="J122" t="s">
        <v>34</v>
      </c>
      <c r="K122">
        <v>15</v>
      </c>
      <c r="L122">
        <v>15</v>
      </c>
      <c r="M122">
        <v>15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614</v>
      </c>
      <c r="AC122" t="s">
        <v>34</v>
      </c>
      <c r="AD122" t="s">
        <v>34</v>
      </c>
      <c r="AE122">
        <v>1</v>
      </c>
      <c r="AF122">
        <v>0</v>
      </c>
      <c r="AG122" t="s">
        <v>615</v>
      </c>
      <c r="AL122" t="s">
        <v>34</v>
      </c>
      <c r="AM122" t="s">
        <v>34</v>
      </c>
    </row>
    <row r="123" spans="1:40" x14ac:dyDescent="0.2">
      <c r="A123" s="2">
        <v>45981.52789351852</v>
      </c>
      <c r="B123" t="s">
        <v>616</v>
      </c>
      <c r="C123" t="s">
        <v>522</v>
      </c>
      <c r="D123" t="s">
        <v>523</v>
      </c>
      <c r="E123" t="s">
        <v>617</v>
      </c>
      <c r="F123" t="s">
        <v>618</v>
      </c>
      <c r="G123">
        <v>74955508066</v>
      </c>
      <c r="H123" t="s">
        <v>619</v>
      </c>
      <c r="I123" t="s">
        <v>49</v>
      </c>
      <c r="J123" t="s">
        <v>34</v>
      </c>
      <c r="K123">
        <v>150</v>
      </c>
      <c r="L123">
        <v>15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2</v>
      </c>
      <c r="W123">
        <v>4</v>
      </c>
      <c r="X123">
        <v>3</v>
      </c>
      <c r="Y123">
        <v>1</v>
      </c>
      <c r="Z123">
        <v>4</v>
      </c>
      <c r="AA123">
        <v>0</v>
      </c>
      <c r="AB123" t="s">
        <v>50</v>
      </c>
      <c r="AC123" t="s">
        <v>34</v>
      </c>
      <c r="AD123" t="s">
        <v>34</v>
      </c>
      <c r="AE123">
        <v>1</v>
      </c>
      <c r="AF123">
        <v>0</v>
      </c>
      <c r="AG123" t="s">
        <v>620</v>
      </c>
      <c r="AL123" t="s">
        <v>35</v>
      </c>
      <c r="AM123" t="s">
        <v>34</v>
      </c>
    </row>
    <row r="124" spans="1:40" x14ac:dyDescent="0.2">
      <c r="A124" s="2">
        <v>45981.530902777777</v>
      </c>
      <c r="B124" t="s">
        <v>621</v>
      </c>
      <c r="C124" t="s">
        <v>522</v>
      </c>
      <c r="D124" t="s">
        <v>523</v>
      </c>
      <c r="E124" t="s">
        <v>622</v>
      </c>
      <c r="F124" t="s">
        <v>623</v>
      </c>
      <c r="G124">
        <v>84955647328</v>
      </c>
      <c r="H124" t="s">
        <v>624</v>
      </c>
      <c r="I124" t="s">
        <v>93</v>
      </c>
      <c r="J124" t="s">
        <v>34</v>
      </c>
      <c r="K124">
        <v>562</v>
      </c>
      <c r="L124">
        <v>80</v>
      </c>
      <c r="M124">
        <v>5</v>
      </c>
      <c r="N124">
        <v>2</v>
      </c>
      <c r="O124">
        <v>3</v>
      </c>
      <c r="P124">
        <v>4</v>
      </c>
      <c r="Q124">
        <v>1</v>
      </c>
      <c r="R124">
        <v>4</v>
      </c>
      <c r="S124">
        <v>11</v>
      </c>
      <c r="T124">
        <v>12</v>
      </c>
      <c r="U124">
        <v>12</v>
      </c>
      <c r="V124">
        <v>12</v>
      </c>
      <c r="W124">
        <v>8</v>
      </c>
      <c r="X124">
        <v>2</v>
      </c>
      <c r="Y124">
        <v>4</v>
      </c>
      <c r="Z124">
        <v>0</v>
      </c>
      <c r="AA124">
        <v>0</v>
      </c>
      <c r="AB124" t="s">
        <v>108</v>
      </c>
      <c r="AC124" t="s">
        <v>35</v>
      </c>
      <c r="AD124" t="s">
        <v>35</v>
      </c>
      <c r="AE124">
        <v>2</v>
      </c>
      <c r="AF124">
        <v>2</v>
      </c>
      <c r="AG124" t="s">
        <v>625</v>
      </c>
      <c r="AH124">
        <v>2</v>
      </c>
      <c r="AL124" t="s">
        <v>35</v>
      </c>
      <c r="AM124" t="s">
        <v>34</v>
      </c>
    </row>
    <row r="125" spans="1:40" x14ac:dyDescent="0.2">
      <c r="A125" s="2">
        <v>46000.579606481479</v>
      </c>
      <c r="B125" t="s">
        <v>626</v>
      </c>
      <c r="C125" t="s">
        <v>522</v>
      </c>
      <c r="D125" t="s">
        <v>523</v>
      </c>
      <c r="E125" t="s">
        <v>627</v>
      </c>
      <c r="F125" t="s">
        <v>628</v>
      </c>
      <c r="G125" t="s">
        <v>629</v>
      </c>
      <c r="H125" t="s">
        <v>630</v>
      </c>
      <c r="I125" t="s">
        <v>49</v>
      </c>
      <c r="J125" t="s">
        <v>34</v>
      </c>
      <c r="K125">
        <v>5</v>
      </c>
      <c r="L125">
        <v>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2</v>
      </c>
      <c r="AA125">
        <v>1</v>
      </c>
      <c r="AB125" t="s">
        <v>189</v>
      </c>
      <c r="AC125" t="s">
        <v>34</v>
      </c>
      <c r="AD125" t="s">
        <v>34</v>
      </c>
      <c r="AE125">
        <v>0</v>
      </c>
      <c r="AF125">
        <v>0</v>
      </c>
      <c r="AG125" t="s">
        <v>56</v>
      </c>
      <c r="AL125" t="s">
        <v>34</v>
      </c>
      <c r="AM125" t="s">
        <v>34</v>
      </c>
    </row>
    <row r="126" spans="1:40" x14ac:dyDescent="0.2">
      <c r="A126" s="2">
        <v>45981.491331018522</v>
      </c>
      <c r="B126" t="s">
        <v>631</v>
      </c>
      <c r="C126" t="s">
        <v>522</v>
      </c>
      <c r="D126" t="s">
        <v>523</v>
      </c>
      <c r="E126" t="s">
        <v>632</v>
      </c>
      <c r="F126" t="s">
        <v>633</v>
      </c>
      <c r="G126">
        <v>84963823671</v>
      </c>
      <c r="H126" t="s">
        <v>634</v>
      </c>
      <c r="I126" t="s">
        <v>635</v>
      </c>
      <c r="J126" t="s">
        <v>34</v>
      </c>
      <c r="K126">
        <v>700</v>
      </c>
      <c r="L126">
        <v>55</v>
      </c>
      <c r="M126" s="4">
        <v>3</v>
      </c>
      <c r="N126" s="4">
        <v>0</v>
      </c>
      <c r="O126" s="4">
        <v>0</v>
      </c>
      <c r="P126" s="4">
        <v>1</v>
      </c>
      <c r="Q126" s="4">
        <v>7</v>
      </c>
      <c r="R126" s="4">
        <v>2</v>
      </c>
      <c r="S126" s="4">
        <v>3</v>
      </c>
      <c r="T126" s="4">
        <v>14</v>
      </c>
      <c r="U126" s="4">
        <v>8</v>
      </c>
      <c r="V126" s="4">
        <v>5</v>
      </c>
      <c r="W126" s="4">
        <v>3</v>
      </c>
      <c r="X126" s="4">
        <v>2</v>
      </c>
      <c r="Y126" s="4">
        <v>1</v>
      </c>
      <c r="Z126" s="4">
        <v>1</v>
      </c>
      <c r="AA126" s="4">
        <v>5</v>
      </c>
      <c r="AB126" t="s">
        <v>50</v>
      </c>
      <c r="AC126" t="s">
        <v>35</v>
      </c>
      <c r="AD126" t="s">
        <v>34</v>
      </c>
      <c r="AE126">
        <v>2</v>
      </c>
      <c r="AF126">
        <v>1</v>
      </c>
      <c r="AG126" t="s">
        <v>636</v>
      </c>
      <c r="AL126" t="s">
        <v>35</v>
      </c>
      <c r="AM126" t="s">
        <v>34</v>
      </c>
    </row>
    <row r="127" spans="1:40" x14ac:dyDescent="0.2">
      <c r="A127" s="2">
        <v>45986.539768518523</v>
      </c>
      <c r="B127" t="s">
        <v>717</v>
      </c>
      <c r="C127" t="s">
        <v>522</v>
      </c>
      <c r="D127" t="s">
        <v>523</v>
      </c>
      <c r="E127" t="s">
        <v>718</v>
      </c>
      <c r="F127" t="s">
        <v>719</v>
      </c>
      <c r="G127" t="s">
        <v>720</v>
      </c>
      <c r="H127" t="s">
        <v>721</v>
      </c>
      <c r="I127" t="s">
        <v>93</v>
      </c>
      <c r="J127" t="s">
        <v>34</v>
      </c>
      <c r="K127">
        <v>253</v>
      </c>
      <c r="L127">
        <v>47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6</v>
      </c>
      <c r="U127">
        <v>4</v>
      </c>
      <c r="V127">
        <v>8</v>
      </c>
      <c r="W127">
        <v>19</v>
      </c>
      <c r="X127">
        <v>3</v>
      </c>
      <c r="Y127">
        <v>6</v>
      </c>
      <c r="Z127">
        <v>1</v>
      </c>
      <c r="AA127">
        <v>0</v>
      </c>
      <c r="AB127" t="s">
        <v>50</v>
      </c>
      <c r="AC127" t="s">
        <v>34</v>
      </c>
      <c r="AD127" t="s">
        <v>34</v>
      </c>
      <c r="AE127">
        <v>3</v>
      </c>
      <c r="AF127">
        <v>2</v>
      </c>
      <c r="AG127" t="s">
        <v>722</v>
      </c>
      <c r="AL127" t="s">
        <v>35</v>
      </c>
      <c r="AM127" t="s">
        <v>35</v>
      </c>
      <c r="AN127" t="s">
        <v>723</v>
      </c>
    </row>
    <row r="128" spans="1:40" x14ac:dyDescent="0.2">
      <c r="A128" s="2">
        <v>46000.607800925929</v>
      </c>
      <c r="B128" t="s">
        <v>724</v>
      </c>
      <c r="C128" t="s">
        <v>522</v>
      </c>
      <c r="D128" t="s">
        <v>523</v>
      </c>
      <c r="E128" t="s">
        <v>718</v>
      </c>
      <c r="F128" t="s">
        <v>725</v>
      </c>
      <c r="G128">
        <v>89645532615</v>
      </c>
      <c r="H128" t="s">
        <v>726</v>
      </c>
      <c r="I128" t="s">
        <v>727</v>
      </c>
      <c r="J128" t="s">
        <v>34</v>
      </c>
      <c r="K128">
        <v>48</v>
      </c>
      <c r="L128">
        <v>48</v>
      </c>
      <c r="M128">
        <v>1</v>
      </c>
      <c r="N128">
        <v>0</v>
      </c>
      <c r="O128">
        <v>1</v>
      </c>
      <c r="P128">
        <v>5</v>
      </c>
      <c r="Q128">
        <v>6</v>
      </c>
      <c r="R128">
        <v>10</v>
      </c>
      <c r="S128">
        <v>10</v>
      </c>
      <c r="T128">
        <v>5</v>
      </c>
      <c r="U128">
        <v>5</v>
      </c>
      <c r="V128">
        <v>5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189</v>
      </c>
      <c r="AC128" t="s">
        <v>34</v>
      </c>
      <c r="AD128" t="s">
        <v>34</v>
      </c>
      <c r="AE128">
        <v>0</v>
      </c>
      <c r="AF128">
        <v>0</v>
      </c>
      <c r="AG128" t="s">
        <v>56</v>
      </c>
      <c r="AL128" t="s">
        <v>34</v>
      </c>
      <c r="AM128" t="s">
        <v>34</v>
      </c>
    </row>
    <row r="129" spans="1:40" x14ac:dyDescent="0.2">
      <c r="A129" s="2">
        <v>45994.779872685183</v>
      </c>
      <c r="B129" t="s">
        <v>728</v>
      </c>
      <c r="C129" t="s">
        <v>522</v>
      </c>
      <c r="D129" t="s">
        <v>523</v>
      </c>
      <c r="E129" t="s">
        <v>729</v>
      </c>
      <c r="F129" t="s">
        <v>730</v>
      </c>
      <c r="G129">
        <v>89660625887</v>
      </c>
      <c r="H129" t="s">
        <v>731</v>
      </c>
      <c r="I129" t="s">
        <v>732</v>
      </c>
      <c r="J129" t="s">
        <v>34</v>
      </c>
      <c r="K129">
        <v>15</v>
      </c>
      <c r="L129">
        <v>15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</v>
      </c>
      <c r="V129">
        <v>4</v>
      </c>
      <c r="W129">
        <v>3</v>
      </c>
      <c r="X129">
        <v>0</v>
      </c>
      <c r="Y129">
        <v>2</v>
      </c>
      <c r="Z129">
        <v>1</v>
      </c>
      <c r="AA129">
        <v>1</v>
      </c>
      <c r="AB129" t="s">
        <v>108</v>
      </c>
      <c r="AC129" t="s">
        <v>34</v>
      </c>
      <c r="AD129" t="s">
        <v>34</v>
      </c>
      <c r="AE129">
        <v>1</v>
      </c>
      <c r="AF129">
        <v>1</v>
      </c>
      <c r="AG129" t="s">
        <v>733</v>
      </c>
      <c r="AH129">
        <v>1</v>
      </c>
      <c r="AL129" t="s">
        <v>34</v>
      </c>
      <c r="AM129" t="s">
        <v>34</v>
      </c>
      <c r="AN129" t="s">
        <v>734</v>
      </c>
    </row>
    <row r="130" spans="1:40" x14ac:dyDescent="0.2">
      <c r="A130" s="2">
        <v>46000.531192129631</v>
      </c>
      <c r="B130" t="s">
        <v>735</v>
      </c>
      <c r="C130" t="s">
        <v>522</v>
      </c>
      <c r="D130" t="s">
        <v>523</v>
      </c>
      <c r="E130" t="s">
        <v>736</v>
      </c>
      <c r="F130" t="s">
        <v>737</v>
      </c>
      <c r="G130">
        <v>89772720213</v>
      </c>
      <c r="H130" t="s">
        <v>738</v>
      </c>
      <c r="I130" t="s">
        <v>739</v>
      </c>
      <c r="J130" t="s">
        <v>34</v>
      </c>
      <c r="K130">
        <v>12</v>
      </c>
      <c r="L130">
        <v>12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1</v>
      </c>
      <c r="V130">
        <v>2</v>
      </c>
      <c r="W130">
        <v>1</v>
      </c>
      <c r="X130">
        <v>2</v>
      </c>
      <c r="Y130">
        <v>4</v>
      </c>
      <c r="Z130">
        <v>1</v>
      </c>
      <c r="AA130">
        <v>0</v>
      </c>
      <c r="AB130" t="s">
        <v>189</v>
      </c>
      <c r="AC130" t="s">
        <v>34</v>
      </c>
      <c r="AD130" t="s">
        <v>34</v>
      </c>
      <c r="AE130">
        <v>0</v>
      </c>
      <c r="AF130">
        <v>0</v>
      </c>
      <c r="AG130" t="s">
        <v>56</v>
      </c>
      <c r="AL130" t="s">
        <v>34</v>
      </c>
      <c r="AM130" t="s">
        <v>34</v>
      </c>
    </row>
    <row r="131" spans="1:40" x14ac:dyDescent="0.2">
      <c r="A131" s="2">
        <v>45981.547453703701</v>
      </c>
      <c r="B131" t="s">
        <v>746</v>
      </c>
      <c r="C131" t="s">
        <v>522</v>
      </c>
      <c r="D131" t="s">
        <v>523</v>
      </c>
      <c r="E131" t="s">
        <v>747</v>
      </c>
      <c r="F131" t="s">
        <v>748</v>
      </c>
      <c r="G131" t="s">
        <v>749</v>
      </c>
      <c r="H131" t="s">
        <v>750</v>
      </c>
      <c r="I131" t="s">
        <v>49</v>
      </c>
      <c r="J131" t="s">
        <v>34</v>
      </c>
      <c r="K131">
        <v>167</v>
      </c>
      <c r="L131">
        <v>37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8</v>
      </c>
      <c r="S131">
        <v>5</v>
      </c>
      <c r="T131">
        <v>8</v>
      </c>
      <c r="U131">
        <v>6</v>
      </c>
      <c r="V131">
        <v>2</v>
      </c>
      <c r="W131">
        <v>7</v>
      </c>
      <c r="X131">
        <v>0</v>
      </c>
      <c r="Y131">
        <v>0</v>
      </c>
      <c r="Z131">
        <v>0</v>
      </c>
      <c r="AA131">
        <v>0</v>
      </c>
      <c r="AB131" t="s">
        <v>50</v>
      </c>
      <c r="AC131" t="s">
        <v>35</v>
      </c>
      <c r="AD131" t="s">
        <v>34</v>
      </c>
      <c r="AE131">
        <v>1</v>
      </c>
      <c r="AF131">
        <v>0</v>
      </c>
      <c r="AG131" t="s">
        <v>751</v>
      </c>
      <c r="AL131" t="s">
        <v>35</v>
      </c>
      <c r="AM131" t="s">
        <v>34</v>
      </c>
    </row>
    <row r="132" spans="1:40" x14ac:dyDescent="0.2">
      <c r="A132" s="2">
        <v>45993.777766203697</v>
      </c>
      <c r="B132" t="s">
        <v>752</v>
      </c>
      <c r="C132" t="s">
        <v>522</v>
      </c>
      <c r="D132" t="s">
        <v>523</v>
      </c>
      <c r="E132" t="s">
        <v>747</v>
      </c>
      <c r="F132" t="s">
        <v>753</v>
      </c>
      <c r="G132" t="s">
        <v>754</v>
      </c>
      <c r="H132" t="s">
        <v>755</v>
      </c>
      <c r="I132" t="s">
        <v>49</v>
      </c>
      <c r="J132" t="s">
        <v>114</v>
      </c>
      <c r="K132">
        <v>1016</v>
      </c>
      <c r="L132">
        <v>77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</v>
      </c>
      <c r="S132">
        <v>15</v>
      </c>
      <c r="T132">
        <v>5</v>
      </c>
      <c r="U132">
        <v>6</v>
      </c>
      <c r="V132">
        <v>15</v>
      </c>
      <c r="W132">
        <v>12</v>
      </c>
      <c r="X132">
        <v>10</v>
      </c>
      <c r="Y132">
        <v>9</v>
      </c>
      <c r="Z132">
        <v>3</v>
      </c>
      <c r="AA132">
        <v>0</v>
      </c>
      <c r="AB132" t="s">
        <v>50</v>
      </c>
      <c r="AC132" t="s">
        <v>35</v>
      </c>
      <c r="AD132" t="s">
        <v>34</v>
      </c>
      <c r="AE132">
        <v>3</v>
      </c>
      <c r="AF132">
        <v>0</v>
      </c>
      <c r="AG132" t="s">
        <v>756</v>
      </c>
      <c r="AH132">
        <v>1</v>
      </c>
      <c r="AL132" t="s">
        <v>35</v>
      </c>
      <c r="AM132" t="s">
        <v>35</v>
      </c>
    </row>
    <row r="133" spans="1:40" x14ac:dyDescent="0.2">
      <c r="A133" s="2">
        <v>45981.64770833333</v>
      </c>
      <c r="B133" t="s">
        <v>757</v>
      </c>
      <c r="C133" t="s">
        <v>522</v>
      </c>
      <c r="D133" t="s">
        <v>523</v>
      </c>
      <c r="E133" t="s">
        <v>758</v>
      </c>
      <c r="F133" t="s">
        <v>759</v>
      </c>
      <c r="G133" t="s">
        <v>760</v>
      </c>
      <c r="H133" t="s">
        <v>761</v>
      </c>
      <c r="I133" t="s">
        <v>49</v>
      </c>
      <c r="J133" t="s">
        <v>34</v>
      </c>
      <c r="K133">
        <v>334</v>
      </c>
      <c r="L133">
        <v>90</v>
      </c>
      <c r="M133">
        <v>4</v>
      </c>
      <c r="N133">
        <v>1</v>
      </c>
      <c r="O133">
        <v>4</v>
      </c>
      <c r="P133">
        <v>3</v>
      </c>
      <c r="Q133">
        <v>5</v>
      </c>
      <c r="R133">
        <v>8</v>
      </c>
      <c r="S133">
        <v>12</v>
      </c>
      <c r="T133">
        <v>10</v>
      </c>
      <c r="U133">
        <v>6</v>
      </c>
      <c r="V133">
        <v>12</v>
      </c>
      <c r="W133">
        <v>11</v>
      </c>
      <c r="X133">
        <v>10</v>
      </c>
      <c r="Y133">
        <v>4</v>
      </c>
      <c r="Z133">
        <v>0</v>
      </c>
      <c r="AA133">
        <v>0</v>
      </c>
      <c r="AB133" t="s">
        <v>108</v>
      </c>
      <c r="AC133" t="s">
        <v>34</v>
      </c>
      <c r="AD133" t="s">
        <v>35</v>
      </c>
      <c r="AE133">
        <v>3</v>
      </c>
      <c r="AF133">
        <v>1</v>
      </c>
      <c r="AG133" t="s">
        <v>762</v>
      </c>
      <c r="AH133">
        <v>2</v>
      </c>
      <c r="AL133" t="s">
        <v>35</v>
      </c>
      <c r="AM133" t="s">
        <v>35</v>
      </c>
      <c r="AN133" t="s">
        <v>56</v>
      </c>
    </row>
    <row r="134" spans="1:40" x14ac:dyDescent="0.2">
      <c r="A134" s="2">
        <v>46000.564710648148</v>
      </c>
      <c r="B134" t="s">
        <v>763</v>
      </c>
      <c r="C134" t="s">
        <v>522</v>
      </c>
      <c r="D134" t="s">
        <v>523</v>
      </c>
      <c r="E134" t="s">
        <v>764</v>
      </c>
      <c r="F134" t="s">
        <v>765</v>
      </c>
      <c r="G134" t="s">
        <v>766</v>
      </c>
      <c r="H134" t="s">
        <v>767</v>
      </c>
      <c r="I134" t="s">
        <v>49</v>
      </c>
      <c r="J134" t="s">
        <v>34</v>
      </c>
      <c r="K134">
        <v>17</v>
      </c>
      <c r="L134">
        <v>17</v>
      </c>
      <c r="M134">
        <v>0</v>
      </c>
      <c r="N134">
        <v>0</v>
      </c>
      <c r="O134">
        <v>2</v>
      </c>
      <c r="P134">
        <v>1</v>
      </c>
      <c r="Q134">
        <v>2</v>
      </c>
      <c r="R134">
        <v>1</v>
      </c>
      <c r="S134">
        <v>1</v>
      </c>
      <c r="T134">
        <v>2</v>
      </c>
      <c r="U134">
        <v>4</v>
      </c>
      <c r="V134">
        <v>1</v>
      </c>
      <c r="W134">
        <v>2</v>
      </c>
      <c r="X134">
        <v>0</v>
      </c>
      <c r="Y134">
        <v>1</v>
      </c>
      <c r="Z134">
        <v>0</v>
      </c>
      <c r="AA134">
        <v>0</v>
      </c>
      <c r="AB134" t="s">
        <v>189</v>
      </c>
      <c r="AC134" t="s">
        <v>35</v>
      </c>
      <c r="AD134" t="s">
        <v>35</v>
      </c>
      <c r="AE134">
        <v>0</v>
      </c>
      <c r="AF134">
        <v>0</v>
      </c>
      <c r="AG134" t="s">
        <v>56</v>
      </c>
      <c r="AL134" t="s">
        <v>34</v>
      </c>
      <c r="AM134" t="s">
        <v>34</v>
      </c>
    </row>
    <row r="135" spans="1:40" x14ac:dyDescent="0.2">
      <c r="A135" s="2">
        <v>46000.591874999998</v>
      </c>
      <c r="B135" t="s">
        <v>768</v>
      </c>
      <c r="C135" t="s">
        <v>522</v>
      </c>
      <c r="D135" t="s">
        <v>523</v>
      </c>
      <c r="E135" t="s">
        <v>769</v>
      </c>
      <c r="F135" t="s">
        <v>770</v>
      </c>
      <c r="G135" t="s">
        <v>771</v>
      </c>
      <c r="H135" t="s">
        <v>772</v>
      </c>
      <c r="I135" t="s">
        <v>33</v>
      </c>
      <c r="J135" t="s">
        <v>34</v>
      </c>
      <c r="K135">
        <v>4</v>
      </c>
      <c r="L135">
        <v>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2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189</v>
      </c>
      <c r="AC135" t="s">
        <v>34</v>
      </c>
      <c r="AD135" t="s">
        <v>34</v>
      </c>
      <c r="AE135">
        <v>0</v>
      </c>
      <c r="AF135">
        <v>0</v>
      </c>
      <c r="AG135" t="s">
        <v>56</v>
      </c>
      <c r="AL135" t="s">
        <v>34</v>
      </c>
      <c r="AM135" t="s">
        <v>34</v>
      </c>
    </row>
    <row r="136" spans="1:40" x14ac:dyDescent="0.2">
      <c r="A136" s="2">
        <v>45981.574479166673</v>
      </c>
      <c r="B136" t="s">
        <v>773</v>
      </c>
      <c r="C136" t="s">
        <v>522</v>
      </c>
      <c r="D136" t="s">
        <v>523</v>
      </c>
      <c r="E136" t="s">
        <v>774</v>
      </c>
      <c r="F136" t="s">
        <v>775</v>
      </c>
      <c r="G136" t="s">
        <v>776</v>
      </c>
      <c r="H136" t="s">
        <v>777</v>
      </c>
      <c r="I136" t="s">
        <v>49</v>
      </c>
      <c r="J136" t="s">
        <v>34</v>
      </c>
      <c r="K136">
        <v>515</v>
      </c>
      <c r="L136">
        <v>107</v>
      </c>
      <c r="M136">
        <v>5</v>
      </c>
      <c r="N136">
        <v>0</v>
      </c>
      <c r="O136">
        <v>2</v>
      </c>
      <c r="P136">
        <v>3</v>
      </c>
      <c r="Q136">
        <v>3</v>
      </c>
      <c r="R136">
        <v>7</v>
      </c>
      <c r="S136">
        <v>9</v>
      </c>
      <c r="T136">
        <v>11</v>
      </c>
      <c r="U136">
        <v>10</v>
      </c>
      <c r="V136">
        <v>23</v>
      </c>
      <c r="W136">
        <v>20</v>
      </c>
      <c r="X136">
        <v>9</v>
      </c>
      <c r="Y136">
        <v>3</v>
      </c>
      <c r="Z136">
        <v>2</v>
      </c>
      <c r="AA136">
        <v>0</v>
      </c>
      <c r="AB136" t="s">
        <v>50</v>
      </c>
      <c r="AC136" t="s">
        <v>35</v>
      </c>
      <c r="AD136" t="s">
        <v>35</v>
      </c>
      <c r="AE136">
        <v>2</v>
      </c>
      <c r="AF136">
        <v>1</v>
      </c>
      <c r="AG136" t="s">
        <v>778</v>
      </c>
      <c r="AH136">
        <v>2</v>
      </c>
      <c r="AL136" t="s">
        <v>35</v>
      </c>
      <c r="AM136" t="s">
        <v>35</v>
      </c>
    </row>
    <row r="137" spans="1:40" x14ac:dyDescent="0.2">
      <c r="A137" s="2">
        <v>45981.542442129627</v>
      </c>
      <c r="B137" t="s">
        <v>779</v>
      </c>
      <c r="C137" t="s">
        <v>522</v>
      </c>
      <c r="D137" t="s">
        <v>523</v>
      </c>
      <c r="E137" t="s">
        <v>780</v>
      </c>
      <c r="F137" t="s">
        <v>781</v>
      </c>
      <c r="G137">
        <v>89773051305</v>
      </c>
      <c r="H137" t="s">
        <v>782</v>
      </c>
      <c r="I137" t="s">
        <v>49</v>
      </c>
      <c r="J137" t="s">
        <v>34</v>
      </c>
      <c r="K137">
        <v>420</v>
      </c>
      <c r="L137">
        <v>27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</v>
      </c>
      <c r="T137">
        <v>5</v>
      </c>
      <c r="U137">
        <v>4</v>
      </c>
      <c r="V137">
        <v>7</v>
      </c>
      <c r="W137">
        <v>3</v>
      </c>
      <c r="X137">
        <v>1</v>
      </c>
      <c r="Y137">
        <v>4</v>
      </c>
      <c r="Z137">
        <v>0</v>
      </c>
      <c r="AA137">
        <v>0</v>
      </c>
      <c r="AB137" t="s">
        <v>131</v>
      </c>
      <c r="AC137" t="s">
        <v>35</v>
      </c>
      <c r="AD137" t="s">
        <v>35</v>
      </c>
      <c r="AE137">
        <v>2</v>
      </c>
      <c r="AF137">
        <v>0</v>
      </c>
      <c r="AG137" t="s">
        <v>783</v>
      </c>
      <c r="AL137" t="s">
        <v>35</v>
      </c>
      <c r="AM137" t="s">
        <v>34</v>
      </c>
    </row>
    <row r="138" spans="1:40" x14ac:dyDescent="0.2">
      <c r="A138" s="2">
        <v>45985.518333333333</v>
      </c>
      <c r="B138" t="s">
        <v>788</v>
      </c>
      <c r="C138" t="s">
        <v>522</v>
      </c>
      <c r="D138" t="s">
        <v>523</v>
      </c>
      <c r="E138" t="s">
        <v>789</v>
      </c>
      <c r="F138" t="s">
        <v>790</v>
      </c>
      <c r="G138" t="s">
        <v>791</v>
      </c>
      <c r="H138" t="s">
        <v>792</v>
      </c>
      <c r="I138" t="s">
        <v>93</v>
      </c>
      <c r="J138" t="s">
        <v>188</v>
      </c>
      <c r="K138">
        <v>602</v>
      </c>
      <c r="L138">
        <v>25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</v>
      </c>
      <c r="T138">
        <v>5</v>
      </c>
      <c r="U138">
        <v>4</v>
      </c>
      <c r="V138">
        <v>7</v>
      </c>
      <c r="W138">
        <v>5</v>
      </c>
      <c r="X138">
        <v>0</v>
      </c>
      <c r="Y138">
        <v>0</v>
      </c>
      <c r="Z138">
        <v>0</v>
      </c>
      <c r="AA138">
        <v>0</v>
      </c>
      <c r="AB138" t="s">
        <v>62</v>
      </c>
      <c r="AC138" t="s">
        <v>35</v>
      </c>
      <c r="AD138" t="s">
        <v>35</v>
      </c>
      <c r="AE138">
        <v>1</v>
      </c>
      <c r="AF138">
        <v>1</v>
      </c>
      <c r="AG138" t="s">
        <v>793</v>
      </c>
      <c r="AH138">
        <v>1</v>
      </c>
      <c r="AL138" t="s">
        <v>35</v>
      </c>
      <c r="AM138" t="s">
        <v>34</v>
      </c>
    </row>
    <row r="139" spans="1:40" x14ac:dyDescent="0.2">
      <c r="A139" s="2">
        <v>45993.530486111107</v>
      </c>
      <c r="B139" t="s">
        <v>794</v>
      </c>
      <c r="C139" t="s">
        <v>522</v>
      </c>
      <c r="D139" t="s">
        <v>523</v>
      </c>
      <c r="E139" t="s">
        <v>789</v>
      </c>
      <c r="F139" t="s">
        <v>789</v>
      </c>
      <c r="G139">
        <v>89263308364</v>
      </c>
      <c r="H139" t="s">
        <v>795</v>
      </c>
      <c r="I139" t="s">
        <v>796</v>
      </c>
      <c r="J139" t="s">
        <v>34</v>
      </c>
      <c r="K139">
        <v>35</v>
      </c>
      <c r="L139">
        <v>38</v>
      </c>
      <c r="M139">
        <v>35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101</v>
      </c>
      <c r="AC139" t="s">
        <v>35</v>
      </c>
      <c r="AD139" t="s">
        <v>35</v>
      </c>
      <c r="AE139">
        <v>3</v>
      </c>
      <c r="AF139">
        <v>0</v>
      </c>
      <c r="AG139" t="s">
        <v>797</v>
      </c>
      <c r="AL139" t="s">
        <v>34</v>
      </c>
      <c r="AM139" t="s">
        <v>34</v>
      </c>
    </row>
    <row r="140" spans="1:40" x14ac:dyDescent="0.2">
      <c r="A140" s="2">
        <v>46000.588206018518</v>
      </c>
      <c r="B140" t="s">
        <v>798</v>
      </c>
      <c r="C140" t="s">
        <v>522</v>
      </c>
      <c r="D140" t="s">
        <v>523</v>
      </c>
      <c r="E140" t="s">
        <v>799</v>
      </c>
      <c r="F140" t="s">
        <v>800</v>
      </c>
      <c r="G140" t="s">
        <v>801</v>
      </c>
      <c r="H140" t="s">
        <v>802</v>
      </c>
      <c r="I140" t="s">
        <v>49</v>
      </c>
      <c r="J140" t="s">
        <v>34</v>
      </c>
      <c r="K140">
        <v>10</v>
      </c>
      <c r="L140">
        <v>10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4</v>
      </c>
      <c r="T140">
        <v>2</v>
      </c>
      <c r="U140">
        <v>0</v>
      </c>
      <c r="V140">
        <v>1</v>
      </c>
      <c r="W140">
        <v>1</v>
      </c>
      <c r="X140">
        <v>2</v>
      </c>
      <c r="Y140">
        <v>0</v>
      </c>
      <c r="Z140">
        <v>0</v>
      </c>
      <c r="AA140">
        <v>0</v>
      </c>
      <c r="AB140" t="s">
        <v>189</v>
      </c>
      <c r="AC140" t="s">
        <v>34</v>
      </c>
      <c r="AD140" t="s">
        <v>34</v>
      </c>
      <c r="AE140">
        <v>0</v>
      </c>
      <c r="AF140">
        <v>0</v>
      </c>
      <c r="AG140" t="s">
        <v>56</v>
      </c>
      <c r="AL140" t="s">
        <v>34</v>
      </c>
      <c r="AM140" t="s">
        <v>34</v>
      </c>
    </row>
    <row r="141" spans="1:40" x14ac:dyDescent="0.2">
      <c r="A141" s="2">
        <v>45989.409918981481</v>
      </c>
      <c r="B141" t="s">
        <v>803</v>
      </c>
      <c r="C141" t="s">
        <v>522</v>
      </c>
      <c r="D141" t="s">
        <v>523</v>
      </c>
      <c r="E141" t="s">
        <v>804</v>
      </c>
      <c r="F141" t="s">
        <v>805</v>
      </c>
      <c r="G141" t="s">
        <v>806</v>
      </c>
      <c r="H141" t="s">
        <v>807</v>
      </c>
      <c r="I141" t="s">
        <v>49</v>
      </c>
      <c r="J141" t="s">
        <v>34</v>
      </c>
      <c r="K141">
        <v>150</v>
      </c>
      <c r="L141">
        <v>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C141" t="s">
        <v>35</v>
      </c>
      <c r="AD141" t="s">
        <v>35</v>
      </c>
      <c r="AE141">
        <v>1</v>
      </c>
      <c r="AF141">
        <v>0</v>
      </c>
      <c r="AG141" t="s">
        <v>48</v>
      </c>
      <c r="AL141" t="s">
        <v>35</v>
      </c>
      <c r="AM141" t="s">
        <v>34</v>
      </c>
    </row>
    <row r="142" spans="1:40" x14ac:dyDescent="0.2">
      <c r="A142" s="2">
        <v>46000.572928240741</v>
      </c>
      <c r="B142" t="s">
        <v>808</v>
      </c>
      <c r="C142" t="s">
        <v>522</v>
      </c>
      <c r="D142" t="s">
        <v>523</v>
      </c>
      <c r="E142" t="s">
        <v>809</v>
      </c>
      <c r="F142" t="s">
        <v>810</v>
      </c>
      <c r="G142">
        <v>84962585083</v>
      </c>
      <c r="H142" t="s">
        <v>811</v>
      </c>
      <c r="I142" t="s">
        <v>49</v>
      </c>
      <c r="J142" t="s">
        <v>34</v>
      </c>
      <c r="K142">
        <v>32</v>
      </c>
      <c r="L142">
        <v>32</v>
      </c>
      <c r="M142">
        <v>3</v>
      </c>
      <c r="N142">
        <v>1</v>
      </c>
      <c r="O142">
        <v>2</v>
      </c>
      <c r="P142">
        <v>1</v>
      </c>
      <c r="Q142">
        <v>7</v>
      </c>
      <c r="R142">
        <v>8</v>
      </c>
      <c r="S142">
        <v>3</v>
      </c>
      <c r="T142">
        <v>2</v>
      </c>
      <c r="U142">
        <v>4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 t="s">
        <v>189</v>
      </c>
      <c r="AC142" t="s">
        <v>34</v>
      </c>
      <c r="AD142" t="s">
        <v>34</v>
      </c>
      <c r="AE142">
        <v>0</v>
      </c>
      <c r="AF142">
        <v>0</v>
      </c>
      <c r="AG142" t="s">
        <v>56</v>
      </c>
      <c r="AL142" t="s">
        <v>34</v>
      </c>
      <c r="AM142" t="s">
        <v>34</v>
      </c>
    </row>
    <row r="143" spans="1:40" x14ac:dyDescent="0.2">
      <c r="A143" s="2">
        <v>45993.736400462964</v>
      </c>
      <c r="B143" t="s">
        <v>565</v>
      </c>
      <c r="C143" t="s">
        <v>522</v>
      </c>
      <c r="D143" t="s">
        <v>523</v>
      </c>
      <c r="E143" t="s">
        <v>567</v>
      </c>
      <c r="F143" t="s">
        <v>568</v>
      </c>
      <c r="G143">
        <v>89651490220</v>
      </c>
      <c r="H143" t="s">
        <v>569</v>
      </c>
      <c r="I143" t="s">
        <v>570</v>
      </c>
      <c r="J143" t="s">
        <v>34</v>
      </c>
      <c r="K143">
        <v>300</v>
      </c>
      <c r="L143">
        <v>22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</v>
      </c>
      <c r="U143">
        <v>0</v>
      </c>
      <c r="V143">
        <v>0</v>
      </c>
      <c r="W143">
        <v>5</v>
      </c>
      <c r="X143">
        <v>4</v>
      </c>
      <c r="Y143">
        <v>4</v>
      </c>
      <c r="Z143">
        <v>4</v>
      </c>
      <c r="AA143">
        <v>3</v>
      </c>
      <c r="AB143" t="s">
        <v>108</v>
      </c>
      <c r="AC143" t="s">
        <v>35</v>
      </c>
      <c r="AD143" t="s">
        <v>35</v>
      </c>
      <c r="AE143">
        <v>2</v>
      </c>
      <c r="AF143">
        <v>1</v>
      </c>
      <c r="AG143" t="s">
        <v>571</v>
      </c>
      <c r="AL143" t="s">
        <v>35</v>
      </c>
      <c r="AM143" t="s">
        <v>35</v>
      </c>
      <c r="AN143" t="s">
        <v>48</v>
      </c>
    </row>
    <row r="144" spans="1:40" x14ac:dyDescent="0.2">
      <c r="A144" s="2">
        <v>45975.610023148147</v>
      </c>
      <c r="B144" t="s">
        <v>836</v>
      </c>
      <c r="C144" t="s">
        <v>813</v>
      </c>
      <c r="D144" t="s">
        <v>837</v>
      </c>
      <c r="E144" t="s">
        <v>828</v>
      </c>
      <c r="F144" t="s">
        <v>838</v>
      </c>
      <c r="G144">
        <v>88317950141</v>
      </c>
      <c r="H144" t="s">
        <v>839</v>
      </c>
      <c r="I144" t="s">
        <v>840</v>
      </c>
      <c r="J144" t="s">
        <v>34</v>
      </c>
      <c r="K144">
        <v>157</v>
      </c>
      <c r="L144">
        <v>35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2</v>
      </c>
      <c r="T144">
        <v>5</v>
      </c>
      <c r="U144">
        <v>13</v>
      </c>
      <c r="V144">
        <v>12</v>
      </c>
      <c r="W144">
        <v>2</v>
      </c>
      <c r="X144">
        <v>0</v>
      </c>
      <c r="Y144">
        <v>0</v>
      </c>
      <c r="Z144">
        <v>0</v>
      </c>
      <c r="AA144">
        <v>0</v>
      </c>
      <c r="AB144" t="s">
        <v>50</v>
      </c>
      <c r="AC144" t="s">
        <v>34</v>
      </c>
      <c r="AD144" t="s">
        <v>35</v>
      </c>
      <c r="AE144">
        <v>1</v>
      </c>
      <c r="AF144">
        <v>0</v>
      </c>
      <c r="AG144" t="s">
        <v>56</v>
      </c>
      <c r="AL144" t="s">
        <v>34</v>
      </c>
      <c r="AM144" t="s">
        <v>34</v>
      </c>
    </row>
    <row r="145" spans="1:40" x14ac:dyDescent="0.2">
      <c r="A145" s="2">
        <v>45984.854120370372</v>
      </c>
      <c r="B145" t="s">
        <v>885</v>
      </c>
      <c r="C145" t="s">
        <v>813</v>
      </c>
      <c r="D145" t="s">
        <v>837</v>
      </c>
      <c r="E145" t="s">
        <v>886</v>
      </c>
      <c r="F145" t="s">
        <v>887</v>
      </c>
      <c r="G145">
        <v>88317021754</v>
      </c>
      <c r="H145" t="s">
        <v>888</v>
      </c>
      <c r="I145" t="s">
        <v>889</v>
      </c>
      <c r="J145" t="s">
        <v>34</v>
      </c>
      <c r="K145">
        <v>450</v>
      </c>
      <c r="L145">
        <v>120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10</v>
      </c>
      <c r="S145">
        <v>10</v>
      </c>
      <c r="T145">
        <v>10</v>
      </c>
      <c r="U145">
        <v>15</v>
      </c>
      <c r="V145">
        <v>13</v>
      </c>
      <c r="W145">
        <v>15</v>
      </c>
      <c r="X145">
        <v>13</v>
      </c>
      <c r="Y145">
        <v>13</v>
      </c>
      <c r="Z145">
        <v>12</v>
      </c>
      <c r="AA145">
        <v>9</v>
      </c>
      <c r="AB145" t="s">
        <v>189</v>
      </c>
      <c r="AC145" t="s">
        <v>34</v>
      </c>
      <c r="AD145" t="s">
        <v>35</v>
      </c>
      <c r="AE145">
        <v>1</v>
      </c>
      <c r="AF145">
        <v>0</v>
      </c>
      <c r="AG145" t="s">
        <v>890</v>
      </c>
      <c r="AI145">
        <v>1</v>
      </c>
      <c r="AL145" t="s">
        <v>35</v>
      </c>
      <c r="AM145" t="s">
        <v>34</v>
      </c>
      <c r="AN145" t="s">
        <v>891</v>
      </c>
    </row>
    <row r="146" spans="1:40" x14ac:dyDescent="0.2">
      <c r="A146" s="2">
        <v>45975.506249999999</v>
      </c>
      <c r="B146" t="s">
        <v>902</v>
      </c>
      <c r="C146" t="s">
        <v>813</v>
      </c>
      <c r="D146" t="s">
        <v>837</v>
      </c>
      <c r="E146" t="s">
        <v>903</v>
      </c>
      <c r="F146" t="s">
        <v>904</v>
      </c>
      <c r="G146">
        <v>8317254273</v>
      </c>
      <c r="H146" t="s">
        <v>905</v>
      </c>
      <c r="I146" t="s">
        <v>49</v>
      </c>
      <c r="J146" t="s">
        <v>34</v>
      </c>
      <c r="K146">
        <v>151</v>
      </c>
      <c r="L146">
        <v>31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4</v>
      </c>
      <c r="S146">
        <v>2</v>
      </c>
      <c r="T146">
        <v>6</v>
      </c>
      <c r="U146">
        <v>9</v>
      </c>
      <c r="V146">
        <v>2</v>
      </c>
      <c r="W146">
        <v>4</v>
      </c>
      <c r="X146">
        <v>4</v>
      </c>
      <c r="Y146">
        <v>0</v>
      </c>
      <c r="Z146">
        <v>0</v>
      </c>
      <c r="AA146">
        <v>0</v>
      </c>
      <c r="AB146" t="s">
        <v>108</v>
      </c>
      <c r="AC146" t="s">
        <v>35</v>
      </c>
      <c r="AD146" t="s">
        <v>35</v>
      </c>
      <c r="AE146">
        <v>1</v>
      </c>
      <c r="AF146">
        <v>0</v>
      </c>
      <c r="AG146">
        <v>0</v>
      </c>
      <c r="AL146" t="s">
        <v>35</v>
      </c>
      <c r="AM146" t="s">
        <v>34</v>
      </c>
    </row>
    <row r="147" spans="1:40" x14ac:dyDescent="0.2">
      <c r="A147" s="2">
        <v>45980.76840277778</v>
      </c>
      <c r="B147" t="s">
        <v>906</v>
      </c>
      <c r="C147" t="s">
        <v>813</v>
      </c>
      <c r="D147" t="s">
        <v>837</v>
      </c>
      <c r="E147" t="s">
        <v>907</v>
      </c>
      <c r="F147" t="s">
        <v>908</v>
      </c>
      <c r="G147">
        <v>88314041782</v>
      </c>
      <c r="H147" t="s">
        <v>909</v>
      </c>
      <c r="I147" t="s">
        <v>906</v>
      </c>
      <c r="J147" t="s">
        <v>34</v>
      </c>
      <c r="K147">
        <v>60</v>
      </c>
      <c r="L147">
        <v>20</v>
      </c>
      <c r="M147">
        <v>4</v>
      </c>
      <c r="N147">
        <v>0</v>
      </c>
      <c r="O147">
        <v>1</v>
      </c>
      <c r="P147">
        <v>0</v>
      </c>
      <c r="Q147">
        <v>2</v>
      </c>
      <c r="R147">
        <v>1</v>
      </c>
      <c r="S147">
        <v>1</v>
      </c>
      <c r="T147">
        <v>2</v>
      </c>
      <c r="U147">
        <v>0</v>
      </c>
      <c r="V147">
        <v>0</v>
      </c>
      <c r="W147">
        <v>0</v>
      </c>
      <c r="X147">
        <v>2</v>
      </c>
      <c r="Y147">
        <v>7</v>
      </c>
      <c r="Z147">
        <v>0</v>
      </c>
      <c r="AA147">
        <v>0</v>
      </c>
      <c r="AB147" t="s">
        <v>62</v>
      </c>
      <c r="AC147" t="s">
        <v>35</v>
      </c>
      <c r="AD147" t="s">
        <v>35</v>
      </c>
      <c r="AE147">
        <v>1</v>
      </c>
      <c r="AF147">
        <v>0</v>
      </c>
      <c r="AG147" t="s">
        <v>910</v>
      </c>
      <c r="AL147" t="s">
        <v>34</v>
      </c>
      <c r="AM147" t="s">
        <v>34</v>
      </c>
    </row>
    <row r="148" spans="1:40" x14ac:dyDescent="0.2">
      <c r="A148" s="2">
        <v>45995.538645833331</v>
      </c>
      <c r="B148" t="s">
        <v>925</v>
      </c>
      <c r="C148" t="s">
        <v>813</v>
      </c>
      <c r="D148" t="s">
        <v>837</v>
      </c>
      <c r="E148" t="s">
        <v>926</v>
      </c>
      <c r="F148" t="s">
        <v>927</v>
      </c>
      <c r="G148" t="s">
        <v>928</v>
      </c>
      <c r="H148" t="s">
        <v>929</v>
      </c>
      <c r="I148" t="s">
        <v>930</v>
      </c>
      <c r="J148" t="s">
        <v>34</v>
      </c>
      <c r="K148">
        <v>78</v>
      </c>
      <c r="L148">
        <v>16</v>
      </c>
      <c r="M148">
        <v>0</v>
      </c>
      <c r="N148">
        <v>0</v>
      </c>
      <c r="O148">
        <v>0</v>
      </c>
      <c r="P148">
        <v>5</v>
      </c>
      <c r="Q148">
        <v>5</v>
      </c>
      <c r="R148">
        <v>5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266</v>
      </c>
      <c r="AC148" t="s">
        <v>34</v>
      </c>
      <c r="AD148" t="s">
        <v>34</v>
      </c>
      <c r="AE148">
        <v>1</v>
      </c>
      <c r="AF148">
        <v>0</v>
      </c>
      <c r="AG148" t="s">
        <v>56</v>
      </c>
      <c r="AL148" t="s">
        <v>34</v>
      </c>
      <c r="AM148" t="s">
        <v>34</v>
      </c>
    </row>
    <row r="149" spans="1:40" x14ac:dyDescent="0.2">
      <c r="A149" s="2">
        <v>45980.497731481482</v>
      </c>
      <c r="B149" t="s">
        <v>931</v>
      </c>
      <c r="C149" t="s">
        <v>813</v>
      </c>
      <c r="D149" t="s">
        <v>837</v>
      </c>
      <c r="E149" t="s">
        <v>932</v>
      </c>
      <c r="F149" t="s">
        <v>933</v>
      </c>
      <c r="G149">
        <v>8317734222</v>
      </c>
      <c r="H149" t="s">
        <v>934</v>
      </c>
      <c r="I149" t="s">
        <v>33</v>
      </c>
      <c r="J149" t="s">
        <v>34</v>
      </c>
      <c r="K149">
        <v>400</v>
      </c>
      <c r="L149">
        <v>61</v>
      </c>
      <c r="M149">
        <v>2</v>
      </c>
      <c r="N149">
        <v>0</v>
      </c>
      <c r="O149">
        <v>0</v>
      </c>
      <c r="P149">
        <v>0</v>
      </c>
      <c r="Q149">
        <v>2</v>
      </c>
      <c r="R149">
        <v>3</v>
      </c>
      <c r="S149">
        <v>6</v>
      </c>
      <c r="T149">
        <v>6</v>
      </c>
      <c r="U149">
        <v>10</v>
      </c>
      <c r="V149">
        <v>1</v>
      </c>
      <c r="W149">
        <v>6</v>
      </c>
      <c r="X149">
        <v>8</v>
      </c>
      <c r="Y149">
        <v>9</v>
      </c>
      <c r="Z149">
        <v>7</v>
      </c>
      <c r="AA149">
        <v>1</v>
      </c>
      <c r="AB149" t="s">
        <v>94</v>
      </c>
      <c r="AC149" t="s">
        <v>35</v>
      </c>
      <c r="AD149" t="s">
        <v>34</v>
      </c>
      <c r="AE149">
        <v>2</v>
      </c>
      <c r="AF149">
        <v>1</v>
      </c>
      <c r="AG149" t="s">
        <v>935</v>
      </c>
      <c r="AL149" t="s">
        <v>34</v>
      </c>
      <c r="AM149" t="s">
        <v>34</v>
      </c>
    </row>
    <row r="150" spans="1:40" x14ac:dyDescent="0.2">
      <c r="A150" s="2">
        <v>45975.639201388891</v>
      </c>
      <c r="B150" t="s">
        <v>948</v>
      </c>
      <c r="C150" t="s">
        <v>813</v>
      </c>
      <c r="D150" t="s">
        <v>837</v>
      </c>
      <c r="E150" t="s">
        <v>949</v>
      </c>
      <c r="F150" t="s">
        <v>950</v>
      </c>
      <c r="G150" t="s">
        <v>951</v>
      </c>
      <c r="H150" t="s">
        <v>952</v>
      </c>
      <c r="I150" t="s">
        <v>49</v>
      </c>
      <c r="J150" t="s">
        <v>34</v>
      </c>
      <c r="K150">
        <v>91</v>
      </c>
      <c r="L150">
        <v>40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4</v>
      </c>
      <c r="V150">
        <v>8</v>
      </c>
      <c r="W150">
        <v>14</v>
      </c>
      <c r="X150">
        <v>2</v>
      </c>
      <c r="Y150">
        <v>5</v>
      </c>
      <c r="Z150">
        <v>3</v>
      </c>
      <c r="AA150">
        <v>2</v>
      </c>
      <c r="AB150" t="s">
        <v>953</v>
      </c>
      <c r="AC150" t="s">
        <v>34</v>
      </c>
      <c r="AD150" t="s">
        <v>34</v>
      </c>
      <c r="AE150">
        <v>2</v>
      </c>
      <c r="AF150">
        <v>1</v>
      </c>
      <c r="AG150" t="s">
        <v>954</v>
      </c>
      <c r="AL150" t="s">
        <v>35</v>
      </c>
      <c r="AM150" t="s">
        <v>35</v>
      </c>
      <c r="AN150" t="s">
        <v>955</v>
      </c>
    </row>
    <row r="151" spans="1:40" x14ac:dyDescent="0.2">
      <c r="A151" s="2">
        <v>45980.467118055552</v>
      </c>
      <c r="B151" t="s">
        <v>956</v>
      </c>
      <c r="C151" t="s">
        <v>813</v>
      </c>
      <c r="D151" t="s">
        <v>837</v>
      </c>
      <c r="E151" t="s">
        <v>949</v>
      </c>
      <c r="F151" t="s">
        <v>957</v>
      </c>
      <c r="G151">
        <v>89524596209</v>
      </c>
      <c r="H151" t="s">
        <v>958</v>
      </c>
      <c r="I151" t="s">
        <v>959</v>
      </c>
      <c r="J151" t="s">
        <v>34</v>
      </c>
      <c r="K151">
        <v>28</v>
      </c>
      <c r="L151">
        <v>28</v>
      </c>
      <c r="M151">
        <v>10</v>
      </c>
      <c r="N151">
        <v>0</v>
      </c>
      <c r="O151">
        <v>2</v>
      </c>
      <c r="P151">
        <v>8</v>
      </c>
      <c r="Q151">
        <v>3</v>
      </c>
      <c r="R151">
        <v>0</v>
      </c>
      <c r="S151">
        <v>1</v>
      </c>
      <c r="T151">
        <v>0</v>
      </c>
      <c r="U151">
        <v>2</v>
      </c>
      <c r="V151">
        <v>0</v>
      </c>
      <c r="W151">
        <v>2</v>
      </c>
      <c r="X151">
        <v>0</v>
      </c>
      <c r="Y151">
        <v>0</v>
      </c>
      <c r="Z151">
        <v>0</v>
      </c>
      <c r="AA151">
        <v>0</v>
      </c>
      <c r="AB151" t="s">
        <v>50</v>
      </c>
      <c r="AC151" t="s">
        <v>34</v>
      </c>
      <c r="AD151" t="s">
        <v>35</v>
      </c>
      <c r="AE151">
        <v>2</v>
      </c>
      <c r="AF151">
        <v>0</v>
      </c>
      <c r="AG151" t="s">
        <v>960</v>
      </c>
      <c r="AL151" t="s">
        <v>34</v>
      </c>
      <c r="AM151" t="s">
        <v>34</v>
      </c>
    </row>
    <row r="152" spans="1:40" x14ac:dyDescent="0.2">
      <c r="A152" s="2">
        <v>45993.595694444448</v>
      </c>
      <c r="B152" t="s">
        <v>1115</v>
      </c>
      <c r="C152" t="s">
        <v>813</v>
      </c>
      <c r="D152" t="s">
        <v>837</v>
      </c>
      <c r="E152" t="s">
        <v>1116</v>
      </c>
      <c r="F152" t="s">
        <v>1117</v>
      </c>
      <c r="G152">
        <v>88314521013</v>
      </c>
      <c r="H152" t="s">
        <v>1118</v>
      </c>
      <c r="I152" t="s">
        <v>41</v>
      </c>
      <c r="J152" t="s">
        <v>34</v>
      </c>
      <c r="K152">
        <v>50</v>
      </c>
      <c r="L152">
        <v>15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5</v>
      </c>
      <c r="W152">
        <v>5</v>
      </c>
      <c r="X152">
        <v>5</v>
      </c>
      <c r="Y152">
        <v>0</v>
      </c>
      <c r="Z152">
        <v>0</v>
      </c>
      <c r="AA152">
        <v>0</v>
      </c>
      <c r="AC152" t="s">
        <v>35</v>
      </c>
      <c r="AD152" t="s">
        <v>35</v>
      </c>
      <c r="AE152">
        <v>1</v>
      </c>
      <c r="AF152">
        <v>0</v>
      </c>
      <c r="AG152">
        <v>0</v>
      </c>
      <c r="AL152" t="s">
        <v>34</v>
      </c>
      <c r="AM152" t="s">
        <v>34</v>
      </c>
    </row>
    <row r="153" spans="1:40" x14ac:dyDescent="0.2">
      <c r="A153" s="2">
        <v>45978.603437500002</v>
      </c>
      <c r="B153" t="s">
        <v>1129</v>
      </c>
      <c r="C153" t="s">
        <v>813</v>
      </c>
      <c r="D153" t="s">
        <v>837</v>
      </c>
      <c r="E153" t="s">
        <v>1130</v>
      </c>
      <c r="F153" t="s">
        <v>1131</v>
      </c>
      <c r="G153">
        <v>88317659232</v>
      </c>
      <c r="H153" t="s">
        <v>1132</v>
      </c>
      <c r="I153" t="s">
        <v>1133</v>
      </c>
      <c r="J153" t="s">
        <v>34</v>
      </c>
      <c r="K153">
        <v>279</v>
      </c>
      <c r="L153">
        <v>60</v>
      </c>
      <c r="M153" s="4">
        <v>0</v>
      </c>
      <c r="N153" s="4">
        <v>0</v>
      </c>
      <c r="O153" s="4">
        <v>1</v>
      </c>
      <c r="P153" s="4">
        <v>2</v>
      </c>
      <c r="Q153" s="4">
        <v>1</v>
      </c>
      <c r="R153" s="4">
        <v>4</v>
      </c>
      <c r="S153" s="4">
        <v>7</v>
      </c>
      <c r="T153" s="4">
        <v>7</v>
      </c>
      <c r="U153" s="4">
        <v>6</v>
      </c>
      <c r="V153" s="4">
        <v>5</v>
      </c>
      <c r="W153" s="4">
        <v>15</v>
      </c>
      <c r="X153" s="4">
        <v>3</v>
      </c>
      <c r="Y153" s="4">
        <v>3</v>
      </c>
      <c r="Z153" s="4">
        <v>5</v>
      </c>
      <c r="AA153" s="4">
        <v>1</v>
      </c>
      <c r="AB153" t="s">
        <v>824</v>
      </c>
      <c r="AC153" t="s">
        <v>35</v>
      </c>
      <c r="AD153" t="s">
        <v>35</v>
      </c>
      <c r="AE153">
        <v>2</v>
      </c>
      <c r="AF153">
        <v>0</v>
      </c>
      <c r="AG153" t="s">
        <v>1134</v>
      </c>
      <c r="AL153" t="s">
        <v>35</v>
      </c>
      <c r="AM153" t="s">
        <v>34</v>
      </c>
      <c r="AN153" t="s">
        <v>34</v>
      </c>
    </row>
    <row r="154" spans="1:40" x14ac:dyDescent="0.2">
      <c r="A154" s="2">
        <v>45981.362013888887</v>
      </c>
      <c r="B154" t="s">
        <v>1182</v>
      </c>
      <c r="C154" t="s">
        <v>813</v>
      </c>
      <c r="D154" t="s">
        <v>837</v>
      </c>
      <c r="E154" t="s">
        <v>1183</v>
      </c>
      <c r="F154" t="s">
        <v>1184</v>
      </c>
      <c r="G154" t="s">
        <v>1185</v>
      </c>
      <c r="H154" t="s">
        <v>1186</v>
      </c>
      <c r="I154" t="s">
        <v>49</v>
      </c>
      <c r="J154" t="s">
        <v>34</v>
      </c>
      <c r="K154">
        <v>465</v>
      </c>
      <c r="L154">
        <v>40</v>
      </c>
      <c r="M154">
        <v>0</v>
      </c>
      <c r="N154">
        <v>0</v>
      </c>
      <c r="O154">
        <v>0</v>
      </c>
      <c r="P154">
        <v>6</v>
      </c>
      <c r="Q154">
        <v>0</v>
      </c>
      <c r="R154">
        <v>4</v>
      </c>
      <c r="S154">
        <v>1</v>
      </c>
      <c r="T154">
        <v>3</v>
      </c>
      <c r="U154">
        <v>11</v>
      </c>
      <c r="V154">
        <v>13</v>
      </c>
      <c r="W154">
        <v>2</v>
      </c>
      <c r="X154">
        <v>0</v>
      </c>
      <c r="Y154">
        <v>0</v>
      </c>
      <c r="Z154">
        <v>0</v>
      </c>
      <c r="AA154">
        <v>0</v>
      </c>
      <c r="AC154" t="s">
        <v>35</v>
      </c>
      <c r="AD154" t="s">
        <v>34</v>
      </c>
      <c r="AE154">
        <v>1</v>
      </c>
      <c r="AF154">
        <v>1</v>
      </c>
      <c r="AG154" t="s">
        <v>48</v>
      </c>
      <c r="AL154" t="s">
        <v>35</v>
      </c>
      <c r="AM154" t="s">
        <v>34</v>
      </c>
      <c r="AN154" t="s">
        <v>1187</v>
      </c>
    </row>
    <row r="155" spans="1:40" x14ac:dyDescent="0.2">
      <c r="A155" s="2">
        <v>45975.490104166667</v>
      </c>
      <c r="B155" t="s">
        <v>1223</v>
      </c>
      <c r="C155" t="s">
        <v>813</v>
      </c>
      <c r="D155" t="s">
        <v>837</v>
      </c>
      <c r="E155" t="s">
        <v>1224</v>
      </c>
      <c r="F155" t="s">
        <v>1225</v>
      </c>
      <c r="G155" t="s">
        <v>1226</v>
      </c>
      <c r="H155" t="s">
        <v>1227</v>
      </c>
      <c r="I155" t="s">
        <v>1228</v>
      </c>
      <c r="J155" t="s">
        <v>34</v>
      </c>
      <c r="K155">
        <v>160</v>
      </c>
      <c r="L155">
        <v>92</v>
      </c>
      <c r="M155">
        <v>14</v>
      </c>
      <c r="N155">
        <v>3</v>
      </c>
      <c r="O155">
        <v>3</v>
      </c>
      <c r="P155">
        <v>5</v>
      </c>
      <c r="Q155">
        <v>11</v>
      </c>
      <c r="R155">
        <v>3</v>
      </c>
      <c r="S155">
        <v>13</v>
      </c>
      <c r="T155">
        <v>8</v>
      </c>
      <c r="U155">
        <v>11</v>
      </c>
      <c r="V155">
        <v>4</v>
      </c>
      <c r="W155">
        <v>11</v>
      </c>
      <c r="X155">
        <v>6</v>
      </c>
      <c r="Y155">
        <v>0</v>
      </c>
      <c r="Z155">
        <v>0</v>
      </c>
      <c r="AA155">
        <v>0</v>
      </c>
      <c r="AB155" t="s">
        <v>62</v>
      </c>
      <c r="AC155" t="s">
        <v>34</v>
      </c>
      <c r="AD155" t="s">
        <v>34</v>
      </c>
      <c r="AE155">
        <v>8</v>
      </c>
      <c r="AF155">
        <v>3</v>
      </c>
      <c r="AG155" t="s">
        <v>1229</v>
      </c>
      <c r="AH155">
        <v>2</v>
      </c>
      <c r="AL155" t="s">
        <v>35</v>
      </c>
      <c r="AM155" t="s">
        <v>35</v>
      </c>
    </row>
    <row r="156" spans="1:40" x14ac:dyDescent="0.2">
      <c r="A156" s="2">
        <v>45983.056145833332</v>
      </c>
      <c r="B156" t="s">
        <v>1230</v>
      </c>
      <c r="C156" t="s">
        <v>813</v>
      </c>
      <c r="D156" t="s">
        <v>837</v>
      </c>
      <c r="E156" t="s">
        <v>1224</v>
      </c>
      <c r="F156" t="s">
        <v>1231</v>
      </c>
      <c r="G156">
        <v>-1202</v>
      </c>
      <c r="H156" t="s">
        <v>1232</v>
      </c>
      <c r="I156" t="s">
        <v>1233</v>
      </c>
      <c r="J156" t="s">
        <v>34</v>
      </c>
      <c r="K156">
        <v>160</v>
      </c>
      <c r="L156">
        <v>160</v>
      </c>
      <c r="M156">
        <v>20</v>
      </c>
      <c r="N156">
        <v>1</v>
      </c>
      <c r="O156">
        <v>2</v>
      </c>
      <c r="P156">
        <v>4</v>
      </c>
      <c r="Q156">
        <v>1</v>
      </c>
      <c r="R156">
        <v>8</v>
      </c>
      <c r="S156">
        <v>7</v>
      </c>
      <c r="T156">
        <v>10</v>
      </c>
      <c r="U156">
        <v>12</v>
      </c>
      <c r="V156">
        <v>15</v>
      </c>
      <c r="W156">
        <v>15</v>
      </c>
      <c r="X156">
        <v>20</v>
      </c>
      <c r="Y156">
        <v>20</v>
      </c>
      <c r="Z156">
        <v>15</v>
      </c>
      <c r="AA156">
        <v>10</v>
      </c>
      <c r="AB156" t="s">
        <v>101</v>
      </c>
      <c r="AC156" t="s">
        <v>34</v>
      </c>
      <c r="AD156" t="s">
        <v>34</v>
      </c>
      <c r="AE156">
        <v>2</v>
      </c>
      <c r="AF156">
        <v>0</v>
      </c>
      <c r="AG156" t="s">
        <v>1234</v>
      </c>
      <c r="AL156" t="s">
        <v>34</v>
      </c>
      <c r="AM156" t="s">
        <v>34</v>
      </c>
      <c r="AN156" t="s">
        <v>1235</v>
      </c>
    </row>
    <row r="157" spans="1:40" x14ac:dyDescent="0.2">
      <c r="A157" s="2">
        <v>45975.675162037027</v>
      </c>
      <c r="B157" t="s">
        <v>1236</v>
      </c>
      <c r="C157" t="s">
        <v>813</v>
      </c>
      <c r="D157" t="s">
        <v>837</v>
      </c>
      <c r="E157" t="s">
        <v>1224</v>
      </c>
      <c r="F157" t="s">
        <v>1237</v>
      </c>
      <c r="G157" t="s">
        <v>1238</v>
      </c>
      <c r="H157" t="s">
        <v>1239</v>
      </c>
      <c r="I157" t="s">
        <v>93</v>
      </c>
      <c r="J157" t="s">
        <v>34</v>
      </c>
      <c r="K157">
        <v>993</v>
      </c>
      <c r="L157">
        <v>95</v>
      </c>
      <c r="M157" s="4">
        <v>0</v>
      </c>
      <c r="N157" s="4">
        <v>0</v>
      </c>
      <c r="O157" s="4">
        <v>0</v>
      </c>
      <c r="P157" s="4">
        <v>1</v>
      </c>
      <c r="Q157" s="4">
        <v>9</v>
      </c>
      <c r="R157" s="4">
        <v>7</v>
      </c>
      <c r="S157" s="4">
        <v>5</v>
      </c>
      <c r="T157" s="4">
        <v>9</v>
      </c>
      <c r="U157" s="4">
        <v>17</v>
      </c>
      <c r="V157" s="4">
        <v>15</v>
      </c>
      <c r="W157" s="4">
        <v>6</v>
      </c>
      <c r="X157" s="4">
        <v>8</v>
      </c>
      <c r="Y157" s="4">
        <v>11</v>
      </c>
      <c r="Z157" s="4">
        <v>4</v>
      </c>
      <c r="AA157" s="4">
        <v>3</v>
      </c>
      <c r="AB157" t="s">
        <v>696</v>
      </c>
      <c r="AC157" t="s">
        <v>35</v>
      </c>
      <c r="AD157" t="s">
        <v>35</v>
      </c>
      <c r="AE157">
        <v>3</v>
      </c>
      <c r="AF157">
        <v>0</v>
      </c>
      <c r="AG157" t="s">
        <v>1240</v>
      </c>
      <c r="AH157">
        <v>2</v>
      </c>
      <c r="AL157" t="s">
        <v>35</v>
      </c>
      <c r="AM157" t="s">
        <v>34</v>
      </c>
    </row>
    <row r="158" spans="1:40" x14ac:dyDescent="0.2">
      <c r="A158" s="2">
        <v>45992.370995370373</v>
      </c>
      <c r="B158" t="s">
        <v>1241</v>
      </c>
      <c r="C158" t="s">
        <v>813</v>
      </c>
      <c r="D158" t="s">
        <v>837</v>
      </c>
      <c r="E158" t="s">
        <v>1224</v>
      </c>
      <c r="F158" t="s">
        <v>1242</v>
      </c>
      <c r="G158">
        <v>2814220</v>
      </c>
      <c r="H158" t="s">
        <v>1243</v>
      </c>
      <c r="I158" t="s">
        <v>41</v>
      </c>
      <c r="J158" t="s">
        <v>34</v>
      </c>
      <c r="K158">
        <v>300</v>
      </c>
      <c r="L158">
        <v>153</v>
      </c>
      <c r="M158" s="4">
        <v>0</v>
      </c>
      <c r="N158" s="4">
        <v>0</v>
      </c>
      <c r="O158" s="4">
        <v>0</v>
      </c>
      <c r="P158" s="4">
        <v>0</v>
      </c>
      <c r="Q158" s="4">
        <v>3</v>
      </c>
      <c r="R158" s="4">
        <v>12</v>
      </c>
      <c r="S158" s="4">
        <v>14</v>
      </c>
      <c r="T158" s="4">
        <v>12</v>
      </c>
      <c r="U158" s="4">
        <v>12</v>
      </c>
      <c r="V158" s="4">
        <v>10</v>
      </c>
      <c r="W158" s="4">
        <v>10</v>
      </c>
      <c r="X158" s="4">
        <v>10</v>
      </c>
      <c r="Y158" s="4">
        <v>20</v>
      </c>
      <c r="Z158" s="4">
        <v>25</v>
      </c>
      <c r="AA158" s="4">
        <v>25</v>
      </c>
      <c r="AB158" t="s">
        <v>696</v>
      </c>
      <c r="AC158" t="s">
        <v>34</v>
      </c>
      <c r="AD158" t="s">
        <v>34</v>
      </c>
      <c r="AE158">
        <v>5</v>
      </c>
      <c r="AF158">
        <v>2</v>
      </c>
      <c r="AG158" t="s">
        <v>48</v>
      </c>
      <c r="AL158" t="s">
        <v>35</v>
      </c>
      <c r="AM158" t="s">
        <v>34</v>
      </c>
    </row>
    <row r="159" spans="1:40" x14ac:dyDescent="0.2">
      <c r="A159" s="2">
        <v>45980.632488425923</v>
      </c>
      <c r="B159" t="s">
        <v>1244</v>
      </c>
      <c r="C159" t="s">
        <v>813</v>
      </c>
      <c r="D159" t="s">
        <v>837</v>
      </c>
      <c r="E159" t="s">
        <v>1245</v>
      </c>
      <c r="F159" t="s">
        <v>1246</v>
      </c>
      <c r="G159">
        <v>89202948364</v>
      </c>
      <c r="H159" t="s">
        <v>1247</v>
      </c>
      <c r="I159" t="s">
        <v>1248</v>
      </c>
      <c r="J159" t="s">
        <v>188</v>
      </c>
      <c r="K159">
        <v>500</v>
      </c>
      <c r="L159">
        <v>209</v>
      </c>
      <c r="M159">
        <v>1</v>
      </c>
      <c r="N159">
        <v>3</v>
      </c>
      <c r="O159">
        <v>5</v>
      </c>
      <c r="P159">
        <v>10</v>
      </c>
      <c r="Q159">
        <v>15</v>
      </c>
      <c r="R159">
        <v>10</v>
      </c>
      <c r="S159">
        <v>10</v>
      </c>
      <c r="T159">
        <v>25</v>
      </c>
      <c r="U159">
        <v>20</v>
      </c>
      <c r="V159">
        <v>20</v>
      </c>
      <c r="W159">
        <v>20</v>
      </c>
      <c r="X159">
        <v>25</v>
      </c>
      <c r="Y159">
        <v>25</v>
      </c>
      <c r="Z159">
        <v>10</v>
      </c>
      <c r="AA159">
        <v>10</v>
      </c>
      <c r="AB159" t="s">
        <v>131</v>
      </c>
      <c r="AC159" t="s">
        <v>35</v>
      </c>
      <c r="AD159" t="s">
        <v>35</v>
      </c>
      <c r="AE159">
        <v>5</v>
      </c>
      <c r="AF159">
        <v>0</v>
      </c>
      <c r="AG159" t="s">
        <v>1249</v>
      </c>
      <c r="AH159">
        <v>1</v>
      </c>
      <c r="AI159">
        <v>4</v>
      </c>
      <c r="AL159" t="s">
        <v>35</v>
      </c>
      <c r="AM159" t="s">
        <v>34</v>
      </c>
    </row>
    <row r="160" spans="1:40" x14ac:dyDescent="0.2">
      <c r="A160" s="2">
        <v>45979.503912037027</v>
      </c>
      <c r="B160" t="s">
        <v>1250</v>
      </c>
      <c r="C160" t="s">
        <v>813</v>
      </c>
      <c r="D160" t="s">
        <v>837</v>
      </c>
      <c r="E160" t="s">
        <v>1245</v>
      </c>
      <c r="F160" t="s">
        <v>1251</v>
      </c>
      <c r="G160" t="s">
        <v>1252</v>
      </c>
      <c r="H160" t="s">
        <v>1253</v>
      </c>
      <c r="I160" t="s">
        <v>1254</v>
      </c>
      <c r="J160" t="s">
        <v>34</v>
      </c>
      <c r="K160">
        <v>40</v>
      </c>
      <c r="L160">
        <v>21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8</v>
      </c>
      <c r="Y160">
        <v>13</v>
      </c>
      <c r="Z160">
        <v>0</v>
      </c>
      <c r="AA160">
        <v>0</v>
      </c>
      <c r="AB160" t="s">
        <v>108</v>
      </c>
      <c r="AC160" t="s">
        <v>34</v>
      </c>
      <c r="AD160" t="s">
        <v>34</v>
      </c>
      <c r="AE160">
        <v>1</v>
      </c>
      <c r="AF160">
        <v>0</v>
      </c>
      <c r="AG160" t="s">
        <v>1255</v>
      </c>
      <c r="AH160">
        <v>1</v>
      </c>
      <c r="AL160" t="s">
        <v>34</v>
      </c>
      <c r="AM160" t="s">
        <v>34</v>
      </c>
    </row>
    <row r="161" spans="1:40" x14ac:dyDescent="0.2">
      <c r="A161" s="2">
        <v>45995.526956018519</v>
      </c>
      <c r="B161" t="s">
        <v>1327</v>
      </c>
      <c r="C161" t="s">
        <v>813</v>
      </c>
      <c r="D161" t="s">
        <v>837</v>
      </c>
      <c r="E161" t="s">
        <v>1328</v>
      </c>
      <c r="F161" t="s">
        <v>1329</v>
      </c>
      <c r="G161" t="s">
        <v>1330</v>
      </c>
      <c r="H161" t="s">
        <v>1331</v>
      </c>
      <c r="I161" t="s">
        <v>1332</v>
      </c>
      <c r="J161" t="s">
        <v>34</v>
      </c>
      <c r="K161">
        <v>69</v>
      </c>
      <c r="L161">
        <v>19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5</v>
      </c>
      <c r="V161">
        <v>5</v>
      </c>
      <c r="W161">
        <v>5</v>
      </c>
      <c r="X161">
        <v>4</v>
      </c>
      <c r="Y161">
        <v>0</v>
      </c>
      <c r="Z161">
        <v>0</v>
      </c>
      <c r="AA161">
        <v>0</v>
      </c>
      <c r="AB161" t="s">
        <v>131</v>
      </c>
      <c r="AC161" t="s">
        <v>35</v>
      </c>
      <c r="AD161" t="s">
        <v>34</v>
      </c>
      <c r="AE161">
        <v>1</v>
      </c>
      <c r="AF161">
        <v>0</v>
      </c>
      <c r="AG161" t="s">
        <v>56</v>
      </c>
      <c r="AL161" t="s">
        <v>34</v>
      </c>
      <c r="AM161" t="s">
        <v>34</v>
      </c>
    </row>
    <row r="162" spans="1:40" x14ac:dyDescent="0.2">
      <c r="A162" s="2">
        <v>45993.618090277778</v>
      </c>
      <c r="B162" t="s">
        <v>1333</v>
      </c>
      <c r="C162" t="s">
        <v>813</v>
      </c>
      <c r="D162" t="s">
        <v>837</v>
      </c>
      <c r="E162" t="s">
        <v>1334</v>
      </c>
      <c r="F162" t="s">
        <v>1335</v>
      </c>
      <c r="G162">
        <v>89376757416</v>
      </c>
      <c r="H162" t="s">
        <v>56</v>
      </c>
      <c r="I162" t="s">
        <v>212</v>
      </c>
      <c r="J162" t="s">
        <v>34</v>
      </c>
      <c r="K162">
        <v>68</v>
      </c>
      <c r="L162">
        <v>10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4</v>
      </c>
      <c r="V162">
        <v>4</v>
      </c>
      <c r="W162">
        <v>2</v>
      </c>
      <c r="X162">
        <v>0</v>
      </c>
      <c r="Y162">
        <v>0</v>
      </c>
      <c r="Z162">
        <v>0</v>
      </c>
      <c r="AA162">
        <v>0</v>
      </c>
      <c r="AC162" t="s">
        <v>35</v>
      </c>
      <c r="AD162" t="s">
        <v>34</v>
      </c>
      <c r="AE162">
        <v>1</v>
      </c>
      <c r="AF162">
        <v>0</v>
      </c>
      <c r="AG162" t="s">
        <v>56</v>
      </c>
      <c r="AL162" t="s">
        <v>34</v>
      </c>
      <c r="AM162" t="s">
        <v>34</v>
      </c>
    </row>
    <row r="163" spans="1:40" x14ac:dyDescent="0.2">
      <c r="A163" s="2">
        <v>45993.60664351852</v>
      </c>
      <c r="B163" t="s">
        <v>1333</v>
      </c>
      <c r="C163" t="s">
        <v>813</v>
      </c>
      <c r="D163" t="s">
        <v>837</v>
      </c>
      <c r="E163" t="s">
        <v>1452</v>
      </c>
      <c r="F163" t="s">
        <v>1453</v>
      </c>
      <c r="G163">
        <v>89081616251</v>
      </c>
      <c r="H163" t="s">
        <v>1454</v>
      </c>
      <c r="I163" t="s">
        <v>212</v>
      </c>
      <c r="J163" t="s">
        <v>34</v>
      </c>
      <c r="K163">
        <v>100</v>
      </c>
      <c r="L163">
        <v>30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5</v>
      </c>
      <c r="T163">
        <v>0</v>
      </c>
      <c r="U163">
        <v>4</v>
      </c>
      <c r="V163">
        <v>6</v>
      </c>
      <c r="W163">
        <v>5</v>
      </c>
      <c r="X163">
        <v>5</v>
      </c>
      <c r="Y163">
        <v>5</v>
      </c>
      <c r="Z163">
        <v>0</v>
      </c>
      <c r="AA163">
        <v>0</v>
      </c>
      <c r="AC163" t="s">
        <v>34</v>
      </c>
      <c r="AD163" t="s">
        <v>34</v>
      </c>
      <c r="AE163">
        <v>1</v>
      </c>
      <c r="AF163">
        <v>0</v>
      </c>
      <c r="AG163">
        <v>0</v>
      </c>
      <c r="AL163" t="s">
        <v>34</v>
      </c>
      <c r="AM163" t="s">
        <v>34</v>
      </c>
    </row>
    <row r="164" spans="1:40" x14ac:dyDescent="0.2">
      <c r="A164" s="2">
        <v>45996.626828703702</v>
      </c>
      <c r="B164" t="s">
        <v>1517</v>
      </c>
      <c r="C164" t="s">
        <v>813</v>
      </c>
      <c r="D164" t="s">
        <v>837</v>
      </c>
      <c r="E164" t="s">
        <v>1518</v>
      </c>
      <c r="F164" t="s">
        <v>1519</v>
      </c>
      <c r="G164">
        <v>88315522077</v>
      </c>
      <c r="H164" t="s">
        <v>1520</v>
      </c>
      <c r="I164" t="s">
        <v>49</v>
      </c>
      <c r="J164" t="s">
        <v>34</v>
      </c>
      <c r="K164">
        <v>80</v>
      </c>
      <c r="L164">
        <v>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</v>
      </c>
      <c r="W164">
        <v>0</v>
      </c>
      <c r="X164">
        <v>1</v>
      </c>
      <c r="Y164">
        <v>0</v>
      </c>
      <c r="Z164">
        <v>1</v>
      </c>
      <c r="AA164">
        <v>3</v>
      </c>
      <c r="AB164" t="s">
        <v>50</v>
      </c>
      <c r="AC164" t="s">
        <v>35</v>
      </c>
      <c r="AD164" t="s">
        <v>34</v>
      </c>
      <c r="AE164">
        <v>1</v>
      </c>
      <c r="AF164">
        <v>0</v>
      </c>
      <c r="AG164" t="s">
        <v>1521</v>
      </c>
      <c r="AL164" t="s">
        <v>35</v>
      </c>
      <c r="AM164" t="s">
        <v>34</v>
      </c>
    </row>
    <row r="165" spans="1:40" x14ac:dyDescent="0.2">
      <c r="A165" s="2">
        <v>45980.371932870366</v>
      </c>
      <c r="B165" t="s">
        <v>1522</v>
      </c>
      <c r="C165" t="s">
        <v>813</v>
      </c>
      <c r="D165" t="s">
        <v>837</v>
      </c>
      <c r="E165" t="s">
        <v>1523</v>
      </c>
      <c r="F165" t="s">
        <v>1524</v>
      </c>
      <c r="G165" t="s">
        <v>1525</v>
      </c>
      <c r="H165" t="s">
        <v>1526</v>
      </c>
      <c r="I165" t="s">
        <v>1527</v>
      </c>
      <c r="J165" t="s">
        <v>34</v>
      </c>
      <c r="K165">
        <v>159</v>
      </c>
      <c r="L165">
        <v>44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</v>
      </c>
      <c r="U165">
        <v>6</v>
      </c>
      <c r="V165">
        <v>9</v>
      </c>
      <c r="W165">
        <v>6</v>
      </c>
      <c r="X165">
        <v>10</v>
      </c>
      <c r="Y165">
        <v>5</v>
      </c>
      <c r="Z165">
        <v>1</v>
      </c>
      <c r="AA165">
        <v>3</v>
      </c>
      <c r="AB165" t="s">
        <v>94</v>
      </c>
      <c r="AC165" t="s">
        <v>34</v>
      </c>
      <c r="AD165" t="s">
        <v>35</v>
      </c>
      <c r="AE165">
        <v>1</v>
      </c>
      <c r="AF165">
        <v>0</v>
      </c>
      <c r="AG165" t="s">
        <v>48</v>
      </c>
      <c r="AL165" t="s">
        <v>34</v>
      </c>
      <c r="AM165" t="s">
        <v>34</v>
      </c>
      <c r="AN165" t="s">
        <v>1528</v>
      </c>
    </row>
    <row r="166" spans="1:40" x14ac:dyDescent="0.2">
      <c r="A166" s="2">
        <v>45978.582511574074</v>
      </c>
      <c r="B166" t="s">
        <v>896</v>
      </c>
      <c r="C166" t="s">
        <v>813</v>
      </c>
      <c r="D166" t="s">
        <v>897</v>
      </c>
      <c r="E166" t="s">
        <v>898</v>
      </c>
      <c r="F166" t="s">
        <v>899</v>
      </c>
      <c r="G166">
        <v>89228183368</v>
      </c>
      <c r="H166" t="s">
        <v>900</v>
      </c>
      <c r="I166" t="s">
        <v>901</v>
      </c>
      <c r="J166" t="s">
        <v>34</v>
      </c>
      <c r="K166">
        <v>65</v>
      </c>
      <c r="L166">
        <v>65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5</v>
      </c>
      <c r="S166" s="4">
        <v>7</v>
      </c>
      <c r="T166" s="4">
        <v>15</v>
      </c>
      <c r="U166" s="4">
        <v>10</v>
      </c>
      <c r="V166" s="4">
        <v>5</v>
      </c>
      <c r="W166" s="4">
        <v>7</v>
      </c>
      <c r="X166" s="4">
        <v>6</v>
      </c>
      <c r="Y166" s="4">
        <v>5</v>
      </c>
      <c r="Z166" s="4">
        <v>3</v>
      </c>
      <c r="AA166" s="4">
        <v>2</v>
      </c>
      <c r="AB166" t="s">
        <v>108</v>
      </c>
      <c r="AC166" t="s">
        <v>34</v>
      </c>
      <c r="AD166" t="s">
        <v>35</v>
      </c>
      <c r="AE166">
        <v>2</v>
      </c>
      <c r="AF166">
        <v>1</v>
      </c>
      <c r="AG166" t="s">
        <v>56</v>
      </c>
      <c r="AL166" t="s">
        <v>35</v>
      </c>
      <c r="AM166" t="s">
        <v>35</v>
      </c>
    </row>
    <row r="167" spans="1:40" x14ac:dyDescent="0.2">
      <c r="A167" s="2">
        <v>45977.358020833337</v>
      </c>
      <c r="B167" t="s">
        <v>1119</v>
      </c>
      <c r="C167" t="s">
        <v>813</v>
      </c>
      <c r="D167" t="s">
        <v>897</v>
      </c>
      <c r="E167" t="s">
        <v>1120</v>
      </c>
      <c r="F167" t="s">
        <v>1121</v>
      </c>
      <c r="G167">
        <v>89877701222</v>
      </c>
      <c r="H167" t="s">
        <v>1122</v>
      </c>
      <c r="I167" t="s">
        <v>471</v>
      </c>
      <c r="J167" t="s">
        <v>34</v>
      </c>
      <c r="K167">
        <v>150</v>
      </c>
      <c r="L167">
        <v>29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</v>
      </c>
      <c r="U167">
        <v>3</v>
      </c>
      <c r="V167">
        <v>5</v>
      </c>
      <c r="W167">
        <v>6</v>
      </c>
      <c r="X167">
        <v>6</v>
      </c>
      <c r="Y167">
        <v>3</v>
      </c>
      <c r="Z167">
        <v>3</v>
      </c>
      <c r="AA167">
        <v>1</v>
      </c>
      <c r="AB167" t="s">
        <v>62</v>
      </c>
      <c r="AC167" t="s">
        <v>35</v>
      </c>
      <c r="AD167" t="s">
        <v>35</v>
      </c>
      <c r="AE167">
        <v>2</v>
      </c>
      <c r="AF167">
        <v>0</v>
      </c>
      <c r="AG167" t="s">
        <v>34</v>
      </c>
      <c r="AL167" t="s">
        <v>35</v>
      </c>
      <c r="AM167" t="s">
        <v>34</v>
      </c>
    </row>
    <row r="168" spans="1:40" x14ac:dyDescent="0.2">
      <c r="A168" s="2">
        <v>45993.630231481482</v>
      </c>
      <c r="B168" t="s">
        <v>1287</v>
      </c>
      <c r="C168" t="s">
        <v>813</v>
      </c>
      <c r="D168" t="s">
        <v>897</v>
      </c>
      <c r="E168" t="s">
        <v>1288</v>
      </c>
      <c r="F168" t="s">
        <v>1288</v>
      </c>
      <c r="G168">
        <v>89501888098</v>
      </c>
      <c r="H168" t="s">
        <v>56</v>
      </c>
      <c r="I168" t="s">
        <v>212</v>
      </c>
      <c r="J168" t="s">
        <v>34</v>
      </c>
      <c r="K168">
        <v>30</v>
      </c>
      <c r="L168">
        <v>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</v>
      </c>
      <c r="W168">
        <v>3</v>
      </c>
      <c r="X168">
        <v>0</v>
      </c>
      <c r="Y168">
        <v>0</v>
      </c>
      <c r="Z168">
        <v>0</v>
      </c>
      <c r="AA168">
        <v>0</v>
      </c>
      <c r="AC168" t="s">
        <v>35</v>
      </c>
      <c r="AD168" t="s">
        <v>35</v>
      </c>
      <c r="AE168">
        <v>1</v>
      </c>
      <c r="AF168">
        <v>0</v>
      </c>
      <c r="AG168" t="s">
        <v>56</v>
      </c>
      <c r="AL168" t="s">
        <v>34</v>
      </c>
      <c r="AM168" t="s">
        <v>34</v>
      </c>
    </row>
    <row r="169" spans="1:40" x14ac:dyDescent="0.2">
      <c r="A169" s="2">
        <v>45978.42523148148</v>
      </c>
      <c r="B169" t="s">
        <v>1289</v>
      </c>
      <c r="C169" t="s">
        <v>813</v>
      </c>
      <c r="D169" t="s">
        <v>897</v>
      </c>
      <c r="E169" t="s">
        <v>1288</v>
      </c>
      <c r="F169" t="s">
        <v>1290</v>
      </c>
      <c r="G169" t="s">
        <v>1291</v>
      </c>
      <c r="H169" t="s">
        <v>1292</v>
      </c>
      <c r="I169" t="s">
        <v>1248</v>
      </c>
      <c r="J169" t="s">
        <v>188</v>
      </c>
      <c r="K169">
        <v>448</v>
      </c>
      <c r="L169">
        <v>100</v>
      </c>
      <c r="M169">
        <v>3</v>
      </c>
      <c r="N169">
        <v>3</v>
      </c>
      <c r="O169">
        <v>6</v>
      </c>
      <c r="P169">
        <v>4</v>
      </c>
      <c r="Q169">
        <v>4</v>
      </c>
      <c r="R169">
        <v>2</v>
      </c>
      <c r="S169">
        <v>11</v>
      </c>
      <c r="T169">
        <v>13</v>
      </c>
      <c r="U169">
        <v>13</v>
      </c>
      <c r="V169">
        <v>8</v>
      </c>
      <c r="W169">
        <v>13</v>
      </c>
      <c r="X169">
        <v>14</v>
      </c>
      <c r="Y169">
        <v>3</v>
      </c>
      <c r="Z169">
        <v>2</v>
      </c>
      <c r="AA169">
        <v>1</v>
      </c>
      <c r="AB169" t="s">
        <v>696</v>
      </c>
      <c r="AC169" t="s">
        <v>34</v>
      </c>
      <c r="AD169" t="s">
        <v>35</v>
      </c>
      <c r="AE169">
        <v>5</v>
      </c>
      <c r="AF169">
        <v>2</v>
      </c>
      <c r="AG169" t="s">
        <v>1293</v>
      </c>
      <c r="AH169">
        <v>3</v>
      </c>
      <c r="AI169">
        <v>1</v>
      </c>
      <c r="AJ169">
        <v>2</v>
      </c>
      <c r="AL169" t="s">
        <v>35</v>
      </c>
      <c r="AM169" t="s">
        <v>34</v>
      </c>
      <c r="AN169" t="s">
        <v>1294</v>
      </c>
    </row>
    <row r="170" spans="1:40" x14ac:dyDescent="0.2">
      <c r="A170" s="2">
        <v>45977.885636574072</v>
      </c>
      <c r="B170" t="s">
        <v>1295</v>
      </c>
      <c r="C170" t="s">
        <v>813</v>
      </c>
      <c r="D170" t="s">
        <v>897</v>
      </c>
      <c r="E170" t="s">
        <v>1288</v>
      </c>
      <c r="F170" t="s">
        <v>1296</v>
      </c>
      <c r="G170" t="s">
        <v>1297</v>
      </c>
      <c r="H170" t="s">
        <v>1298</v>
      </c>
      <c r="I170" t="s">
        <v>93</v>
      </c>
      <c r="J170" t="s">
        <v>34</v>
      </c>
      <c r="K170">
        <v>190</v>
      </c>
      <c r="L170">
        <v>28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10</v>
      </c>
      <c r="X170">
        <v>15</v>
      </c>
      <c r="Y170">
        <v>3</v>
      </c>
      <c r="Z170">
        <v>0</v>
      </c>
      <c r="AA170">
        <v>0</v>
      </c>
      <c r="AB170" t="s">
        <v>131</v>
      </c>
      <c r="AC170" t="s">
        <v>34</v>
      </c>
      <c r="AD170" t="s">
        <v>35</v>
      </c>
      <c r="AE170">
        <v>1</v>
      </c>
      <c r="AF170">
        <v>0</v>
      </c>
      <c r="AG170" t="s">
        <v>1299</v>
      </c>
      <c r="AH170">
        <v>1</v>
      </c>
      <c r="AL170" t="s">
        <v>35</v>
      </c>
      <c r="AM170" t="s">
        <v>35</v>
      </c>
    </row>
    <row r="171" spans="1:40" x14ac:dyDescent="0.2">
      <c r="A171" s="2">
        <v>45975.457094907397</v>
      </c>
      <c r="B171" t="s">
        <v>1300</v>
      </c>
      <c r="C171" t="s">
        <v>813</v>
      </c>
      <c r="D171" t="s">
        <v>897</v>
      </c>
      <c r="E171" t="s">
        <v>1301</v>
      </c>
      <c r="F171" t="s">
        <v>1302</v>
      </c>
      <c r="G171">
        <v>73532393458</v>
      </c>
      <c r="H171" t="s">
        <v>1303</v>
      </c>
      <c r="I171" t="s">
        <v>1304</v>
      </c>
      <c r="J171" t="s">
        <v>34</v>
      </c>
      <c r="K171">
        <v>60</v>
      </c>
      <c r="L171">
        <v>30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</v>
      </c>
      <c r="S171">
        <v>1</v>
      </c>
      <c r="T171">
        <v>4</v>
      </c>
      <c r="U171">
        <v>5</v>
      </c>
      <c r="V171">
        <v>3</v>
      </c>
      <c r="W171">
        <v>6</v>
      </c>
      <c r="X171">
        <v>6</v>
      </c>
      <c r="Y171">
        <v>3</v>
      </c>
      <c r="Z171">
        <v>0</v>
      </c>
      <c r="AA171">
        <v>0</v>
      </c>
      <c r="AB171" t="s">
        <v>189</v>
      </c>
      <c r="AC171" t="s">
        <v>34</v>
      </c>
      <c r="AD171" t="s">
        <v>34</v>
      </c>
      <c r="AE171">
        <v>1</v>
      </c>
      <c r="AF171">
        <v>0</v>
      </c>
      <c r="AG171" t="s">
        <v>1305</v>
      </c>
      <c r="AL171" t="s">
        <v>34</v>
      </c>
      <c r="AM171" t="s">
        <v>34</v>
      </c>
      <c r="AN171" t="s">
        <v>1306</v>
      </c>
    </row>
    <row r="172" spans="1:40" x14ac:dyDescent="0.2">
      <c r="A172" s="2">
        <v>45979.601145833331</v>
      </c>
      <c r="B172" t="s">
        <v>1460</v>
      </c>
      <c r="C172" t="s">
        <v>813</v>
      </c>
      <c r="D172" t="s">
        <v>897</v>
      </c>
      <c r="E172" t="s">
        <v>1461</v>
      </c>
      <c r="F172" t="s">
        <v>1462</v>
      </c>
      <c r="G172" t="s">
        <v>1463</v>
      </c>
      <c r="H172" t="s">
        <v>1464</v>
      </c>
      <c r="I172" t="s">
        <v>49</v>
      </c>
      <c r="J172" t="s">
        <v>34</v>
      </c>
      <c r="K172">
        <v>135</v>
      </c>
      <c r="L172">
        <v>26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9</v>
      </c>
      <c r="T172">
        <v>9</v>
      </c>
      <c r="U172">
        <v>3</v>
      </c>
      <c r="V172">
        <v>2</v>
      </c>
      <c r="W172">
        <v>1</v>
      </c>
      <c r="X172">
        <v>0</v>
      </c>
      <c r="Y172">
        <v>0</v>
      </c>
      <c r="Z172">
        <v>0</v>
      </c>
      <c r="AA172">
        <v>2</v>
      </c>
      <c r="AB172" t="s">
        <v>50</v>
      </c>
      <c r="AC172" t="s">
        <v>34</v>
      </c>
      <c r="AD172" t="s">
        <v>35</v>
      </c>
      <c r="AE172">
        <v>1</v>
      </c>
      <c r="AF172">
        <v>0</v>
      </c>
      <c r="AG172" t="s">
        <v>1465</v>
      </c>
      <c r="AL172" t="s">
        <v>35</v>
      </c>
      <c r="AM172" t="s">
        <v>35</v>
      </c>
    </row>
    <row r="173" spans="1:40" x14ac:dyDescent="0.2">
      <c r="A173" s="2">
        <v>45975.58489583333</v>
      </c>
      <c r="B173" t="s">
        <v>1545</v>
      </c>
      <c r="C173" t="s">
        <v>813</v>
      </c>
      <c r="D173" t="s">
        <v>897</v>
      </c>
      <c r="E173" t="s">
        <v>1546</v>
      </c>
      <c r="F173" t="s">
        <v>1547</v>
      </c>
      <c r="G173" t="s">
        <v>1548</v>
      </c>
      <c r="H173" t="s">
        <v>1549</v>
      </c>
      <c r="I173" t="s">
        <v>49</v>
      </c>
      <c r="J173" t="s">
        <v>34</v>
      </c>
      <c r="K173">
        <v>175</v>
      </c>
      <c r="L173">
        <v>20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</v>
      </c>
      <c r="U173">
        <v>7</v>
      </c>
      <c r="V173">
        <v>3</v>
      </c>
      <c r="W173">
        <v>2</v>
      </c>
      <c r="X173">
        <v>2</v>
      </c>
      <c r="Y173">
        <v>2</v>
      </c>
      <c r="Z173">
        <v>2</v>
      </c>
      <c r="AA173">
        <v>0</v>
      </c>
      <c r="AB173" t="s">
        <v>94</v>
      </c>
      <c r="AC173" t="s">
        <v>34</v>
      </c>
      <c r="AD173" t="s">
        <v>35</v>
      </c>
      <c r="AE173">
        <v>1</v>
      </c>
      <c r="AF173">
        <v>0</v>
      </c>
      <c r="AG173" t="s">
        <v>1550</v>
      </c>
      <c r="AL173" t="s">
        <v>35</v>
      </c>
      <c r="AM173" t="s">
        <v>34</v>
      </c>
      <c r="AN173" t="s">
        <v>1551</v>
      </c>
    </row>
    <row r="174" spans="1:40" x14ac:dyDescent="0.2">
      <c r="A174" s="2">
        <v>45978.562280092592</v>
      </c>
      <c r="B174" t="s">
        <v>874</v>
      </c>
      <c r="C174" t="s">
        <v>813</v>
      </c>
      <c r="D174" t="s">
        <v>875</v>
      </c>
      <c r="E174" t="s">
        <v>876</v>
      </c>
      <c r="F174" t="s">
        <v>877</v>
      </c>
      <c r="G174">
        <v>89061590157</v>
      </c>
      <c r="H174" t="s">
        <v>878</v>
      </c>
      <c r="I174" t="s">
        <v>33</v>
      </c>
      <c r="J174" t="s">
        <v>34</v>
      </c>
      <c r="K174">
        <v>155</v>
      </c>
      <c r="L174">
        <v>54</v>
      </c>
      <c r="M174" s="4">
        <v>0</v>
      </c>
      <c r="N174" s="4">
        <v>0</v>
      </c>
      <c r="O174" s="4">
        <v>0</v>
      </c>
      <c r="P174" s="4">
        <v>0</v>
      </c>
      <c r="Q174" s="4">
        <v>5</v>
      </c>
      <c r="R174" s="4">
        <v>10</v>
      </c>
      <c r="S174" s="4">
        <v>12</v>
      </c>
      <c r="T174" s="4">
        <v>12</v>
      </c>
      <c r="U174" s="4">
        <v>6</v>
      </c>
      <c r="V174" s="4">
        <v>4</v>
      </c>
      <c r="W174" s="4">
        <v>5</v>
      </c>
      <c r="X174" s="4">
        <v>0</v>
      </c>
      <c r="Y174" s="4">
        <v>0</v>
      </c>
      <c r="Z174" s="4">
        <v>0</v>
      </c>
      <c r="AA174" s="4">
        <v>0</v>
      </c>
      <c r="AB174" t="s">
        <v>255</v>
      </c>
      <c r="AC174" t="s">
        <v>35</v>
      </c>
      <c r="AD174" t="s">
        <v>35</v>
      </c>
      <c r="AE174">
        <v>1</v>
      </c>
      <c r="AF174">
        <v>0</v>
      </c>
      <c r="AG174" t="s">
        <v>879</v>
      </c>
      <c r="AL174" t="s">
        <v>34</v>
      </c>
      <c r="AM174" t="s">
        <v>34</v>
      </c>
    </row>
    <row r="175" spans="1:40" x14ac:dyDescent="0.2">
      <c r="A175" s="2">
        <v>45995.521620370368</v>
      </c>
      <c r="B175" t="s">
        <v>880</v>
      </c>
      <c r="C175" t="s">
        <v>813</v>
      </c>
      <c r="D175" t="s">
        <v>875</v>
      </c>
      <c r="E175" t="s">
        <v>881</v>
      </c>
      <c r="F175" t="s">
        <v>882</v>
      </c>
      <c r="G175" t="s">
        <v>883</v>
      </c>
      <c r="H175" t="s">
        <v>884</v>
      </c>
      <c r="I175" t="s">
        <v>33</v>
      </c>
      <c r="J175" t="s">
        <v>34</v>
      </c>
      <c r="K175">
        <v>35</v>
      </c>
      <c r="L175">
        <v>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</v>
      </c>
      <c r="X175">
        <v>1</v>
      </c>
      <c r="Y175">
        <v>0</v>
      </c>
      <c r="Z175">
        <v>0</v>
      </c>
      <c r="AA175">
        <v>0</v>
      </c>
      <c r="AB175" t="s">
        <v>94</v>
      </c>
      <c r="AC175" t="s">
        <v>35</v>
      </c>
      <c r="AD175" t="s">
        <v>34</v>
      </c>
      <c r="AE175">
        <v>1</v>
      </c>
      <c r="AF175">
        <v>0</v>
      </c>
      <c r="AG175">
        <v>0</v>
      </c>
      <c r="AL175" t="s">
        <v>34</v>
      </c>
      <c r="AM175" t="s">
        <v>34</v>
      </c>
    </row>
    <row r="176" spans="1:40" x14ac:dyDescent="0.2">
      <c r="A176" s="2">
        <v>45980.691562499997</v>
      </c>
      <c r="B176" t="s">
        <v>980</v>
      </c>
      <c r="C176" t="s">
        <v>813</v>
      </c>
      <c r="D176" t="s">
        <v>875</v>
      </c>
      <c r="E176" t="s">
        <v>981</v>
      </c>
      <c r="F176" t="s">
        <v>982</v>
      </c>
      <c r="G176">
        <v>88415521642</v>
      </c>
      <c r="H176" t="s">
        <v>983</v>
      </c>
      <c r="I176" t="s">
        <v>33</v>
      </c>
      <c r="J176" t="s">
        <v>34</v>
      </c>
      <c r="K176">
        <v>103</v>
      </c>
      <c r="L176">
        <v>15</v>
      </c>
      <c r="M176">
        <v>0</v>
      </c>
      <c r="N176">
        <v>0</v>
      </c>
      <c r="O176">
        <v>0</v>
      </c>
      <c r="P176">
        <v>0</v>
      </c>
      <c r="Q176">
        <v>2</v>
      </c>
      <c r="R176">
        <v>3</v>
      </c>
      <c r="S176">
        <v>1</v>
      </c>
      <c r="T176">
        <v>3</v>
      </c>
      <c r="U176">
        <v>3</v>
      </c>
      <c r="V176">
        <v>2</v>
      </c>
      <c r="W176">
        <v>1</v>
      </c>
      <c r="X176">
        <v>0</v>
      </c>
      <c r="Y176">
        <v>0</v>
      </c>
      <c r="Z176">
        <v>0</v>
      </c>
      <c r="AA176">
        <v>0</v>
      </c>
      <c r="AB176" t="s">
        <v>131</v>
      </c>
      <c r="AC176" t="s">
        <v>35</v>
      </c>
      <c r="AD176" t="s">
        <v>35</v>
      </c>
      <c r="AE176">
        <v>1</v>
      </c>
      <c r="AF176">
        <v>0</v>
      </c>
      <c r="AG176" t="s">
        <v>984</v>
      </c>
      <c r="AL176" t="s">
        <v>35</v>
      </c>
      <c r="AM176" t="s">
        <v>34</v>
      </c>
    </row>
    <row r="177" spans="1:40" x14ac:dyDescent="0.2">
      <c r="A177" s="2">
        <v>45994.607060185182</v>
      </c>
      <c r="B177" t="s">
        <v>1135</v>
      </c>
      <c r="C177" t="s">
        <v>813</v>
      </c>
      <c r="D177" t="s">
        <v>875</v>
      </c>
      <c r="E177" t="s">
        <v>1136</v>
      </c>
      <c r="F177" t="s">
        <v>1137</v>
      </c>
      <c r="G177" t="s">
        <v>1138</v>
      </c>
      <c r="H177" t="s">
        <v>1139</v>
      </c>
      <c r="I177" t="s">
        <v>41</v>
      </c>
      <c r="J177" t="s">
        <v>34</v>
      </c>
      <c r="K177">
        <v>56</v>
      </c>
      <c r="L177">
        <v>10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</v>
      </c>
      <c r="V177">
        <v>3</v>
      </c>
      <c r="W177">
        <v>3</v>
      </c>
      <c r="X177">
        <v>0</v>
      </c>
      <c r="Y177">
        <v>1</v>
      </c>
      <c r="Z177">
        <v>0</v>
      </c>
      <c r="AA177">
        <v>0</v>
      </c>
      <c r="AC177" t="s">
        <v>35</v>
      </c>
      <c r="AD177" t="s">
        <v>34</v>
      </c>
      <c r="AE177">
        <v>1</v>
      </c>
      <c r="AF177">
        <v>0</v>
      </c>
      <c r="AG177" t="s">
        <v>56</v>
      </c>
      <c r="AL177" t="s">
        <v>34</v>
      </c>
      <c r="AM177" t="s">
        <v>34</v>
      </c>
    </row>
    <row r="178" spans="1:40" x14ac:dyDescent="0.2">
      <c r="A178" s="2">
        <v>45980.467511574083</v>
      </c>
      <c r="B178" t="s">
        <v>1206</v>
      </c>
      <c r="C178" t="s">
        <v>813</v>
      </c>
      <c r="D178" t="s">
        <v>875</v>
      </c>
      <c r="E178" t="s">
        <v>1207</v>
      </c>
      <c r="F178" t="s">
        <v>1208</v>
      </c>
      <c r="G178">
        <v>88416321502</v>
      </c>
      <c r="H178" t="s">
        <v>1209</v>
      </c>
      <c r="I178" t="s">
        <v>33</v>
      </c>
      <c r="J178" t="s">
        <v>34</v>
      </c>
      <c r="K178">
        <v>98</v>
      </c>
      <c r="L178">
        <v>47</v>
      </c>
      <c r="M178" s="4">
        <v>0</v>
      </c>
      <c r="N178" s="4">
        <v>0</v>
      </c>
      <c r="O178" s="4">
        <v>0</v>
      </c>
      <c r="P178" s="4">
        <v>0</v>
      </c>
      <c r="Q178" s="4">
        <v>5</v>
      </c>
      <c r="R178" s="4">
        <v>3</v>
      </c>
      <c r="S178" s="4">
        <v>5</v>
      </c>
      <c r="T178" s="4">
        <v>5</v>
      </c>
      <c r="U178" s="4">
        <v>7</v>
      </c>
      <c r="V178" s="4">
        <v>6</v>
      </c>
      <c r="W178" s="4">
        <v>4</v>
      </c>
      <c r="X178" s="4">
        <v>4</v>
      </c>
      <c r="Y178" s="4">
        <v>4</v>
      </c>
      <c r="Z178" s="4">
        <v>2</v>
      </c>
      <c r="AA178" s="4">
        <v>2</v>
      </c>
      <c r="AB178" t="s">
        <v>80</v>
      </c>
      <c r="AC178" t="s">
        <v>35</v>
      </c>
      <c r="AD178" t="s">
        <v>34</v>
      </c>
      <c r="AE178">
        <v>1</v>
      </c>
      <c r="AF178">
        <v>0</v>
      </c>
      <c r="AG178" t="s">
        <v>1210</v>
      </c>
      <c r="AL178" t="s">
        <v>34</v>
      </c>
      <c r="AM178" t="s">
        <v>34</v>
      </c>
    </row>
    <row r="179" spans="1:40" x14ac:dyDescent="0.2">
      <c r="A179" s="2">
        <v>45995.51703703704</v>
      </c>
      <c r="B179" t="s">
        <v>1211</v>
      </c>
      <c r="C179" t="s">
        <v>813</v>
      </c>
      <c r="D179" t="s">
        <v>875</v>
      </c>
      <c r="E179" t="s">
        <v>1212</v>
      </c>
      <c r="F179" t="s">
        <v>1213</v>
      </c>
      <c r="G179" t="s">
        <v>1214</v>
      </c>
      <c r="H179" t="s">
        <v>1215</v>
      </c>
      <c r="I179" t="s">
        <v>41</v>
      </c>
      <c r="J179" t="s">
        <v>34</v>
      </c>
      <c r="K179">
        <v>40</v>
      </c>
      <c r="L179">
        <v>10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5</v>
      </c>
      <c r="W179">
        <v>5</v>
      </c>
      <c r="X179">
        <v>0</v>
      </c>
      <c r="Y179">
        <v>0</v>
      </c>
      <c r="Z179">
        <v>0</v>
      </c>
      <c r="AA179">
        <v>0</v>
      </c>
      <c r="AB179" t="s">
        <v>131</v>
      </c>
      <c r="AC179" t="s">
        <v>35</v>
      </c>
      <c r="AD179" t="s">
        <v>34</v>
      </c>
      <c r="AE179">
        <v>1</v>
      </c>
      <c r="AF179">
        <v>0</v>
      </c>
      <c r="AG179" t="s">
        <v>56</v>
      </c>
      <c r="AL179" t="s">
        <v>34</v>
      </c>
      <c r="AM179" t="s">
        <v>34</v>
      </c>
    </row>
    <row r="180" spans="1:40" x14ac:dyDescent="0.2">
      <c r="A180" s="2">
        <v>45975.453703703701</v>
      </c>
      <c r="B180" t="s">
        <v>1256</v>
      </c>
      <c r="C180" t="s">
        <v>813</v>
      </c>
      <c r="D180" t="s">
        <v>875</v>
      </c>
      <c r="E180" t="s">
        <v>1257</v>
      </c>
      <c r="F180" t="s">
        <v>1258</v>
      </c>
      <c r="G180">
        <v>88416542301</v>
      </c>
      <c r="H180" t="s">
        <v>1259</v>
      </c>
      <c r="I180" t="s">
        <v>33</v>
      </c>
      <c r="J180" t="s">
        <v>34</v>
      </c>
      <c r="K180">
        <v>45</v>
      </c>
      <c r="L180">
        <v>4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1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50</v>
      </c>
      <c r="AC180" t="s">
        <v>35</v>
      </c>
      <c r="AD180" t="s">
        <v>35</v>
      </c>
      <c r="AE180">
        <v>1</v>
      </c>
      <c r="AF180">
        <v>0</v>
      </c>
      <c r="AG180">
        <v>0</v>
      </c>
      <c r="AL180" t="s">
        <v>35</v>
      </c>
      <c r="AM180" t="s">
        <v>34</v>
      </c>
      <c r="AN180" t="s">
        <v>48</v>
      </c>
    </row>
    <row r="181" spans="1:40" x14ac:dyDescent="0.2">
      <c r="A181" s="2">
        <v>45975.482314814813</v>
      </c>
      <c r="B181" t="s">
        <v>1312</v>
      </c>
      <c r="C181" t="s">
        <v>813</v>
      </c>
      <c r="D181" t="s">
        <v>875</v>
      </c>
      <c r="E181" t="s">
        <v>1313</v>
      </c>
      <c r="F181" t="s">
        <v>1314</v>
      </c>
      <c r="G181" t="s">
        <v>1315</v>
      </c>
      <c r="H181" t="s">
        <v>1316</v>
      </c>
      <c r="I181" t="s">
        <v>49</v>
      </c>
      <c r="J181" t="s">
        <v>114</v>
      </c>
      <c r="K181">
        <v>714</v>
      </c>
      <c r="L181">
        <v>63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16</v>
      </c>
      <c r="V181">
        <v>14</v>
      </c>
      <c r="W181">
        <v>14</v>
      </c>
      <c r="X181">
        <v>5</v>
      </c>
      <c r="Y181">
        <v>6</v>
      </c>
      <c r="Z181">
        <v>7</v>
      </c>
      <c r="AA181">
        <v>0</v>
      </c>
      <c r="AB181" t="s">
        <v>696</v>
      </c>
      <c r="AC181" t="s">
        <v>35</v>
      </c>
      <c r="AD181" t="s">
        <v>35</v>
      </c>
      <c r="AE181">
        <v>4</v>
      </c>
      <c r="AF181">
        <v>0</v>
      </c>
      <c r="AG181" t="s">
        <v>48</v>
      </c>
      <c r="AL181" t="s">
        <v>35</v>
      </c>
      <c r="AM181" t="s">
        <v>34</v>
      </c>
      <c r="AN181" t="s">
        <v>48</v>
      </c>
    </row>
    <row r="182" spans="1:40" x14ac:dyDescent="0.2">
      <c r="A182" s="2">
        <v>45994.636805555558</v>
      </c>
      <c r="B182" t="s">
        <v>1317</v>
      </c>
      <c r="C182" t="s">
        <v>813</v>
      </c>
      <c r="D182" t="s">
        <v>875</v>
      </c>
      <c r="E182" t="s">
        <v>1313</v>
      </c>
      <c r="F182" t="s">
        <v>1313</v>
      </c>
      <c r="G182">
        <v>89273613099</v>
      </c>
      <c r="H182">
        <v>1</v>
      </c>
      <c r="I182" t="s">
        <v>100</v>
      </c>
      <c r="J182" t="s">
        <v>34</v>
      </c>
      <c r="K182">
        <v>47</v>
      </c>
      <c r="L182">
        <v>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</v>
      </c>
      <c r="U182">
        <v>3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t="s">
        <v>62</v>
      </c>
      <c r="AC182" t="s">
        <v>35</v>
      </c>
      <c r="AD182" t="s">
        <v>34</v>
      </c>
      <c r="AE182">
        <v>1</v>
      </c>
      <c r="AF182">
        <v>0</v>
      </c>
      <c r="AG182" t="s">
        <v>1038</v>
      </c>
      <c r="AL182" t="s">
        <v>34</v>
      </c>
      <c r="AM182" t="s">
        <v>34</v>
      </c>
      <c r="AN182" t="s">
        <v>1318</v>
      </c>
    </row>
    <row r="183" spans="1:40" x14ac:dyDescent="0.2">
      <c r="A183" s="2">
        <v>45992.680219907408</v>
      </c>
      <c r="B183" t="s">
        <v>1319</v>
      </c>
      <c r="C183" t="s">
        <v>813</v>
      </c>
      <c r="D183" t="s">
        <v>875</v>
      </c>
      <c r="E183" t="s">
        <v>1313</v>
      </c>
      <c r="F183" t="s">
        <v>1320</v>
      </c>
      <c r="G183">
        <v>89870724033</v>
      </c>
      <c r="H183" t="s">
        <v>1321</v>
      </c>
      <c r="I183" t="s">
        <v>1322</v>
      </c>
      <c r="J183" t="s">
        <v>34</v>
      </c>
      <c r="K183">
        <v>78</v>
      </c>
      <c r="L183">
        <v>78</v>
      </c>
      <c r="M183" s="4">
        <v>10</v>
      </c>
      <c r="N183" s="4">
        <v>10</v>
      </c>
      <c r="O183" s="4">
        <v>12</v>
      </c>
      <c r="P183" s="4">
        <v>25</v>
      </c>
      <c r="Q183" s="4">
        <v>21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t="s">
        <v>584</v>
      </c>
      <c r="AC183" t="s">
        <v>34</v>
      </c>
      <c r="AD183" t="s">
        <v>34</v>
      </c>
      <c r="AE183">
        <v>2</v>
      </c>
      <c r="AF183">
        <v>0</v>
      </c>
      <c r="AG183">
        <v>0</v>
      </c>
      <c r="AL183" t="s">
        <v>35</v>
      </c>
      <c r="AM183" t="s">
        <v>35</v>
      </c>
    </row>
    <row r="184" spans="1:40" x14ac:dyDescent="0.2">
      <c r="A184" s="2">
        <v>45980.484212962961</v>
      </c>
      <c r="B184" t="s">
        <v>1323</v>
      </c>
      <c r="C184" t="s">
        <v>813</v>
      </c>
      <c r="D184" t="s">
        <v>875</v>
      </c>
      <c r="E184" t="s">
        <v>1313</v>
      </c>
      <c r="F184" t="s">
        <v>1324</v>
      </c>
      <c r="G184">
        <v>33136</v>
      </c>
      <c r="H184" t="s">
        <v>1325</v>
      </c>
      <c r="I184" t="s">
        <v>49</v>
      </c>
      <c r="J184" t="s">
        <v>114</v>
      </c>
      <c r="K184">
        <v>667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 t="s">
        <v>94</v>
      </c>
      <c r="AC184" t="s">
        <v>35</v>
      </c>
      <c r="AD184" t="s">
        <v>35</v>
      </c>
      <c r="AE184">
        <v>1</v>
      </c>
      <c r="AF184">
        <v>0</v>
      </c>
      <c r="AG184" t="s">
        <v>1326</v>
      </c>
      <c r="AH184">
        <v>1</v>
      </c>
      <c r="AL184" t="s">
        <v>35</v>
      </c>
      <c r="AM184" t="s">
        <v>34</v>
      </c>
    </row>
    <row r="185" spans="1:40" x14ac:dyDescent="0.2">
      <c r="A185" s="2">
        <v>45980.513136574067</v>
      </c>
      <c r="B185" t="s">
        <v>918</v>
      </c>
      <c r="C185" t="s">
        <v>813</v>
      </c>
      <c r="D185" t="s">
        <v>919</v>
      </c>
      <c r="E185" t="s">
        <v>920</v>
      </c>
      <c r="F185" t="s">
        <v>921</v>
      </c>
      <c r="G185" t="s">
        <v>922</v>
      </c>
      <c r="H185" t="s">
        <v>923</v>
      </c>
      <c r="I185" t="s">
        <v>924</v>
      </c>
      <c r="J185" t="s">
        <v>34</v>
      </c>
      <c r="K185">
        <v>350</v>
      </c>
      <c r="L185">
        <v>24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5</v>
      </c>
      <c r="U185" s="4">
        <v>4</v>
      </c>
      <c r="V185" s="4">
        <v>2</v>
      </c>
      <c r="W185" s="4">
        <v>8</v>
      </c>
      <c r="X185" s="4">
        <v>5</v>
      </c>
      <c r="Y185" s="4">
        <v>0</v>
      </c>
      <c r="Z185" s="4">
        <v>0</v>
      </c>
      <c r="AA185" s="4">
        <v>0</v>
      </c>
      <c r="AB185" t="s">
        <v>50</v>
      </c>
      <c r="AC185" t="s">
        <v>35</v>
      </c>
      <c r="AD185" t="s">
        <v>35</v>
      </c>
      <c r="AE185">
        <v>1</v>
      </c>
      <c r="AF185">
        <v>0</v>
      </c>
      <c r="AG185" t="s">
        <v>34</v>
      </c>
      <c r="AL185" t="s">
        <v>35</v>
      </c>
      <c r="AM185" t="s">
        <v>34</v>
      </c>
    </row>
    <row r="186" spans="1:40" x14ac:dyDescent="0.2">
      <c r="A186" s="2">
        <v>45982.440069444441</v>
      </c>
      <c r="B186" t="s">
        <v>1009</v>
      </c>
      <c r="C186" t="s">
        <v>813</v>
      </c>
      <c r="D186" t="s">
        <v>919</v>
      </c>
      <c r="E186" t="s">
        <v>1010</v>
      </c>
      <c r="F186" t="s">
        <v>1011</v>
      </c>
      <c r="G186">
        <v>9177090461</v>
      </c>
      <c r="H186" t="s">
        <v>1012</v>
      </c>
      <c r="I186" t="s">
        <v>1013</v>
      </c>
      <c r="J186" t="s">
        <v>34</v>
      </c>
      <c r="K186">
        <v>250</v>
      </c>
      <c r="L186">
        <v>10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5</v>
      </c>
      <c r="Z186">
        <v>0</v>
      </c>
      <c r="AA186">
        <v>5</v>
      </c>
      <c r="AB186" t="s">
        <v>94</v>
      </c>
      <c r="AC186" t="s">
        <v>35</v>
      </c>
      <c r="AD186" t="s">
        <v>35</v>
      </c>
      <c r="AE186">
        <v>1</v>
      </c>
      <c r="AF186">
        <v>0</v>
      </c>
      <c r="AG186" t="s">
        <v>1014</v>
      </c>
      <c r="AL186" t="s">
        <v>34</v>
      </c>
      <c r="AM186" t="s">
        <v>34</v>
      </c>
    </row>
    <row r="187" spans="1:40" x14ac:dyDescent="0.2">
      <c r="A187" s="2">
        <v>45975.493773148148</v>
      </c>
      <c r="B187" t="s">
        <v>1015</v>
      </c>
      <c r="C187" t="s">
        <v>813</v>
      </c>
      <c r="D187" t="s">
        <v>919</v>
      </c>
      <c r="E187" t="s">
        <v>1010</v>
      </c>
      <c r="F187" t="s">
        <v>1016</v>
      </c>
      <c r="G187">
        <v>89030509030</v>
      </c>
      <c r="H187" t="s">
        <v>1017</v>
      </c>
      <c r="I187" t="s">
        <v>49</v>
      </c>
      <c r="J187" t="s">
        <v>34</v>
      </c>
      <c r="K187">
        <v>700</v>
      </c>
      <c r="L187">
        <v>28</v>
      </c>
      <c r="M187">
        <v>0</v>
      </c>
      <c r="N187">
        <v>0</v>
      </c>
      <c r="O187">
        <v>0</v>
      </c>
      <c r="P187">
        <v>0</v>
      </c>
      <c r="Q187">
        <v>14</v>
      </c>
      <c r="R187">
        <v>0</v>
      </c>
      <c r="S187">
        <v>0</v>
      </c>
      <c r="T187">
        <v>0</v>
      </c>
      <c r="U187">
        <v>14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62</v>
      </c>
      <c r="AC187" t="s">
        <v>34</v>
      </c>
      <c r="AD187" t="s">
        <v>34</v>
      </c>
      <c r="AE187">
        <v>1</v>
      </c>
      <c r="AF187">
        <v>0</v>
      </c>
      <c r="AG187" t="s">
        <v>1018</v>
      </c>
      <c r="AL187" t="s">
        <v>35</v>
      </c>
      <c r="AM187" t="s">
        <v>34</v>
      </c>
    </row>
    <row r="188" spans="1:40" x14ac:dyDescent="0.2">
      <c r="A188" s="2">
        <v>45979.490798611107</v>
      </c>
      <c r="B188" t="s">
        <v>1019</v>
      </c>
      <c r="C188" t="s">
        <v>813</v>
      </c>
      <c r="D188" t="s">
        <v>919</v>
      </c>
      <c r="E188" t="s">
        <v>1010</v>
      </c>
      <c r="F188" t="s">
        <v>1020</v>
      </c>
      <c r="G188" t="s">
        <v>1021</v>
      </c>
      <c r="H188" t="s">
        <v>1022</v>
      </c>
      <c r="I188" t="s">
        <v>1023</v>
      </c>
      <c r="J188" t="s">
        <v>34</v>
      </c>
      <c r="K188">
        <v>37</v>
      </c>
      <c r="L188">
        <v>37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5</v>
      </c>
      <c r="U188">
        <v>6</v>
      </c>
      <c r="V188">
        <v>6</v>
      </c>
      <c r="W188">
        <v>10</v>
      </c>
      <c r="X188">
        <v>4</v>
      </c>
      <c r="Y188">
        <v>4</v>
      </c>
      <c r="Z188">
        <v>2</v>
      </c>
      <c r="AA188">
        <v>0</v>
      </c>
      <c r="AB188" t="s">
        <v>131</v>
      </c>
      <c r="AC188" t="s">
        <v>34</v>
      </c>
      <c r="AD188" t="s">
        <v>34</v>
      </c>
      <c r="AE188">
        <v>1</v>
      </c>
      <c r="AF188">
        <v>0</v>
      </c>
      <c r="AG188" t="s">
        <v>48</v>
      </c>
      <c r="AL188" t="s">
        <v>35</v>
      </c>
      <c r="AM188" t="s">
        <v>35</v>
      </c>
    </row>
    <row r="189" spans="1:40" x14ac:dyDescent="0.2">
      <c r="A189" s="2">
        <v>45980.791770833333</v>
      </c>
      <c r="B189" t="s">
        <v>1024</v>
      </c>
      <c r="C189" t="s">
        <v>813</v>
      </c>
      <c r="D189" t="s">
        <v>919</v>
      </c>
      <c r="E189" t="s">
        <v>1025</v>
      </c>
      <c r="F189" t="s">
        <v>1026</v>
      </c>
      <c r="G189">
        <v>79177036694</v>
      </c>
      <c r="H189" t="s">
        <v>1027</v>
      </c>
      <c r="I189" t="s">
        <v>689</v>
      </c>
      <c r="J189" t="s">
        <v>34</v>
      </c>
      <c r="K189">
        <v>35</v>
      </c>
      <c r="L189">
        <v>21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5</v>
      </c>
      <c r="S189">
        <v>0</v>
      </c>
      <c r="T189">
        <v>2</v>
      </c>
      <c r="U189">
        <v>2</v>
      </c>
      <c r="V189">
        <v>1</v>
      </c>
      <c r="W189">
        <v>5</v>
      </c>
      <c r="X189">
        <v>0</v>
      </c>
      <c r="Y189">
        <v>3</v>
      </c>
      <c r="Z189">
        <v>3</v>
      </c>
      <c r="AA189">
        <v>0</v>
      </c>
      <c r="AB189" t="s">
        <v>1028</v>
      </c>
      <c r="AC189" t="s">
        <v>34</v>
      </c>
      <c r="AD189" t="s">
        <v>34</v>
      </c>
      <c r="AE189">
        <v>1</v>
      </c>
      <c r="AF189">
        <v>0</v>
      </c>
      <c r="AG189" t="s">
        <v>1029</v>
      </c>
      <c r="AL189" t="s">
        <v>34</v>
      </c>
      <c r="AM189" t="s">
        <v>34</v>
      </c>
      <c r="AN189" t="s">
        <v>1030</v>
      </c>
    </row>
    <row r="190" spans="1:40" x14ac:dyDescent="0.2">
      <c r="A190" s="2">
        <v>45981.735266203701</v>
      </c>
      <c r="B190" t="s">
        <v>1031</v>
      </c>
      <c r="C190" t="s">
        <v>813</v>
      </c>
      <c r="D190" t="s">
        <v>919</v>
      </c>
      <c r="E190" t="s">
        <v>1025</v>
      </c>
      <c r="F190" t="s">
        <v>1032</v>
      </c>
      <c r="G190">
        <v>88362428040</v>
      </c>
      <c r="H190" t="s">
        <v>1033</v>
      </c>
      <c r="I190" t="s">
        <v>1034</v>
      </c>
      <c r="J190" t="s">
        <v>34</v>
      </c>
      <c r="K190">
        <v>50</v>
      </c>
      <c r="L190">
        <v>21</v>
      </c>
      <c r="M190">
        <v>0</v>
      </c>
      <c r="N190">
        <v>0</v>
      </c>
      <c r="O190">
        <v>0</v>
      </c>
      <c r="P190">
        <v>0</v>
      </c>
      <c r="Q190">
        <v>5</v>
      </c>
      <c r="R190">
        <v>2</v>
      </c>
      <c r="S190">
        <v>5</v>
      </c>
      <c r="T190">
        <v>4</v>
      </c>
      <c r="U190">
        <v>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824</v>
      </c>
      <c r="AC190" t="s">
        <v>35</v>
      </c>
      <c r="AD190" t="s">
        <v>35</v>
      </c>
      <c r="AE190">
        <v>2</v>
      </c>
      <c r="AF190">
        <v>0</v>
      </c>
      <c r="AG190">
        <v>0</v>
      </c>
      <c r="AL190" t="s">
        <v>35</v>
      </c>
      <c r="AM190" t="s">
        <v>34</v>
      </c>
      <c r="AN190" t="s">
        <v>48</v>
      </c>
    </row>
    <row r="191" spans="1:40" x14ac:dyDescent="0.2">
      <c r="A191" s="2">
        <v>45980.933356481481</v>
      </c>
      <c r="B191" t="s">
        <v>1106</v>
      </c>
      <c r="C191" t="s">
        <v>813</v>
      </c>
      <c r="D191" t="s">
        <v>919</v>
      </c>
      <c r="E191" t="s">
        <v>1107</v>
      </c>
      <c r="F191" t="s">
        <v>1108</v>
      </c>
      <c r="G191">
        <v>89613770801</v>
      </c>
      <c r="H191" t="s">
        <v>1109</v>
      </c>
      <c r="I191" t="s">
        <v>49</v>
      </c>
      <c r="J191" t="s">
        <v>114</v>
      </c>
      <c r="K191">
        <v>220</v>
      </c>
      <c r="L191">
        <v>53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5</v>
      </c>
      <c r="S191">
        <v>5</v>
      </c>
      <c r="T191">
        <v>5</v>
      </c>
      <c r="U191">
        <v>5</v>
      </c>
      <c r="V191">
        <v>5</v>
      </c>
      <c r="W191">
        <v>5</v>
      </c>
      <c r="X191">
        <v>5</v>
      </c>
      <c r="Y191">
        <v>6</v>
      </c>
      <c r="Z191">
        <v>5</v>
      </c>
      <c r="AA191">
        <v>7</v>
      </c>
      <c r="AB191" t="s">
        <v>131</v>
      </c>
      <c r="AC191" t="s">
        <v>35</v>
      </c>
      <c r="AD191" t="s">
        <v>35</v>
      </c>
      <c r="AE191">
        <v>2</v>
      </c>
      <c r="AF191">
        <v>0</v>
      </c>
      <c r="AG191" t="s">
        <v>1110</v>
      </c>
      <c r="AL191" t="s">
        <v>35</v>
      </c>
      <c r="AM191" t="s">
        <v>34</v>
      </c>
    </row>
    <row r="192" spans="1:40" x14ac:dyDescent="0.2">
      <c r="A192" s="2">
        <v>45992.671863425923</v>
      </c>
      <c r="B192" t="s">
        <v>1151</v>
      </c>
      <c r="C192" t="s">
        <v>813</v>
      </c>
      <c r="D192" t="s">
        <v>919</v>
      </c>
      <c r="E192" t="s">
        <v>1152</v>
      </c>
      <c r="F192" t="s">
        <v>1153</v>
      </c>
      <c r="G192">
        <v>89278760404</v>
      </c>
      <c r="H192" t="s">
        <v>1154</v>
      </c>
      <c r="I192" t="s">
        <v>100</v>
      </c>
      <c r="J192" t="s">
        <v>34</v>
      </c>
      <c r="K192">
        <v>300</v>
      </c>
      <c r="L192">
        <v>100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10</v>
      </c>
      <c r="S192">
        <v>10</v>
      </c>
      <c r="T192">
        <v>10</v>
      </c>
      <c r="U192">
        <v>10</v>
      </c>
      <c r="V192">
        <v>10</v>
      </c>
      <c r="W192">
        <v>10</v>
      </c>
      <c r="X192">
        <v>10</v>
      </c>
      <c r="Y192">
        <v>10</v>
      </c>
      <c r="Z192">
        <v>10</v>
      </c>
      <c r="AA192">
        <v>10</v>
      </c>
      <c r="AC192" t="s">
        <v>35</v>
      </c>
      <c r="AD192" t="s">
        <v>34</v>
      </c>
      <c r="AE192">
        <v>2</v>
      </c>
      <c r="AF192">
        <v>0</v>
      </c>
      <c r="AG192" t="s">
        <v>48</v>
      </c>
      <c r="AL192" t="s">
        <v>35</v>
      </c>
      <c r="AM192" t="s">
        <v>34</v>
      </c>
    </row>
    <row r="193" spans="1:40" x14ac:dyDescent="0.2">
      <c r="A193" s="2">
        <v>45977.839375000003</v>
      </c>
      <c r="B193" t="s">
        <v>1155</v>
      </c>
      <c r="C193" t="s">
        <v>813</v>
      </c>
      <c r="D193" t="s">
        <v>919</v>
      </c>
      <c r="E193" t="s">
        <v>1152</v>
      </c>
      <c r="F193" t="s">
        <v>1156</v>
      </c>
      <c r="G193">
        <v>89991456208</v>
      </c>
      <c r="H193" t="s">
        <v>1157</v>
      </c>
      <c r="I193" t="s">
        <v>1158</v>
      </c>
      <c r="J193" t="s">
        <v>34</v>
      </c>
      <c r="K193">
        <v>120</v>
      </c>
      <c r="L193">
        <v>26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5</v>
      </c>
      <c r="T193">
        <v>4</v>
      </c>
      <c r="U193">
        <v>8</v>
      </c>
      <c r="V193">
        <v>2</v>
      </c>
      <c r="W193">
        <v>3</v>
      </c>
      <c r="X193">
        <v>0</v>
      </c>
      <c r="Y193">
        <v>1</v>
      </c>
      <c r="Z193">
        <v>2</v>
      </c>
      <c r="AA193">
        <v>0</v>
      </c>
      <c r="AB193" t="s">
        <v>189</v>
      </c>
      <c r="AC193" t="s">
        <v>35</v>
      </c>
      <c r="AD193" t="s">
        <v>34</v>
      </c>
      <c r="AE193">
        <v>2</v>
      </c>
      <c r="AF193">
        <v>1</v>
      </c>
      <c r="AG193" t="s">
        <v>1159</v>
      </c>
      <c r="AL193" t="s">
        <v>34</v>
      </c>
      <c r="AM193" t="s">
        <v>34</v>
      </c>
    </row>
    <row r="194" spans="1:40" x14ac:dyDescent="0.2">
      <c r="A194" s="2">
        <v>45981.383773148147</v>
      </c>
      <c r="B194" t="s">
        <v>1307</v>
      </c>
      <c r="C194" t="s">
        <v>813</v>
      </c>
      <c r="D194" t="s">
        <v>919</v>
      </c>
      <c r="E194" t="s">
        <v>1308</v>
      </c>
      <c r="F194" t="s">
        <v>1309</v>
      </c>
      <c r="G194">
        <v>8363943310</v>
      </c>
      <c r="H194" t="s">
        <v>1310</v>
      </c>
      <c r="I194" t="s">
        <v>1311</v>
      </c>
      <c r="J194" t="s">
        <v>34</v>
      </c>
      <c r="K194">
        <v>154</v>
      </c>
      <c r="L194">
        <v>25</v>
      </c>
      <c r="M194">
        <v>0</v>
      </c>
      <c r="N194">
        <v>0</v>
      </c>
      <c r="O194">
        <v>0</v>
      </c>
      <c r="P194">
        <v>1</v>
      </c>
      <c r="Q194">
        <v>2</v>
      </c>
      <c r="R194">
        <v>5</v>
      </c>
      <c r="S194">
        <v>4</v>
      </c>
      <c r="T194">
        <v>2</v>
      </c>
      <c r="U194">
        <v>4</v>
      </c>
      <c r="V194">
        <v>3</v>
      </c>
      <c r="W194">
        <v>3</v>
      </c>
      <c r="X194">
        <v>1</v>
      </c>
      <c r="Y194">
        <v>0</v>
      </c>
      <c r="Z194">
        <v>0</v>
      </c>
      <c r="AA194">
        <v>0</v>
      </c>
      <c r="AB194" t="s">
        <v>108</v>
      </c>
      <c r="AC194" t="s">
        <v>35</v>
      </c>
      <c r="AD194" t="s">
        <v>35</v>
      </c>
      <c r="AE194">
        <v>1</v>
      </c>
      <c r="AF194">
        <v>0</v>
      </c>
      <c r="AG194">
        <v>0</v>
      </c>
      <c r="AL194" t="s">
        <v>34</v>
      </c>
      <c r="AM194" t="s">
        <v>34</v>
      </c>
    </row>
    <row r="195" spans="1:40" x14ac:dyDescent="0.2">
      <c r="A195" s="2">
        <v>45992.373657407406</v>
      </c>
      <c r="B195" t="s">
        <v>1536</v>
      </c>
      <c r="C195" t="s">
        <v>813</v>
      </c>
      <c r="D195" t="s">
        <v>919</v>
      </c>
      <c r="E195" t="s">
        <v>1537</v>
      </c>
      <c r="F195" t="s">
        <v>1538</v>
      </c>
      <c r="G195">
        <v>89024315814</v>
      </c>
      <c r="H195" t="s">
        <v>1539</v>
      </c>
      <c r="I195" t="s">
        <v>1540</v>
      </c>
      <c r="J195" t="s">
        <v>34</v>
      </c>
      <c r="K195">
        <v>120</v>
      </c>
      <c r="L195">
        <v>25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</v>
      </c>
      <c r="T195">
        <v>5</v>
      </c>
      <c r="U195">
        <v>5</v>
      </c>
      <c r="V195">
        <v>5</v>
      </c>
      <c r="W195">
        <v>5</v>
      </c>
      <c r="X195">
        <v>0</v>
      </c>
      <c r="Y195">
        <v>0</v>
      </c>
      <c r="Z195">
        <v>0</v>
      </c>
      <c r="AA195">
        <v>0</v>
      </c>
      <c r="AB195" t="s">
        <v>696</v>
      </c>
      <c r="AC195" t="s">
        <v>35</v>
      </c>
      <c r="AD195" t="s">
        <v>35</v>
      </c>
      <c r="AE195">
        <v>2</v>
      </c>
      <c r="AF195">
        <v>0</v>
      </c>
      <c r="AG195" t="s">
        <v>48</v>
      </c>
      <c r="AL195" t="s">
        <v>35</v>
      </c>
      <c r="AM195" t="s">
        <v>34</v>
      </c>
    </row>
    <row r="196" spans="1:40" x14ac:dyDescent="0.2">
      <c r="A196" s="2">
        <v>45979.624050925922</v>
      </c>
      <c r="B196" t="s">
        <v>826</v>
      </c>
      <c r="C196" t="s">
        <v>813</v>
      </c>
      <c r="D196" t="s">
        <v>827</v>
      </c>
      <c r="E196" t="s">
        <v>828</v>
      </c>
      <c r="F196" t="s">
        <v>829</v>
      </c>
      <c r="G196" t="s">
        <v>830</v>
      </c>
      <c r="H196" t="s">
        <v>831</v>
      </c>
      <c r="I196" t="s">
        <v>33</v>
      </c>
      <c r="J196" t="s">
        <v>34</v>
      </c>
      <c r="K196">
        <v>217</v>
      </c>
      <c r="L196">
        <v>44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8</v>
      </c>
      <c r="S196">
        <v>8</v>
      </c>
      <c r="T196">
        <v>7</v>
      </c>
      <c r="U196">
        <v>8</v>
      </c>
      <c r="V196">
        <v>9</v>
      </c>
      <c r="W196">
        <v>4</v>
      </c>
      <c r="X196">
        <v>0</v>
      </c>
      <c r="Y196">
        <v>0</v>
      </c>
      <c r="Z196">
        <v>0</v>
      </c>
      <c r="AA196">
        <v>0</v>
      </c>
      <c r="AB196" t="s">
        <v>50</v>
      </c>
      <c r="AC196" t="s">
        <v>35</v>
      </c>
      <c r="AD196" t="s">
        <v>35</v>
      </c>
      <c r="AE196">
        <v>3</v>
      </c>
      <c r="AF196">
        <v>0</v>
      </c>
      <c r="AG196" t="s">
        <v>48</v>
      </c>
      <c r="AL196" t="s">
        <v>35</v>
      </c>
      <c r="AM196" t="s">
        <v>34</v>
      </c>
    </row>
    <row r="197" spans="1:40" x14ac:dyDescent="0.2">
      <c r="A197" s="2">
        <v>45993.612395833326</v>
      </c>
      <c r="B197" t="s">
        <v>832</v>
      </c>
      <c r="C197" t="s">
        <v>813</v>
      </c>
      <c r="D197" t="s">
        <v>827</v>
      </c>
      <c r="E197" t="s">
        <v>828</v>
      </c>
      <c r="F197" t="s">
        <v>833</v>
      </c>
      <c r="G197">
        <v>89271849559</v>
      </c>
      <c r="H197" t="s">
        <v>834</v>
      </c>
      <c r="I197" t="s">
        <v>835</v>
      </c>
      <c r="J197" t="s">
        <v>34</v>
      </c>
      <c r="K197">
        <v>95</v>
      </c>
      <c r="L197">
        <v>30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</v>
      </c>
      <c r="V197">
        <v>5</v>
      </c>
      <c r="W197">
        <v>5</v>
      </c>
      <c r="X197">
        <v>5</v>
      </c>
      <c r="Y197">
        <v>5</v>
      </c>
      <c r="Z197">
        <v>5</v>
      </c>
      <c r="AA197">
        <v>0</v>
      </c>
      <c r="AC197" t="s">
        <v>35</v>
      </c>
      <c r="AD197" t="s">
        <v>34</v>
      </c>
      <c r="AE197">
        <v>1</v>
      </c>
      <c r="AF197">
        <v>0</v>
      </c>
      <c r="AG197" t="s">
        <v>56</v>
      </c>
      <c r="AL197" t="s">
        <v>34</v>
      </c>
      <c r="AM197" t="s">
        <v>34</v>
      </c>
    </row>
    <row r="198" spans="1:40" x14ac:dyDescent="0.2">
      <c r="A198" s="2">
        <v>45992.676006944443</v>
      </c>
      <c r="B198" t="s">
        <v>971</v>
      </c>
      <c r="C198" t="s">
        <v>813</v>
      </c>
      <c r="D198" t="s">
        <v>827</v>
      </c>
      <c r="E198" t="s">
        <v>972</v>
      </c>
      <c r="F198" t="s">
        <v>973</v>
      </c>
      <c r="G198">
        <v>88344426243</v>
      </c>
      <c r="H198" t="s">
        <v>974</v>
      </c>
      <c r="I198" t="s">
        <v>33</v>
      </c>
      <c r="J198" t="s">
        <v>34</v>
      </c>
      <c r="K198">
        <v>125</v>
      </c>
      <c r="L198">
        <v>27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4</v>
      </c>
      <c r="V198" s="4">
        <v>10</v>
      </c>
      <c r="W198" s="4">
        <v>7</v>
      </c>
      <c r="X198" s="4">
        <v>0</v>
      </c>
      <c r="Y198" s="4">
        <v>6</v>
      </c>
      <c r="Z198" s="4">
        <v>0</v>
      </c>
      <c r="AA198" s="4">
        <v>0</v>
      </c>
      <c r="AC198" t="s">
        <v>35</v>
      </c>
      <c r="AD198" t="s">
        <v>34</v>
      </c>
      <c r="AE198">
        <v>1</v>
      </c>
      <c r="AF198">
        <v>0</v>
      </c>
      <c r="AG198">
        <v>0</v>
      </c>
      <c r="AL198" t="s">
        <v>34</v>
      </c>
      <c r="AM198" t="s">
        <v>34</v>
      </c>
    </row>
    <row r="199" spans="1:40" x14ac:dyDescent="0.2">
      <c r="A199" s="2">
        <v>45982.482187499998</v>
      </c>
      <c r="B199" t="s">
        <v>1003</v>
      </c>
      <c r="C199" t="s">
        <v>813</v>
      </c>
      <c r="D199" t="s">
        <v>827</v>
      </c>
      <c r="E199" t="s">
        <v>1004</v>
      </c>
      <c r="F199" t="s">
        <v>1005</v>
      </c>
      <c r="G199" t="s">
        <v>1006</v>
      </c>
      <c r="H199" t="s">
        <v>1007</v>
      </c>
      <c r="I199" t="s">
        <v>33</v>
      </c>
      <c r="J199" t="s">
        <v>34</v>
      </c>
      <c r="K199">
        <v>50</v>
      </c>
      <c r="L199">
        <v>10</v>
      </c>
      <c r="M199">
        <v>0</v>
      </c>
      <c r="N199">
        <v>0</v>
      </c>
      <c r="O199">
        <v>3</v>
      </c>
      <c r="P199">
        <v>1</v>
      </c>
      <c r="Q199">
        <v>0</v>
      </c>
      <c r="R199">
        <v>2</v>
      </c>
      <c r="S199">
        <v>0</v>
      </c>
      <c r="T199">
        <v>1</v>
      </c>
      <c r="U199">
        <v>2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 t="s">
        <v>50</v>
      </c>
      <c r="AC199" t="s">
        <v>35</v>
      </c>
      <c r="AD199" t="s">
        <v>35</v>
      </c>
      <c r="AE199">
        <v>1</v>
      </c>
      <c r="AF199">
        <v>0</v>
      </c>
      <c r="AG199" t="s">
        <v>1008</v>
      </c>
      <c r="AH199">
        <v>1</v>
      </c>
      <c r="AL199" t="s">
        <v>35</v>
      </c>
      <c r="AM199" t="s">
        <v>34</v>
      </c>
    </row>
    <row r="200" spans="1:40" x14ac:dyDescent="0.2">
      <c r="A200" s="2">
        <v>45992.622893518521</v>
      </c>
      <c r="B200" t="s">
        <v>1101</v>
      </c>
      <c r="C200" t="s">
        <v>813</v>
      </c>
      <c r="D200" t="s">
        <v>827</v>
      </c>
      <c r="E200" t="s">
        <v>1102</v>
      </c>
      <c r="F200" t="s">
        <v>1103</v>
      </c>
      <c r="G200">
        <v>88345342227</v>
      </c>
      <c r="H200" t="s">
        <v>1104</v>
      </c>
      <c r="I200" t="s">
        <v>41</v>
      </c>
      <c r="J200" t="s">
        <v>34</v>
      </c>
      <c r="K200">
        <v>250</v>
      </c>
      <c r="L200">
        <v>98</v>
      </c>
      <c r="M200">
        <v>0</v>
      </c>
      <c r="N200">
        <v>0</v>
      </c>
      <c r="O200">
        <v>10</v>
      </c>
      <c r="P200">
        <v>10</v>
      </c>
      <c r="Q200">
        <v>10</v>
      </c>
      <c r="R200">
        <v>10</v>
      </c>
      <c r="S200">
        <v>10</v>
      </c>
      <c r="T200">
        <v>10</v>
      </c>
      <c r="U200">
        <v>10</v>
      </c>
      <c r="V200">
        <v>10</v>
      </c>
      <c r="W200">
        <v>10</v>
      </c>
      <c r="X200">
        <v>8</v>
      </c>
      <c r="Y200">
        <v>0</v>
      </c>
      <c r="Z200">
        <v>0</v>
      </c>
      <c r="AA200">
        <v>0</v>
      </c>
      <c r="AC200" t="s">
        <v>34</v>
      </c>
      <c r="AD200" t="s">
        <v>34</v>
      </c>
      <c r="AE200">
        <v>2</v>
      </c>
      <c r="AF200">
        <v>1</v>
      </c>
      <c r="AG200" t="s">
        <v>1105</v>
      </c>
      <c r="AL200" t="s">
        <v>34</v>
      </c>
      <c r="AM200" t="s">
        <v>34</v>
      </c>
    </row>
    <row r="201" spans="1:40" x14ac:dyDescent="0.2">
      <c r="A201" s="2">
        <v>45992.625590277778</v>
      </c>
      <c r="B201" t="s">
        <v>1352</v>
      </c>
      <c r="C201" t="s">
        <v>813</v>
      </c>
      <c r="D201" t="s">
        <v>827</v>
      </c>
      <c r="E201" t="s">
        <v>1353</v>
      </c>
      <c r="F201" t="s">
        <v>1354</v>
      </c>
      <c r="G201" t="s">
        <v>1355</v>
      </c>
      <c r="H201" t="s">
        <v>1356</v>
      </c>
      <c r="I201" t="s">
        <v>33</v>
      </c>
      <c r="J201" t="s">
        <v>34</v>
      </c>
      <c r="K201">
        <v>100</v>
      </c>
      <c r="L201">
        <v>45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10</v>
      </c>
      <c r="T201">
        <v>0</v>
      </c>
      <c r="U201">
        <v>10</v>
      </c>
      <c r="V201">
        <v>5</v>
      </c>
      <c r="W201">
        <v>5</v>
      </c>
      <c r="X201">
        <v>10</v>
      </c>
      <c r="Y201">
        <v>5</v>
      </c>
      <c r="Z201">
        <v>0</v>
      </c>
      <c r="AA201">
        <v>0</v>
      </c>
      <c r="AC201" t="s">
        <v>35</v>
      </c>
      <c r="AD201" t="s">
        <v>34</v>
      </c>
      <c r="AE201">
        <v>1</v>
      </c>
      <c r="AF201">
        <v>0</v>
      </c>
      <c r="AG201">
        <v>0</v>
      </c>
      <c r="AL201" t="s">
        <v>34</v>
      </c>
      <c r="AM201" t="s">
        <v>34</v>
      </c>
    </row>
    <row r="202" spans="1:40" x14ac:dyDescent="0.2">
      <c r="A202" s="2">
        <v>45975.603020833332</v>
      </c>
      <c r="B202" t="s">
        <v>1378</v>
      </c>
      <c r="C202" t="s">
        <v>813</v>
      </c>
      <c r="D202" t="s">
        <v>827</v>
      </c>
      <c r="E202" t="s">
        <v>1379</v>
      </c>
      <c r="F202" t="s">
        <v>1380</v>
      </c>
      <c r="G202">
        <v>9271836677</v>
      </c>
      <c r="H202" t="s">
        <v>1381</v>
      </c>
      <c r="I202" t="s">
        <v>1382</v>
      </c>
      <c r="J202" t="s">
        <v>114</v>
      </c>
      <c r="K202">
        <v>950</v>
      </c>
      <c r="L202">
        <v>70</v>
      </c>
      <c r="M202">
        <v>0</v>
      </c>
      <c r="N202">
        <v>0</v>
      </c>
      <c r="O202">
        <v>1</v>
      </c>
      <c r="P202">
        <v>2</v>
      </c>
      <c r="Q202">
        <v>0</v>
      </c>
      <c r="R202">
        <v>7</v>
      </c>
      <c r="S202">
        <v>6</v>
      </c>
      <c r="T202">
        <v>6</v>
      </c>
      <c r="U202">
        <v>5</v>
      </c>
      <c r="V202">
        <v>18</v>
      </c>
      <c r="W202">
        <v>11</v>
      </c>
      <c r="X202">
        <v>9</v>
      </c>
      <c r="Y202">
        <v>3</v>
      </c>
      <c r="Z202">
        <v>2</v>
      </c>
      <c r="AA202">
        <v>0</v>
      </c>
      <c r="AB202" t="s">
        <v>50</v>
      </c>
      <c r="AC202" t="s">
        <v>35</v>
      </c>
      <c r="AD202" t="s">
        <v>35</v>
      </c>
      <c r="AE202">
        <v>4</v>
      </c>
      <c r="AF202">
        <v>1</v>
      </c>
      <c r="AG202" t="s">
        <v>1383</v>
      </c>
      <c r="AL202" t="s">
        <v>35</v>
      </c>
      <c r="AM202" t="s">
        <v>34</v>
      </c>
      <c r="AN202" t="s">
        <v>34</v>
      </c>
    </row>
    <row r="203" spans="1:40" x14ac:dyDescent="0.2">
      <c r="A203" s="2">
        <v>45980.669270833343</v>
      </c>
      <c r="B203" t="s">
        <v>1433</v>
      </c>
      <c r="C203" t="s">
        <v>813</v>
      </c>
      <c r="D203" t="s">
        <v>827</v>
      </c>
      <c r="E203" t="s">
        <v>1434</v>
      </c>
      <c r="F203" t="s">
        <v>1435</v>
      </c>
      <c r="G203">
        <v>88344629134</v>
      </c>
      <c r="H203" t="s">
        <v>1436</v>
      </c>
      <c r="I203" t="s">
        <v>1437</v>
      </c>
      <c r="J203" t="s">
        <v>34</v>
      </c>
      <c r="K203">
        <v>60</v>
      </c>
      <c r="L203">
        <v>33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5</v>
      </c>
      <c r="T203">
        <v>9</v>
      </c>
      <c r="U203">
        <v>3</v>
      </c>
      <c r="V203">
        <v>8</v>
      </c>
      <c r="W203">
        <v>4</v>
      </c>
      <c r="X203">
        <v>0</v>
      </c>
      <c r="Y203">
        <v>3</v>
      </c>
      <c r="Z203">
        <v>0</v>
      </c>
      <c r="AA203">
        <v>0</v>
      </c>
      <c r="AB203" t="s">
        <v>189</v>
      </c>
      <c r="AC203" t="s">
        <v>35</v>
      </c>
      <c r="AD203" t="s">
        <v>34</v>
      </c>
      <c r="AE203">
        <v>1</v>
      </c>
      <c r="AF203">
        <v>0</v>
      </c>
      <c r="AG203">
        <v>0</v>
      </c>
      <c r="AL203" t="s">
        <v>35</v>
      </c>
      <c r="AM203" t="s">
        <v>34</v>
      </c>
      <c r="AN203" t="s">
        <v>34</v>
      </c>
    </row>
    <row r="204" spans="1:40" x14ac:dyDescent="0.2">
      <c r="A204" s="2">
        <v>45980.631296296298</v>
      </c>
      <c r="B204" t="s">
        <v>1111</v>
      </c>
      <c r="C204" t="s">
        <v>813</v>
      </c>
      <c r="D204" t="s">
        <v>827</v>
      </c>
      <c r="E204" t="s">
        <v>1112</v>
      </c>
      <c r="F204" t="s">
        <v>1113</v>
      </c>
      <c r="G204">
        <v>88344324513</v>
      </c>
      <c r="H204" t="s">
        <v>1114</v>
      </c>
      <c r="I204" t="s">
        <v>33</v>
      </c>
      <c r="J204" t="s">
        <v>34</v>
      </c>
      <c r="K204">
        <v>190</v>
      </c>
      <c r="L204">
        <v>21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6</v>
      </c>
      <c r="V204">
        <v>10</v>
      </c>
      <c r="W204">
        <v>2</v>
      </c>
      <c r="X204">
        <v>3</v>
      </c>
      <c r="Y204">
        <v>0</v>
      </c>
      <c r="Z204">
        <v>0</v>
      </c>
      <c r="AA204">
        <v>0</v>
      </c>
      <c r="AB204" t="s">
        <v>131</v>
      </c>
      <c r="AC204" t="s">
        <v>35</v>
      </c>
      <c r="AD204" t="s">
        <v>34</v>
      </c>
      <c r="AE204">
        <v>3</v>
      </c>
      <c r="AF204">
        <v>2</v>
      </c>
      <c r="AG204">
        <v>0</v>
      </c>
      <c r="AL204" t="s">
        <v>35</v>
      </c>
      <c r="AM204" t="s">
        <v>34</v>
      </c>
      <c r="AN204" t="s">
        <v>56</v>
      </c>
    </row>
    <row r="205" spans="1:40" x14ac:dyDescent="0.2">
      <c r="A205" s="2">
        <v>45975.463483796288</v>
      </c>
      <c r="B205" t="s">
        <v>1111</v>
      </c>
      <c r="C205" t="s">
        <v>813</v>
      </c>
      <c r="D205" t="s">
        <v>827</v>
      </c>
      <c r="E205" t="s">
        <v>1357</v>
      </c>
      <c r="F205" t="s">
        <v>1358</v>
      </c>
      <c r="G205">
        <v>8345122545</v>
      </c>
      <c r="H205" t="s">
        <v>1359</v>
      </c>
      <c r="I205" t="s">
        <v>33</v>
      </c>
      <c r="J205" t="s">
        <v>34</v>
      </c>
      <c r="K205">
        <v>346</v>
      </c>
      <c r="L205">
        <v>48</v>
      </c>
      <c r="M205">
        <v>0</v>
      </c>
      <c r="N205">
        <v>0</v>
      </c>
      <c r="O205">
        <v>0</v>
      </c>
      <c r="P205">
        <v>3</v>
      </c>
      <c r="Q205">
        <v>5</v>
      </c>
      <c r="R205">
        <v>9</v>
      </c>
      <c r="S205">
        <v>7</v>
      </c>
      <c r="T205">
        <v>10</v>
      </c>
      <c r="U205">
        <v>0</v>
      </c>
      <c r="V205">
        <v>1</v>
      </c>
      <c r="W205">
        <v>0</v>
      </c>
      <c r="X205">
        <v>3</v>
      </c>
      <c r="Y205">
        <v>10</v>
      </c>
      <c r="Z205">
        <v>0</v>
      </c>
      <c r="AA205">
        <v>0</v>
      </c>
      <c r="AB205" t="s">
        <v>50</v>
      </c>
      <c r="AC205" t="s">
        <v>34</v>
      </c>
      <c r="AD205" t="s">
        <v>34</v>
      </c>
      <c r="AE205">
        <v>1</v>
      </c>
      <c r="AF205">
        <v>1</v>
      </c>
      <c r="AG205" t="s">
        <v>1360</v>
      </c>
      <c r="AL205" t="s">
        <v>34</v>
      </c>
      <c r="AM205" t="s">
        <v>34</v>
      </c>
    </row>
    <row r="206" spans="1:40" x14ac:dyDescent="0.2">
      <c r="A206" s="2">
        <v>45993.610474537039</v>
      </c>
      <c r="B206" t="s">
        <v>967</v>
      </c>
      <c r="C206" t="s">
        <v>813</v>
      </c>
      <c r="D206" t="s">
        <v>814</v>
      </c>
      <c r="E206" t="s">
        <v>968</v>
      </c>
      <c r="F206" t="s">
        <v>969</v>
      </c>
      <c r="G206">
        <v>79279339598</v>
      </c>
      <c r="H206" t="s">
        <v>970</v>
      </c>
      <c r="I206" t="s">
        <v>835</v>
      </c>
      <c r="J206" t="s">
        <v>34</v>
      </c>
      <c r="K206">
        <v>112</v>
      </c>
      <c r="L206">
        <v>36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10</v>
      </c>
      <c r="V206">
        <v>10</v>
      </c>
      <c r="W206">
        <v>10</v>
      </c>
      <c r="X206">
        <v>6</v>
      </c>
      <c r="Y206">
        <v>0</v>
      </c>
      <c r="Z206">
        <v>0</v>
      </c>
      <c r="AA206">
        <v>0</v>
      </c>
      <c r="AC206" t="s">
        <v>35</v>
      </c>
      <c r="AD206" t="s">
        <v>34</v>
      </c>
      <c r="AE206">
        <v>1</v>
      </c>
      <c r="AF206">
        <v>0</v>
      </c>
      <c r="AG206">
        <v>0</v>
      </c>
      <c r="AL206" t="s">
        <v>34</v>
      </c>
      <c r="AM206" t="s">
        <v>34</v>
      </c>
    </row>
    <row r="207" spans="1:40" x14ac:dyDescent="0.2">
      <c r="A207" s="2">
        <v>45978.595370370371</v>
      </c>
      <c r="B207" t="s">
        <v>812</v>
      </c>
      <c r="C207" t="s">
        <v>813</v>
      </c>
      <c r="D207" t="s">
        <v>814</v>
      </c>
      <c r="E207" t="s">
        <v>815</v>
      </c>
      <c r="F207" t="s">
        <v>816</v>
      </c>
      <c r="G207">
        <v>88434428006</v>
      </c>
      <c r="H207" t="s">
        <v>817</v>
      </c>
      <c r="I207" t="s">
        <v>49</v>
      </c>
      <c r="J207" t="s">
        <v>34</v>
      </c>
      <c r="K207">
        <v>106</v>
      </c>
      <c r="L207">
        <v>30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</v>
      </c>
      <c r="S207">
        <v>4</v>
      </c>
      <c r="T207">
        <v>6</v>
      </c>
      <c r="U207">
        <v>4</v>
      </c>
      <c r="V207">
        <v>2</v>
      </c>
      <c r="W207">
        <v>4</v>
      </c>
      <c r="X207">
        <v>4</v>
      </c>
      <c r="Y207">
        <v>2</v>
      </c>
      <c r="Z207">
        <v>0</v>
      </c>
      <c r="AA207">
        <v>0</v>
      </c>
      <c r="AB207" t="s">
        <v>50</v>
      </c>
      <c r="AC207" t="s">
        <v>34</v>
      </c>
      <c r="AD207" t="s">
        <v>34</v>
      </c>
      <c r="AE207">
        <v>1</v>
      </c>
      <c r="AF207">
        <v>0</v>
      </c>
      <c r="AG207" t="s">
        <v>818</v>
      </c>
      <c r="AL207" t="s">
        <v>35</v>
      </c>
      <c r="AM207" t="s">
        <v>34</v>
      </c>
    </row>
    <row r="208" spans="1:40" x14ac:dyDescent="0.2">
      <c r="A208" s="2">
        <v>45979.382418981477</v>
      </c>
      <c r="B208" t="s">
        <v>819</v>
      </c>
      <c r="C208" t="s">
        <v>813</v>
      </c>
      <c r="D208" t="s">
        <v>814</v>
      </c>
      <c r="E208" t="s">
        <v>820</v>
      </c>
      <c r="F208" t="s">
        <v>821</v>
      </c>
      <c r="G208" t="s">
        <v>822</v>
      </c>
      <c r="H208" t="s">
        <v>823</v>
      </c>
      <c r="I208" t="s">
        <v>49</v>
      </c>
      <c r="J208" t="s">
        <v>114</v>
      </c>
      <c r="K208">
        <v>677</v>
      </c>
      <c r="L208">
        <v>81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7</v>
      </c>
      <c r="S208">
        <v>15</v>
      </c>
      <c r="T208">
        <v>15</v>
      </c>
      <c r="U208">
        <v>10</v>
      </c>
      <c r="V208">
        <v>10</v>
      </c>
      <c r="W208">
        <v>12</v>
      </c>
      <c r="X208">
        <v>6</v>
      </c>
      <c r="Y208">
        <v>5</v>
      </c>
      <c r="Z208">
        <v>0</v>
      </c>
      <c r="AA208">
        <v>1</v>
      </c>
      <c r="AB208" t="s">
        <v>824</v>
      </c>
      <c r="AC208" t="s">
        <v>34</v>
      </c>
      <c r="AD208" t="s">
        <v>34</v>
      </c>
      <c r="AE208">
        <v>2</v>
      </c>
      <c r="AF208">
        <v>0</v>
      </c>
      <c r="AG208" t="s">
        <v>825</v>
      </c>
      <c r="AH208">
        <v>1</v>
      </c>
      <c r="AL208" t="s">
        <v>35</v>
      </c>
      <c r="AM208" t="s">
        <v>35</v>
      </c>
    </row>
    <row r="209" spans="1:40" x14ac:dyDescent="0.2">
      <c r="A209" s="2">
        <v>45993.598217592589</v>
      </c>
      <c r="B209" t="s">
        <v>847</v>
      </c>
      <c r="C209" t="s">
        <v>813</v>
      </c>
      <c r="D209" t="s">
        <v>814</v>
      </c>
      <c r="E209" t="s">
        <v>848</v>
      </c>
      <c r="F209" t="s">
        <v>849</v>
      </c>
      <c r="G209">
        <v>88436921021</v>
      </c>
      <c r="H209" t="s">
        <v>850</v>
      </c>
      <c r="I209" t="s">
        <v>41</v>
      </c>
      <c r="J209" t="s">
        <v>34</v>
      </c>
      <c r="K209">
        <v>85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5</v>
      </c>
      <c r="Y209">
        <v>5</v>
      </c>
      <c r="Z209">
        <v>3</v>
      </c>
      <c r="AA209">
        <v>0</v>
      </c>
      <c r="AC209" t="s">
        <v>35</v>
      </c>
      <c r="AD209" t="s">
        <v>34</v>
      </c>
      <c r="AE209">
        <v>1</v>
      </c>
      <c r="AF209">
        <v>0</v>
      </c>
      <c r="AG209">
        <v>0</v>
      </c>
      <c r="AL209" t="s">
        <v>34</v>
      </c>
      <c r="AM209" t="s">
        <v>34</v>
      </c>
    </row>
    <row r="210" spans="1:40" x14ac:dyDescent="0.2">
      <c r="A210" s="2">
        <v>45993.625821759262</v>
      </c>
      <c r="B210" t="s">
        <v>870</v>
      </c>
      <c r="C210" t="s">
        <v>813</v>
      </c>
      <c r="D210" t="s">
        <v>814</v>
      </c>
      <c r="E210" t="s">
        <v>871</v>
      </c>
      <c r="F210" t="s">
        <v>872</v>
      </c>
      <c r="G210">
        <v>89655919111</v>
      </c>
      <c r="H210" t="s">
        <v>873</v>
      </c>
      <c r="I210" t="s">
        <v>33</v>
      </c>
      <c r="J210" t="s">
        <v>34</v>
      </c>
      <c r="K210">
        <v>115</v>
      </c>
      <c r="L210">
        <v>56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4</v>
      </c>
      <c r="U210">
        <v>9</v>
      </c>
      <c r="V210">
        <v>12</v>
      </c>
      <c r="W210">
        <v>10</v>
      </c>
      <c r="X210">
        <v>6</v>
      </c>
      <c r="Y210">
        <v>5</v>
      </c>
      <c r="Z210">
        <v>5</v>
      </c>
      <c r="AA210">
        <v>5</v>
      </c>
      <c r="AC210" t="s">
        <v>35</v>
      </c>
      <c r="AD210" t="s">
        <v>35</v>
      </c>
      <c r="AE210">
        <v>1</v>
      </c>
      <c r="AF210">
        <v>0</v>
      </c>
      <c r="AG210" t="s">
        <v>56</v>
      </c>
      <c r="AL210" t="s">
        <v>34</v>
      </c>
      <c r="AM210" t="s">
        <v>34</v>
      </c>
      <c r="AN210" t="s">
        <v>56</v>
      </c>
    </row>
    <row r="211" spans="1:40" x14ac:dyDescent="0.2">
      <c r="A211" s="2">
        <v>45992.382557870369</v>
      </c>
      <c r="B211" t="s">
        <v>892</v>
      </c>
      <c r="C211" t="s">
        <v>813</v>
      </c>
      <c r="D211" t="s">
        <v>814</v>
      </c>
      <c r="E211" t="s">
        <v>893</v>
      </c>
      <c r="F211" t="s">
        <v>894</v>
      </c>
      <c r="G211">
        <v>89274180898</v>
      </c>
      <c r="H211" t="s">
        <v>895</v>
      </c>
      <c r="I211" t="s">
        <v>41</v>
      </c>
      <c r="J211" t="s">
        <v>34</v>
      </c>
      <c r="K211">
        <v>75</v>
      </c>
      <c r="L211">
        <v>10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5</v>
      </c>
      <c r="V211">
        <v>5</v>
      </c>
      <c r="W211">
        <v>0</v>
      </c>
      <c r="X211">
        <v>0</v>
      </c>
      <c r="Y211">
        <v>0</v>
      </c>
      <c r="Z211">
        <v>0</v>
      </c>
      <c r="AA211">
        <v>0</v>
      </c>
      <c r="AC211" t="s">
        <v>35</v>
      </c>
      <c r="AD211" t="s">
        <v>35</v>
      </c>
      <c r="AE211">
        <v>1</v>
      </c>
      <c r="AF211">
        <v>0</v>
      </c>
      <c r="AG211" t="s">
        <v>56</v>
      </c>
      <c r="AL211" t="s">
        <v>34</v>
      </c>
      <c r="AM211" t="s">
        <v>34</v>
      </c>
    </row>
    <row r="212" spans="1:40" x14ac:dyDescent="0.2">
      <c r="A212" s="2">
        <v>45994.623472222222</v>
      </c>
      <c r="B212" t="s">
        <v>936</v>
      </c>
      <c r="C212" t="s">
        <v>813</v>
      </c>
      <c r="D212" t="s">
        <v>814</v>
      </c>
      <c r="E212" t="s">
        <v>937</v>
      </c>
      <c r="F212" t="s">
        <v>938</v>
      </c>
      <c r="G212">
        <v>89178889171</v>
      </c>
      <c r="I212" t="s">
        <v>100</v>
      </c>
      <c r="J212" t="s">
        <v>34</v>
      </c>
      <c r="K212">
        <v>100</v>
      </c>
      <c r="L212">
        <v>22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3</v>
      </c>
      <c r="S212" s="4">
        <v>5</v>
      </c>
      <c r="T212" s="4">
        <v>5</v>
      </c>
      <c r="U212" s="4">
        <v>3</v>
      </c>
      <c r="V212" s="4">
        <v>3</v>
      </c>
      <c r="W212" s="4">
        <v>3</v>
      </c>
      <c r="X212" s="4">
        <v>0</v>
      </c>
      <c r="Y212" s="4">
        <v>0</v>
      </c>
      <c r="Z212" s="4">
        <v>0</v>
      </c>
      <c r="AA212" s="4">
        <v>0</v>
      </c>
      <c r="AB212" t="s">
        <v>939</v>
      </c>
      <c r="AC212" t="s">
        <v>34</v>
      </c>
      <c r="AD212" t="s">
        <v>34</v>
      </c>
      <c r="AE212">
        <v>1</v>
      </c>
      <c r="AF212">
        <v>0</v>
      </c>
      <c r="AG212" t="s">
        <v>56</v>
      </c>
      <c r="AL212" t="s">
        <v>34</v>
      </c>
      <c r="AM212" t="s">
        <v>34</v>
      </c>
      <c r="AN212" t="s">
        <v>940</v>
      </c>
    </row>
    <row r="213" spans="1:40" x14ac:dyDescent="0.2">
      <c r="A213" s="2">
        <v>45979.392962962957</v>
      </c>
      <c r="B213" t="s">
        <v>975</v>
      </c>
      <c r="C213" t="s">
        <v>813</v>
      </c>
      <c r="D213" t="s">
        <v>814</v>
      </c>
      <c r="E213" t="s">
        <v>976</v>
      </c>
      <c r="F213" t="s">
        <v>977</v>
      </c>
      <c r="G213" t="s">
        <v>978</v>
      </c>
      <c r="H213" t="s">
        <v>979</v>
      </c>
      <c r="I213" t="s">
        <v>49</v>
      </c>
      <c r="J213" t="s">
        <v>114</v>
      </c>
      <c r="K213">
        <v>701</v>
      </c>
      <c r="L213">
        <v>111</v>
      </c>
      <c r="M213">
        <v>0</v>
      </c>
      <c r="N213">
        <v>0</v>
      </c>
      <c r="O213">
        <v>0</v>
      </c>
      <c r="P213">
        <v>0</v>
      </c>
      <c r="Q213">
        <v>6</v>
      </c>
      <c r="R213">
        <v>7</v>
      </c>
      <c r="S213">
        <v>11</v>
      </c>
      <c r="T213">
        <v>5</v>
      </c>
      <c r="U213">
        <v>6</v>
      </c>
      <c r="V213">
        <v>16</v>
      </c>
      <c r="W213">
        <v>14</v>
      </c>
      <c r="X213">
        <v>18</v>
      </c>
      <c r="Y213">
        <v>12</v>
      </c>
      <c r="Z213">
        <v>16</v>
      </c>
      <c r="AA213">
        <v>0</v>
      </c>
      <c r="AB213" t="s">
        <v>50</v>
      </c>
      <c r="AC213" t="s">
        <v>35</v>
      </c>
      <c r="AD213" t="s">
        <v>34</v>
      </c>
      <c r="AE213">
        <v>3</v>
      </c>
      <c r="AF213">
        <v>1</v>
      </c>
      <c r="AG213" t="s">
        <v>48</v>
      </c>
      <c r="AL213" t="s">
        <v>35</v>
      </c>
      <c r="AM213" t="s">
        <v>35</v>
      </c>
    </row>
    <row r="214" spans="1:40" x14ac:dyDescent="0.2">
      <c r="A214" s="2">
        <v>45994.582986111112</v>
      </c>
      <c r="B214" t="s">
        <v>1035</v>
      </c>
      <c r="C214" t="s">
        <v>813</v>
      </c>
      <c r="D214" t="s">
        <v>814</v>
      </c>
      <c r="E214" t="s">
        <v>1036</v>
      </c>
      <c r="F214" t="s">
        <v>1036</v>
      </c>
      <c r="G214">
        <v>89956878334</v>
      </c>
      <c r="H214" t="s">
        <v>56</v>
      </c>
      <c r="I214" t="s">
        <v>1037</v>
      </c>
      <c r="J214" t="s">
        <v>34</v>
      </c>
      <c r="K214">
        <v>100</v>
      </c>
      <c r="L214">
        <v>11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4</v>
      </c>
      <c r="W214">
        <v>4</v>
      </c>
      <c r="X214">
        <v>0</v>
      </c>
      <c r="Y214">
        <v>0</v>
      </c>
      <c r="Z214">
        <v>3</v>
      </c>
      <c r="AA214">
        <v>0</v>
      </c>
      <c r="AC214" t="s">
        <v>35</v>
      </c>
      <c r="AD214" t="s">
        <v>35</v>
      </c>
      <c r="AE214">
        <v>1</v>
      </c>
      <c r="AF214">
        <v>0</v>
      </c>
      <c r="AG214" t="s">
        <v>1038</v>
      </c>
      <c r="AL214" t="s">
        <v>35</v>
      </c>
      <c r="AM214" t="s">
        <v>34</v>
      </c>
    </row>
    <row r="215" spans="1:40" x14ac:dyDescent="0.2">
      <c r="A215" s="2">
        <v>45979.362060185187</v>
      </c>
      <c r="B215" t="s">
        <v>1039</v>
      </c>
      <c r="C215" t="s">
        <v>813</v>
      </c>
      <c r="D215" t="s">
        <v>814</v>
      </c>
      <c r="E215" t="s">
        <v>1036</v>
      </c>
      <c r="F215" t="s">
        <v>1040</v>
      </c>
      <c r="G215" t="s">
        <v>1041</v>
      </c>
      <c r="H215" t="s">
        <v>1042</v>
      </c>
      <c r="I215" t="s">
        <v>49</v>
      </c>
      <c r="J215" t="s">
        <v>34</v>
      </c>
      <c r="K215">
        <v>420</v>
      </c>
      <c r="L215">
        <v>107</v>
      </c>
      <c r="M215">
        <v>16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</v>
      </c>
      <c r="U215">
        <v>9</v>
      </c>
      <c r="V215">
        <v>15</v>
      </c>
      <c r="W215">
        <v>16</v>
      </c>
      <c r="X215">
        <v>16</v>
      </c>
      <c r="Y215">
        <v>20</v>
      </c>
      <c r="Z215">
        <v>9</v>
      </c>
      <c r="AA215">
        <v>4</v>
      </c>
      <c r="AB215" t="s">
        <v>94</v>
      </c>
      <c r="AC215" t="s">
        <v>34</v>
      </c>
      <c r="AD215" t="s">
        <v>34</v>
      </c>
      <c r="AE215">
        <v>4</v>
      </c>
      <c r="AF215">
        <v>2</v>
      </c>
      <c r="AG215" t="s">
        <v>1043</v>
      </c>
      <c r="AI215">
        <v>1</v>
      </c>
      <c r="AL215" t="s">
        <v>35</v>
      </c>
      <c r="AM215" t="s">
        <v>35</v>
      </c>
    </row>
    <row r="216" spans="1:40" x14ac:dyDescent="0.2">
      <c r="A216" s="2">
        <v>45975.583437499998</v>
      </c>
      <c r="B216" t="s">
        <v>1044</v>
      </c>
      <c r="C216" t="s">
        <v>813</v>
      </c>
      <c r="D216" t="s">
        <v>814</v>
      </c>
      <c r="E216" t="s">
        <v>1036</v>
      </c>
      <c r="F216" t="s">
        <v>1045</v>
      </c>
      <c r="G216" t="s">
        <v>1046</v>
      </c>
      <c r="H216" t="s">
        <v>1047</v>
      </c>
      <c r="I216" t="s">
        <v>49</v>
      </c>
      <c r="J216" t="s">
        <v>34</v>
      </c>
      <c r="K216">
        <v>335</v>
      </c>
      <c r="L216">
        <v>30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4</v>
      </c>
      <c r="U216">
        <v>4</v>
      </c>
      <c r="V216">
        <v>5</v>
      </c>
      <c r="W216">
        <v>13</v>
      </c>
      <c r="X216">
        <v>2</v>
      </c>
      <c r="Y216">
        <v>1</v>
      </c>
      <c r="Z216">
        <v>0</v>
      </c>
      <c r="AA216">
        <v>0</v>
      </c>
      <c r="AB216" t="s">
        <v>80</v>
      </c>
      <c r="AC216" t="s">
        <v>34</v>
      </c>
      <c r="AD216" t="s">
        <v>34</v>
      </c>
      <c r="AE216">
        <v>1</v>
      </c>
      <c r="AF216">
        <v>0</v>
      </c>
      <c r="AG216" t="s">
        <v>48</v>
      </c>
      <c r="AL216" t="s">
        <v>35</v>
      </c>
      <c r="AM216" t="s">
        <v>35</v>
      </c>
    </row>
    <row r="217" spans="1:40" x14ac:dyDescent="0.2">
      <c r="A217" s="2">
        <v>45975.492314814823</v>
      </c>
      <c r="B217" t="s">
        <v>1048</v>
      </c>
      <c r="C217" t="s">
        <v>813</v>
      </c>
      <c r="D217" t="s">
        <v>814</v>
      </c>
      <c r="E217" t="s">
        <v>1036</v>
      </c>
      <c r="F217" t="s">
        <v>1049</v>
      </c>
      <c r="G217" t="s">
        <v>1050</v>
      </c>
      <c r="H217" t="s">
        <v>1051</v>
      </c>
      <c r="I217" t="s">
        <v>49</v>
      </c>
      <c r="J217" t="s">
        <v>34</v>
      </c>
      <c r="K217">
        <v>180</v>
      </c>
      <c r="L217">
        <v>15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10</v>
      </c>
      <c r="W217">
        <v>5</v>
      </c>
      <c r="X217">
        <v>0</v>
      </c>
      <c r="Y217">
        <v>0</v>
      </c>
      <c r="Z217">
        <v>0</v>
      </c>
      <c r="AA217">
        <v>0</v>
      </c>
      <c r="AB217" t="s">
        <v>94</v>
      </c>
      <c r="AC217" t="s">
        <v>35</v>
      </c>
      <c r="AD217" t="s">
        <v>35</v>
      </c>
      <c r="AE217">
        <v>1</v>
      </c>
      <c r="AF217">
        <v>0</v>
      </c>
      <c r="AG217" t="s">
        <v>48</v>
      </c>
      <c r="AL217" t="s">
        <v>35</v>
      </c>
      <c r="AM217" t="s">
        <v>34</v>
      </c>
    </row>
    <row r="218" spans="1:40" x14ac:dyDescent="0.2">
      <c r="A218" s="2">
        <v>45975.584456018521</v>
      </c>
      <c r="B218" t="s">
        <v>1052</v>
      </c>
      <c r="C218" t="s">
        <v>813</v>
      </c>
      <c r="D218" t="s">
        <v>814</v>
      </c>
      <c r="E218" t="s">
        <v>1036</v>
      </c>
      <c r="F218" t="s">
        <v>1053</v>
      </c>
      <c r="G218">
        <v>88432376091</v>
      </c>
      <c r="H218" t="s">
        <v>1054</v>
      </c>
      <c r="I218" t="s">
        <v>49</v>
      </c>
      <c r="J218" t="s">
        <v>114</v>
      </c>
      <c r="K218">
        <v>476</v>
      </c>
      <c r="L218">
        <v>191</v>
      </c>
      <c r="M218">
        <v>16</v>
      </c>
      <c r="N218">
        <v>5</v>
      </c>
      <c r="O218">
        <v>2</v>
      </c>
      <c r="P218">
        <v>5</v>
      </c>
      <c r="Q218">
        <v>7</v>
      </c>
      <c r="R218">
        <v>2</v>
      </c>
      <c r="S218">
        <v>13</v>
      </c>
      <c r="T218">
        <v>20</v>
      </c>
      <c r="U218">
        <v>18</v>
      </c>
      <c r="V218">
        <v>21</v>
      </c>
      <c r="W218">
        <v>26</v>
      </c>
      <c r="X218">
        <v>17</v>
      </c>
      <c r="Y218">
        <v>32</v>
      </c>
      <c r="Z218">
        <v>6</v>
      </c>
      <c r="AA218">
        <v>1</v>
      </c>
      <c r="AB218" t="s">
        <v>696</v>
      </c>
      <c r="AC218" t="s">
        <v>34</v>
      </c>
      <c r="AD218" t="s">
        <v>34</v>
      </c>
      <c r="AE218">
        <v>6</v>
      </c>
      <c r="AF218">
        <v>4</v>
      </c>
      <c r="AG218" t="s">
        <v>1055</v>
      </c>
      <c r="AH218">
        <v>4</v>
      </c>
      <c r="AL218" t="s">
        <v>34</v>
      </c>
      <c r="AM218" t="s">
        <v>34</v>
      </c>
    </row>
    <row r="219" spans="1:40" x14ac:dyDescent="0.2">
      <c r="A219" s="2">
        <v>45979.435358796298</v>
      </c>
      <c r="B219" t="s">
        <v>1056</v>
      </c>
      <c r="C219" t="s">
        <v>813</v>
      </c>
      <c r="D219" t="s">
        <v>814</v>
      </c>
      <c r="E219" t="s">
        <v>1036</v>
      </c>
      <c r="F219" t="s">
        <v>1057</v>
      </c>
      <c r="G219">
        <v>88005501958</v>
      </c>
      <c r="H219" t="s">
        <v>1058</v>
      </c>
      <c r="I219" t="s">
        <v>1059</v>
      </c>
      <c r="J219" t="s">
        <v>188</v>
      </c>
      <c r="K219">
        <v>292</v>
      </c>
      <c r="L219">
        <v>142</v>
      </c>
      <c r="M219" s="4">
        <v>4</v>
      </c>
      <c r="N219" s="4">
        <v>5</v>
      </c>
      <c r="O219" s="4">
        <v>8</v>
      </c>
      <c r="P219" s="4">
        <v>11</v>
      </c>
      <c r="Q219" s="4">
        <v>12</v>
      </c>
      <c r="R219" s="4">
        <v>14</v>
      </c>
      <c r="S219" s="4">
        <v>12</v>
      </c>
      <c r="T219" s="4">
        <v>12</v>
      </c>
      <c r="U219" s="4">
        <v>11</v>
      </c>
      <c r="V219" s="4">
        <v>10</v>
      </c>
      <c r="W219" s="4">
        <v>15</v>
      </c>
      <c r="X219" s="4">
        <v>15</v>
      </c>
      <c r="Y219" s="4">
        <v>6</v>
      </c>
      <c r="Z219" s="4">
        <v>5</v>
      </c>
      <c r="AA219" s="4">
        <v>2</v>
      </c>
      <c r="AB219" t="s">
        <v>696</v>
      </c>
      <c r="AC219" t="s">
        <v>34</v>
      </c>
      <c r="AD219" t="s">
        <v>34</v>
      </c>
      <c r="AE219">
        <v>9</v>
      </c>
      <c r="AF219">
        <v>4</v>
      </c>
      <c r="AG219" t="s">
        <v>1060</v>
      </c>
      <c r="AH219">
        <v>1</v>
      </c>
      <c r="AI219">
        <v>3</v>
      </c>
      <c r="AL219" t="s">
        <v>35</v>
      </c>
      <c r="AM219" t="s">
        <v>35</v>
      </c>
    </row>
    <row r="220" spans="1:40" x14ac:dyDescent="0.2">
      <c r="A220" s="2">
        <v>45995.529247685183</v>
      </c>
      <c r="B220" t="s">
        <v>1061</v>
      </c>
      <c r="C220" t="s">
        <v>813</v>
      </c>
      <c r="D220" t="s">
        <v>814</v>
      </c>
      <c r="E220" t="s">
        <v>1036</v>
      </c>
      <c r="F220" t="s">
        <v>1062</v>
      </c>
      <c r="G220" t="s">
        <v>1063</v>
      </c>
      <c r="H220" t="s">
        <v>1064</v>
      </c>
      <c r="I220" t="s">
        <v>1037</v>
      </c>
      <c r="J220" t="s">
        <v>34</v>
      </c>
      <c r="K220">
        <v>90</v>
      </c>
      <c r="L220">
        <v>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</v>
      </c>
      <c r="X220">
        <v>2</v>
      </c>
      <c r="Y220">
        <v>2</v>
      </c>
      <c r="Z220">
        <v>1</v>
      </c>
      <c r="AA220">
        <v>0</v>
      </c>
      <c r="AB220" t="s">
        <v>94</v>
      </c>
      <c r="AC220" t="s">
        <v>35</v>
      </c>
      <c r="AD220" t="s">
        <v>34</v>
      </c>
      <c r="AE220">
        <v>1</v>
      </c>
      <c r="AF220">
        <v>0</v>
      </c>
      <c r="AG220" t="s">
        <v>56</v>
      </c>
      <c r="AL220" t="s">
        <v>35</v>
      </c>
      <c r="AM220" t="s">
        <v>34</v>
      </c>
    </row>
    <row r="221" spans="1:40" x14ac:dyDescent="0.2">
      <c r="A221" s="2">
        <v>45978.746967592589</v>
      </c>
      <c r="B221" t="s">
        <v>1065</v>
      </c>
      <c r="C221" t="s">
        <v>813</v>
      </c>
      <c r="D221" t="s">
        <v>814</v>
      </c>
      <c r="E221" t="s">
        <v>1036</v>
      </c>
      <c r="F221" t="s">
        <v>1066</v>
      </c>
      <c r="G221" t="s">
        <v>1067</v>
      </c>
      <c r="H221" t="s">
        <v>1068</v>
      </c>
      <c r="I221" t="s">
        <v>49</v>
      </c>
      <c r="J221" t="s">
        <v>114</v>
      </c>
      <c r="K221">
        <v>420</v>
      </c>
      <c r="L221">
        <v>41</v>
      </c>
      <c r="M221" s="4">
        <v>0</v>
      </c>
      <c r="N221" s="4">
        <v>0</v>
      </c>
      <c r="O221" s="4">
        <v>0</v>
      </c>
      <c r="P221" s="4">
        <v>2</v>
      </c>
      <c r="Q221" s="4">
        <v>3</v>
      </c>
      <c r="R221" s="4">
        <v>3</v>
      </c>
      <c r="S221" s="4">
        <v>6</v>
      </c>
      <c r="T221" s="4">
        <v>8</v>
      </c>
      <c r="U221" s="4">
        <v>6</v>
      </c>
      <c r="V221" s="4">
        <v>3</v>
      </c>
      <c r="W221" s="4">
        <v>6</v>
      </c>
      <c r="X221" s="4">
        <v>4</v>
      </c>
      <c r="Y221" s="4">
        <v>0</v>
      </c>
      <c r="Z221" s="4">
        <v>0</v>
      </c>
      <c r="AA221" s="4">
        <v>0</v>
      </c>
      <c r="AB221" t="s">
        <v>108</v>
      </c>
      <c r="AC221" t="s">
        <v>34</v>
      </c>
      <c r="AD221" t="s">
        <v>34</v>
      </c>
      <c r="AE221">
        <v>2</v>
      </c>
      <c r="AF221">
        <v>0</v>
      </c>
      <c r="AG221" t="s">
        <v>1069</v>
      </c>
      <c r="AI221">
        <v>1</v>
      </c>
      <c r="AL221" t="s">
        <v>35</v>
      </c>
      <c r="AM221" t="s">
        <v>34</v>
      </c>
    </row>
    <row r="222" spans="1:40" x14ac:dyDescent="0.2">
      <c r="A222" s="2">
        <v>45979.383368055547</v>
      </c>
      <c r="B222" t="s">
        <v>1070</v>
      </c>
      <c r="C222" t="s">
        <v>813</v>
      </c>
      <c r="D222" t="s">
        <v>814</v>
      </c>
      <c r="E222" t="s">
        <v>1036</v>
      </c>
      <c r="F222" t="s">
        <v>1071</v>
      </c>
      <c r="G222">
        <v>89655987430</v>
      </c>
      <c r="H222" t="s">
        <v>1072</v>
      </c>
      <c r="I222" t="s">
        <v>471</v>
      </c>
      <c r="J222" t="s">
        <v>34</v>
      </c>
      <c r="K222">
        <v>20</v>
      </c>
      <c r="L222">
        <v>25</v>
      </c>
      <c r="M222">
        <v>24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50</v>
      </c>
      <c r="AC222" t="s">
        <v>34</v>
      </c>
      <c r="AD222" t="s">
        <v>34</v>
      </c>
      <c r="AE222">
        <v>1</v>
      </c>
      <c r="AF222">
        <v>0</v>
      </c>
      <c r="AG222" t="s">
        <v>1073</v>
      </c>
      <c r="AL222" t="s">
        <v>34</v>
      </c>
      <c r="AM222" t="s">
        <v>34</v>
      </c>
      <c r="AN222" t="s">
        <v>1074</v>
      </c>
    </row>
    <row r="223" spans="1:40" x14ac:dyDescent="0.2">
      <c r="A223" s="2">
        <v>45981.67287037037</v>
      </c>
      <c r="B223" t="s">
        <v>1075</v>
      </c>
      <c r="C223" t="s">
        <v>813</v>
      </c>
      <c r="D223" t="s">
        <v>814</v>
      </c>
      <c r="E223" t="s">
        <v>1036</v>
      </c>
      <c r="F223" t="s">
        <v>1076</v>
      </c>
      <c r="G223" t="s">
        <v>1063</v>
      </c>
      <c r="H223" t="s">
        <v>1077</v>
      </c>
      <c r="I223" t="s">
        <v>1078</v>
      </c>
      <c r="J223" t="s">
        <v>34</v>
      </c>
      <c r="K223">
        <v>900</v>
      </c>
      <c r="L223">
        <v>10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</v>
      </c>
      <c r="X223">
        <v>3</v>
      </c>
      <c r="Y223">
        <v>2</v>
      </c>
      <c r="Z223">
        <v>3</v>
      </c>
      <c r="AA223">
        <v>0</v>
      </c>
      <c r="AB223" t="s">
        <v>108</v>
      </c>
      <c r="AC223" t="s">
        <v>35</v>
      </c>
      <c r="AD223" t="s">
        <v>35</v>
      </c>
      <c r="AE223">
        <v>4</v>
      </c>
      <c r="AF223">
        <v>2</v>
      </c>
      <c r="AG223" t="s">
        <v>1079</v>
      </c>
      <c r="AL223" t="s">
        <v>35</v>
      </c>
      <c r="AM223" t="s">
        <v>35</v>
      </c>
      <c r="AN223" t="s">
        <v>1080</v>
      </c>
    </row>
    <row r="224" spans="1:40" x14ac:dyDescent="0.2">
      <c r="A224" s="2">
        <v>45981.709050925929</v>
      </c>
      <c r="B224" t="s">
        <v>1081</v>
      </c>
      <c r="C224" t="s">
        <v>813</v>
      </c>
      <c r="D224" t="s">
        <v>814</v>
      </c>
      <c r="E224" t="s">
        <v>1036</v>
      </c>
      <c r="F224" t="s">
        <v>1082</v>
      </c>
      <c r="G224" t="s">
        <v>1083</v>
      </c>
      <c r="H224" t="s">
        <v>1084</v>
      </c>
      <c r="I224" t="s">
        <v>93</v>
      </c>
      <c r="J224" t="s">
        <v>34</v>
      </c>
      <c r="K224">
        <v>238</v>
      </c>
      <c r="L224">
        <v>37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5</v>
      </c>
      <c r="T224">
        <v>8</v>
      </c>
      <c r="U224">
        <v>8</v>
      </c>
      <c r="V224">
        <v>8</v>
      </c>
      <c r="W224">
        <v>5</v>
      </c>
      <c r="X224">
        <v>3</v>
      </c>
      <c r="Y224">
        <v>0</v>
      </c>
      <c r="Z224">
        <v>0</v>
      </c>
      <c r="AA224">
        <v>0</v>
      </c>
      <c r="AB224" t="s">
        <v>1085</v>
      </c>
      <c r="AC224" t="s">
        <v>34</v>
      </c>
      <c r="AD224" t="s">
        <v>34</v>
      </c>
      <c r="AE224">
        <v>1</v>
      </c>
      <c r="AF224">
        <v>0</v>
      </c>
      <c r="AG224" t="s">
        <v>48</v>
      </c>
      <c r="AL224" t="s">
        <v>35</v>
      </c>
      <c r="AM224" t="s">
        <v>35</v>
      </c>
    </row>
    <row r="225" spans="1:40" x14ac:dyDescent="0.2">
      <c r="A225" s="2">
        <v>45981.365335648137</v>
      </c>
      <c r="B225" t="s">
        <v>1086</v>
      </c>
      <c r="C225" t="s">
        <v>813</v>
      </c>
      <c r="D225" t="s">
        <v>814</v>
      </c>
      <c r="E225" t="s">
        <v>1087</v>
      </c>
      <c r="F225" t="s">
        <v>1088</v>
      </c>
      <c r="G225">
        <v>88437723346</v>
      </c>
      <c r="H225" t="s">
        <v>1089</v>
      </c>
      <c r="I225" t="s">
        <v>49</v>
      </c>
      <c r="J225" t="s">
        <v>34</v>
      </c>
      <c r="K225">
        <v>154</v>
      </c>
      <c r="L225">
        <v>15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2</v>
      </c>
      <c r="X225" s="4">
        <v>4</v>
      </c>
      <c r="Y225" s="4">
        <v>5</v>
      </c>
      <c r="Z225" s="4">
        <v>3</v>
      </c>
      <c r="AA225" s="4">
        <v>1</v>
      </c>
      <c r="AB225" t="s">
        <v>108</v>
      </c>
      <c r="AC225" t="s">
        <v>34</v>
      </c>
      <c r="AD225" t="s">
        <v>35</v>
      </c>
      <c r="AE225">
        <v>1</v>
      </c>
      <c r="AF225">
        <v>0</v>
      </c>
      <c r="AG225" t="s">
        <v>34</v>
      </c>
      <c r="AL225" t="s">
        <v>35</v>
      </c>
      <c r="AM225" t="s">
        <v>35</v>
      </c>
    </row>
    <row r="226" spans="1:40" x14ac:dyDescent="0.2">
      <c r="A226" s="2">
        <v>45980.549178240741</v>
      </c>
      <c r="B226" t="s">
        <v>1123</v>
      </c>
      <c r="C226" t="s">
        <v>813</v>
      </c>
      <c r="D226" t="s">
        <v>814</v>
      </c>
      <c r="E226" t="s">
        <v>1124</v>
      </c>
      <c r="F226" t="s">
        <v>1125</v>
      </c>
      <c r="G226">
        <v>9172985317</v>
      </c>
      <c r="H226" t="s">
        <v>1126</v>
      </c>
      <c r="I226" t="s">
        <v>1127</v>
      </c>
      <c r="J226" t="s">
        <v>188</v>
      </c>
      <c r="K226">
        <v>150</v>
      </c>
      <c r="L226">
        <v>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</v>
      </c>
      <c r="U226">
        <v>1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62</v>
      </c>
      <c r="AC226" t="s">
        <v>35</v>
      </c>
      <c r="AD226" t="s">
        <v>35</v>
      </c>
      <c r="AE226">
        <v>1</v>
      </c>
      <c r="AF226">
        <v>0</v>
      </c>
      <c r="AG226" t="s">
        <v>1128</v>
      </c>
      <c r="AL226" t="s">
        <v>34</v>
      </c>
      <c r="AM226" t="s">
        <v>34</v>
      </c>
    </row>
    <row r="227" spans="1:40" x14ac:dyDescent="0.2">
      <c r="A227" s="2">
        <v>45982.676145833328</v>
      </c>
      <c r="B227" t="s">
        <v>1140</v>
      </c>
      <c r="C227" t="s">
        <v>813</v>
      </c>
      <c r="D227" t="s">
        <v>814</v>
      </c>
      <c r="E227" t="s">
        <v>1141</v>
      </c>
      <c r="F227" t="s">
        <v>1142</v>
      </c>
      <c r="G227">
        <v>79178682793</v>
      </c>
      <c r="H227" t="s">
        <v>1143</v>
      </c>
      <c r="I227" t="s">
        <v>49</v>
      </c>
      <c r="J227" t="s">
        <v>34</v>
      </c>
      <c r="K227">
        <v>61</v>
      </c>
      <c r="L227">
        <v>61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20</v>
      </c>
      <c r="X227" s="4">
        <v>16</v>
      </c>
      <c r="Y227" s="4">
        <v>10</v>
      </c>
      <c r="Z227" s="4">
        <v>11</v>
      </c>
      <c r="AA227" s="4">
        <v>4</v>
      </c>
      <c r="AB227" t="s">
        <v>1144</v>
      </c>
      <c r="AC227" t="s">
        <v>35</v>
      </c>
      <c r="AD227" t="s">
        <v>34</v>
      </c>
      <c r="AE227">
        <v>1</v>
      </c>
      <c r="AF227">
        <v>0</v>
      </c>
      <c r="AG227" t="s">
        <v>34</v>
      </c>
      <c r="AL227" t="s">
        <v>35</v>
      </c>
      <c r="AM227" t="s">
        <v>34</v>
      </c>
      <c r="AN227" t="s">
        <v>1145</v>
      </c>
    </row>
    <row r="228" spans="1:40" x14ac:dyDescent="0.2">
      <c r="A228" s="2">
        <v>45975.825381944444</v>
      </c>
      <c r="B228" t="s">
        <v>1160</v>
      </c>
      <c r="C228" t="s">
        <v>813</v>
      </c>
      <c r="D228" t="s">
        <v>814</v>
      </c>
      <c r="E228" t="s">
        <v>1161</v>
      </c>
      <c r="F228" t="s">
        <v>1162</v>
      </c>
      <c r="G228" t="s">
        <v>1163</v>
      </c>
      <c r="H228" t="s">
        <v>1164</v>
      </c>
      <c r="I228" t="s">
        <v>49</v>
      </c>
      <c r="J228" t="s">
        <v>34</v>
      </c>
      <c r="K228">
        <v>132</v>
      </c>
      <c r="L228">
        <v>30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</v>
      </c>
      <c r="T228">
        <v>8</v>
      </c>
      <c r="U228">
        <v>10</v>
      </c>
      <c r="V228">
        <v>6</v>
      </c>
      <c r="W228">
        <v>4</v>
      </c>
      <c r="X228">
        <v>0</v>
      </c>
      <c r="Y228">
        <v>0</v>
      </c>
      <c r="Z228">
        <v>0</v>
      </c>
      <c r="AA228">
        <v>0</v>
      </c>
      <c r="AB228" t="s">
        <v>108</v>
      </c>
      <c r="AC228" t="s">
        <v>34</v>
      </c>
      <c r="AD228" t="s">
        <v>34</v>
      </c>
      <c r="AE228">
        <v>1</v>
      </c>
      <c r="AF228">
        <v>0</v>
      </c>
      <c r="AG228" t="s">
        <v>1165</v>
      </c>
      <c r="AL228" t="s">
        <v>35</v>
      </c>
      <c r="AM228" t="s">
        <v>35</v>
      </c>
    </row>
    <row r="229" spans="1:40" x14ac:dyDescent="0.2">
      <c r="A229" s="2">
        <v>45975.544363425928</v>
      </c>
      <c r="B229" t="s">
        <v>1188</v>
      </c>
      <c r="C229" t="s">
        <v>813</v>
      </c>
      <c r="D229" t="s">
        <v>814</v>
      </c>
      <c r="E229" t="s">
        <v>1189</v>
      </c>
      <c r="F229" t="s">
        <v>1190</v>
      </c>
      <c r="G229" t="s">
        <v>1191</v>
      </c>
      <c r="H229" t="s">
        <v>1192</v>
      </c>
      <c r="I229" t="s">
        <v>49</v>
      </c>
      <c r="J229" t="s">
        <v>34</v>
      </c>
      <c r="K229">
        <v>484</v>
      </c>
      <c r="L229">
        <v>141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35</v>
      </c>
      <c r="S229">
        <v>0</v>
      </c>
      <c r="T229">
        <v>30</v>
      </c>
      <c r="U229">
        <v>30</v>
      </c>
      <c r="V229">
        <v>30</v>
      </c>
      <c r="W229">
        <v>16</v>
      </c>
      <c r="X229">
        <v>0</v>
      </c>
      <c r="Y229">
        <v>0</v>
      </c>
      <c r="Z229">
        <v>0</v>
      </c>
      <c r="AA229">
        <v>0</v>
      </c>
      <c r="AB229" t="s">
        <v>584</v>
      </c>
      <c r="AC229" t="s">
        <v>35</v>
      </c>
      <c r="AD229" t="s">
        <v>35</v>
      </c>
      <c r="AE229">
        <v>3</v>
      </c>
      <c r="AF229">
        <v>0</v>
      </c>
      <c r="AG229">
        <v>0</v>
      </c>
      <c r="AL229" t="s">
        <v>35</v>
      </c>
      <c r="AM229" t="s">
        <v>35</v>
      </c>
    </row>
    <row r="230" spans="1:40" x14ac:dyDescent="0.2">
      <c r="A230" s="2">
        <v>45979.437048611107</v>
      </c>
      <c r="B230" t="s">
        <v>1193</v>
      </c>
      <c r="C230" t="s">
        <v>813</v>
      </c>
      <c r="D230" t="s">
        <v>814</v>
      </c>
      <c r="E230" t="s">
        <v>1194</v>
      </c>
      <c r="F230" t="s">
        <v>1195</v>
      </c>
      <c r="G230" t="s">
        <v>1196</v>
      </c>
      <c r="H230" t="s">
        <v>1197</v>
      </c>
      <c r="I230" t="s">
        <v>49</v>
      </c>
      <c r="J230" t="s">
        <v>518</v>
      </c>
      <c r="K230">
        <v>28</v>
      </c>
      <c r="L230">
        <v>28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14</v>
      </c>
      <c r="X230">
        <v>10</v>
      </c>
      <c r="Y230">
        <v>2</v>
      </c>
      <c r="Z230">
        <v>2</v>
      </c>
      <c r="AA230">
        <v>0</v>
      </c>
      <c r="AB230" t="s">
        <v>94</v>
      </c>
      <c r="AC230" t="s">
        <v>35</v>
      </c>
      <c r="AD230" t="s">
        <v>35</v>
      </c>
      <c r="AE230">
        <v>2</v>
      </c>
      <c r="AF230">
        <v>1</v>
      </c>
      <c r="AG230" t="s">
        <v>1198</v>
      </c>
      <c r="AH230">
        <v>1</v>
      </c>
      <c r="AL230" t="s">
        <v>34</v>
      </c>
      <c r="AM230" t="s">
        <v>34</v>
      </c>
      <c r="AN230" t="s">
        <v>1199</v>
      </c>
    </row>
    <row r="231" spans="1:40" x14ac:dyDescent="0.2">
      <c r="A231" s="2">
        <v>45981.383796296293</v>
      </c>
      <c r="B231" t="s">
        <v>1200</v>
      </c>
      <c r="C231" t="s">
        <v>813</v>
      </c>
      <c r="D231" t="s">
        <v>814</v>
      </c>
      <c r="E231" t="s">
        <v>1194</v>
      </c>
      <c r="F231" t="s">
        <v>1201</v>
      </c>
      <c r="G231" t="s">
        <v>1202</v>
      </c>
      <c r="H231" t="s">
        <v>1203</v>
      </c>
      <c r="I231" t="s">
        <v>1204</v>
      </c>
      <c r="J231" t="s">
        <v>34</v>
      </c>
      <c r="K231">
        <v>120</v>
      </c>
      <c r="L231">
        <v>15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6</v>
      </c>
      <c r="T231">
        <v>5</v>
      </c>
      <c r="U231">
        <v>3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939</v>
      </c>
      <c r="AC231" t="s">
        <v>34</v>
      </c>
      <c r="AD231" t="s">
        <v>34</v>
      </c>
      <c r="AE231">
        <v>1</v>
      </c>
      <c r="AF231">
        <v>0</v>
      </c>
      <c r="AG231" t="s">
        <v>34</v>
      </c>
      <c r="AL231" t="s">
        <v>34</v>
      </c>
      <c r="AM231" t="s">
        <v>34</v>
      </c>
      <c r="AN231" t="s">
        <v>1205</v>
      </c>
    </row>
    <row r="232" spans="1:40" x14ac:dyDescent="0.2">
      <c r="A232" s="2">
        <v>45979.743252314824</v>
      </c>
      <c r="B232" t="s">
        <v>1216</v>
      </c>
      <c r="C232" t="s">
        <v>813</v>
      </c>
      <c r="D232" t="s">
        <v>814</v>
      </c>
      <c r="E232" t="s">
        <v>1217</v>
      </c>
      <c r="F232" t="s">
        <v>1218</v>
      </c>
      <c r="G232" t="s">
        <v>1219</v>
      </c>
      <c r="H232" t="s">
        <v>1220</v>
      </c>
      <c r="I232" t="s">
        <v>33</v>
      </c>
      <c r="J232" t="s">
        <v>518</v>
      </c>
      <c r="K232">
        <v>772</v>
      </c>
      <c r="L232">
        <v>89</v>
      </c>
      <c r="M232">
        <v>7</v>
      </c>
      <c r="N232">
        <v>2</v>
      </c>
      <c r="O232">
        <v>2</v>
      </c>
      <c r="P232">
        <v>3</v>
      </c>
      <c r="Q232">
        <v>2</v>
      </c>
      <c r="R232">
        <v>4</v>
      </c>
      <c r="S232">
        <v>19</v>
      </c>
      <c r="T232">
        <v>19</v>
      </c>
      <c r="U232">
        <v>6</v>
      </c>
      <c r="V232">
        <v>5</v>
      </c>
      <c r="W232">
        <v>8</v>
      </c>
      <c r="X232">
        <v>10</v>
      </c>
      <c r="Y232">
        <v>2</v>
      </c>
      <c r="Z232">
        <v>0</v>
      </c>
      <c r="AA232">
        <v>0</v>
      </c>
      <c r="AB232" t="s">
        <v>50</v>
      </c>
      <c r="AC232" t="s">
        <v>35</v>
      </c>
      <c r="AD232" t="s">
        <v>34</v>
      </c>
      <c r="AE232">
        <v>2</v>
      </c>
      <c r="AF232">
        <v>1</v>
      </c>
      <c r="AG232" t="s">
        <v>1221</v>
      </c>
      <c r="AH232">
        <v>2</v>
      </c>
      <c r="AL232" t="s">
        <v>35</v>
      </c>
      <c r="AM232" t="s">
        <v>34</v>
      </c>
      <c r="AN232" t="s">
        <v>1222</v>
      </c>
    </row>
    <row r="233" spans="1:40" x14ac:dyDescent="0.2">
      <c r="A233" s="2">
        <v>45981.547546296293</v>
      </c>
      <c r="B233" t="s">
        <v>1466</v>
      </c>
      <c r="C233" t="s">
        <v>813</v>
      </c>
      <c r="D233" t="s">
        <v>814</v>
      </c>
      <c r="E233" t="s">
        <v>1467</v>
      </c>
      <c r="F233" t="s">
        <v>1468</v>
      </c>
      <c r="G233">
        <v>89393959117</v>
      </c>
      <c r="H233" t="s">
        <v>1469</v>
      </c>
      <c r="I233" t="s">
        <v>212</v>
      </c>
      <c r="J233" t="s">
        <v>34</v>
      </c>
      <c r="K233">
        <v>170</v>
      </c>
      <c r="L233">
        <v>170</v>
      </c>
      <c r="M233">
        <v>20</v>
      </c>
      <c r="N233">
        <v>20</v>
      </c>
      <c r="O233">
        <v>10</v>
      </c>
      <c r="P233">
        <v>10</v>
      </c>
      <c r="Q233">
        <v>10</v>
      </c>
      <c r="R233">
        <v>10</v>
      </c>
      <c r="S233">
        <v>10</v>
      </c>
      <c r="T233">
        <v>10</v>
      </c>
      <c r="U233">
        <v>10</v>
      </c>
      <c r="V233">
        <v>20</v>
      </c>
      <c r="W233">
        <v>20</v>
      </c>
      <c r="X233">
        <v>5</v>
      </c>
      <c r="Y233">
        <v>5</v>
      </c>
      <c r="Z233">
        <v>5</v>
      </c>
      <c r="AA233">
        <v>5</v>
      </c>
      <c r="AB233" t="s">
        <v>189</v>
      </c>
      <c r="AC233" t="s">
        <v>34</v>
      </c>
      <c r="AD233" t="s">
        <v>35</v>
      </c>
      <c r="AE233">
        <v>1</v>
      </c>
      <c r="AF233">
        <v>0</v>
      </c>
      <c r="AG233" t="s">
        <v>34</v>
      </c>
      <c r="AL233" t="s">
        <v>34</v>
      </c>
      <c r="AM233" t="s">
        <v>34</v>
      </c>
    </row>
    <row r="234" spans="1:40" x14ac:dyDescent="0.2">
      <c r="A234" s="2">
        <v>45981.600266203714</v>
      </c>
      <c r="B234" t="s">
        <v>1090</v>
      </c>
      <c r="C234" t="s">
        <v>813</v>
      </c>
      <c r="D234" t="s">
        <v>912</v>
      </c>
      <c r="E234" t="s">
        <v>1091</v>
      </c>
      <c r="F234" t="s">
        <v>1092</v>
      </c>
      <c r="G234">
        <v>89277448319</v>
      </c>
      <c r="H234" t="s">
        <v>1093</v>
      </c>
      <c r="I234" t="s">
        <v>1094</v>
      </c>
      <c r="J234" t="s">
        <v>34</v>
      </c>
      <c r="K234">
        <v>350</v>
      </c>
      <c r="L234">
        <v>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2</v>
      </c>
      <c r="AB234" t="s">
        <v>50</v>
      </c>
      <c r="AC234" t="s">
        <v>35</v>
      </c>
      <c r="AD234" t="s">
        <v>35</v>
      </c>
      <c r="AE234">
        <v>3</v>
      </c>
      <c r="AF234">
        <v>1</v>
      </c>
      <c r="AG234" t="s">
        <v>1095</v>
      </c>
      <c r="AH234">
        <v>1</v>
      </c>
      <c r="AL234" t="s">
        <v>34</v>
      </c>
      <c r="AM234" t="s">
        <v>34</v>
      </c>
    </row>
    <row r="235" spans="1:40" x14ac:dyDescent="0.2">
      <c r="A235" s="2">
        <v>45981.41207175926</v>
      </c>
      <c r="B235" t="s">
        <v>1368</v>
      </c>
      <c r="C235" t="s">
        <v>813</v>
      </c>
      <c r="D235" t="s">
        <v>912</v>
      </c>
      <c r="E235" t="s">
        <v>1362</v>
      </c>
      <c r="F235" t="s">
        <v>1369</v>
      </c>
      <c r="G235">
        <v>89277048140</v>
      </c>
      <c r="H235" t="s">
        <v>1370</v>
      </c>
      <c r="I235" t="s">
        <v>1371</v>
      </c>
      <c r="J235" t="s">
        <v>114</v>
      </c>
      <c r="K235">
        <v>386</v>
      </c>
      <c r="L235">
        <v>31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11</v>
      </c>
      <c r="U235">
        <v>8</v>
      </c>
      <c r="V235">
        <v>2</v>
      </c>
      <c r="W235">
        <v>3</v>
      </c>
      <c r="X235">
        <v>1</v>
      </c>
      <c r="Y235">
        <v>2</v>
      </c>
      <c r="Z235">
        <v>3</v>
      </c>
      <c r="AA235">
        <v>1</v>
      </c>
      <c r="AB235" t="s">
        <v>50</v>
      </c>
      <c r="AC235" t="s">
        <v>35</v>
      </c>
      <c r="AD235" t="s">
        <v>35</v>
      </c>
      <c r="AE235">
        <v>3</v>
      </c>
      <c r="AF235">
        <v>1</v>
      </c>
      <c r="AG235" t="s">
        <v>1372</v>
      </c>
      <c r="AH235">
        <v>1</v>
      </c>
      <c r="AL235" t="s">
        <v>34</v>
      </c>
      <c r="AM235" t="s">
        <v>34</v>
      </c>
    </row>
    <row r="236" spans="1:40" x14ac:dyDescent="0.2">
      <c r="A236" s="2">
        <v>45979.558634259258</v>
      </c>
      <c r="B236" t="s">
        <v>911</v>
      </c>
      <c r="C236" t="s">
        <v>813</v>
      </c>
      <c r="D236" t="s">
        <v>912</v>
      </c>
      <c r="E236" t="s">
        <v>913</v>
      </c>
      <c r="F236" t="s">
        <v>914</v>
      </c>
      <c r="G236" t="s">
        <v>915</v>
      </c>
      <c r="H236" t="s">
        <v>916</v>
      </c>
      <c r="I236" t="s">
        <v>917</v>
      </c>
      <c r="J236" t="s">
        <v>34</v>
      </c>
      <c r="K236">
        <v>125</v>
      </c>
      <c r="L236">
        <v>25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7</v>
      </c>
      <c r="V236">
        <v>5</v>
      </c>
      <c r="W236">
        <v>9</v>
      </c>
      <c r="X236">
        <v>4</v>
      </c>
      <c r="Y236">
        <v>0</v>
      </c>
      <c r="Z236">
        <v>0</v>
      </c>
      <c r="AA236">
        <v>0</v>
      </c>
      <c r="AB236" t="s">
        <v>94</v>
      </c>
      <c r="AC236" t="s">
        <v>35</v>
      </c>
      <c r="AD236" t="s">
        <v>34</v>
      </c>
      <c r="AE236">
        <v>1</v>
      </c>
      <c r="AF236">
        <v>0</v>
      </c>
      <c r="AG236">
        <v>0</v>
      </c>
      <c r="AL236" t="s">
        <v>35</v>
      </c>
      <c r="AM236" t="s">
        <v>34</v>
      </c>
      <c r="AN236" t="s">
        <v>48</v>
      </c>
    </row>
    <row r="237" spans="1:40" x14ac:dyDescent="0.2">
      <c r="A237" s="2">
        <v>45985.844351851847</v>
      </c>
      <c r="B237" t="s">
        <v>1260</v>
      </c>
      <c r="C237" t="s">
        <v>813</v>
      </c>
      <c r="D237" t="s">
        <v>912</v>
      </c>
      <c r="E237" t="s">
        <v>1261</v>
      </c>
      <c r="F237" t="s">
        <v>1262</v>
      </c>
      <c r="G237">
        <v>88463550466</v>
      </c>
      <c r="H237" t="s">
        <v>1263</v>
      </c>
      <c r="I237" t="s">
        <v>1264</v>
      </c>
      <c r="J237" t="s">
        <v>34</v>
      </c>
      <c r="K237">
        <v>120</v>
      </c>
      <c r="L237">
        <v>38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10</v>
      </c>
      <c r="V237">
        <v>10</v>
      </c>
      <c r="W237">
        <v>5</v>
      </c>
      <c r="X237">
        <v>10</v>
      </c>
      <c r="Y237">
        <v>2</v>
      </c>
      <c r="Z237">
        <v>1</v>
      </c>
      <c r="AA237">
        <v>0</v>
      </c>
      <c r="AB237" t="s">
        <v>50</v>
      </c>
      <c r="AC237" t="s">
        <v>35</v>
      </c>
      <c r="AD237" t="s">
        <v>35</v>
      </c>
      <c r="AE237">
        <v>2</v>
      </c>
      <c r="AF237">
        <v>0</v>
      </c>
      <c r="AG237" t="s">
        <v>48</v>
      </c>
      <c r="AL237" t="s">
        <v>35</v>
      </c>
      <c r="AM237" t="s">
        <v>34</v>
      </c>
    </row>
    <row r="238" spans="1:40" x14ac:dyDescent="0.2">
      <c r="A238" s="2">
        <v>45979.570219907408</v>
      </c>
      <c r="B238" t="s">
        <v>1342</v>
      </c>
      <c r="C238" t="s">
        <v>813</v>
      </c>
      <c r="D238" t="s">
        <v>912</v>
      </c>
      <c r="E238" t="s">
        <v>1343</v>
      </c>
      <c r="F238" t="s">
        <v>1344</v>
      </c>
      <c r="G238" t="s">
        <v>1345</v>
      </c>
      <c r="H238" t="s">
        <v>1346</v>
      </c>
      <c r="I238" t="s">
        <v>49</v>
      </c>
      <c r="J238" t="s">
        <v>518</v>
      </c>
      <c r="K238">
        <v>321</v>
      </c>
      <c r="L238">
        <v>82</v>
      </c>
      <c r="M238">
        <v>2</v>
      </c>
      <c r="N238">
        <v>1</v>
      </c>
      <c r="O238">
        <v>9</v>
      </c>
      <c r="P238">
        <v>4</v>
      </c>
      <c r="Q238">
        <v>3</v>
      </c>
      <c r="R238">
        <v>1</v>
      </c>
      <c r="S238">
        <v>12</v>
      </c>
      <c r="T238">
        <v>15</v>
      </c>
      <c r="U238">
        <v>16</v>
      </c>
      <c r="V238">
        <v>13</v>
      </c>
      <c r="W238">
        <v>5</v>
      </c>
      <c r="X238">
        <v>1</v>
      </c>
      <c r="Y238">
        <v>0</v>
      </c>
      <c r="Z238">
        <v>0</v>
      </c>
      <c r="AA238">
        <v>0</v>
      </c>
      <c r="AB238" t="s">
        <v>824</v>
      </c>
      <c r="AC238" t="s">
        <v>34</v>
      </c>
      <c r="AD238" t="s">
        <v>35</v>
      </c>
      <c r="AE238">
        <v>5</v>
      </c>
      <c r="AF238">
        <v>2</v>
      </c>
      <c r="AG238" t="s">
        <v>1347</v>
      </c>
      <c r="AH238">
        <v>2</v>
      </c>
      <c r="AI238">
        <v>2</v>
      </c>
      <c r="AL238" t="s">
        <v>35</v>
      </c>
      <c r="AM238" t="s">
        <v>35</v>
      </c>
    </row>
    <row r="239" spans="1:40" x14ac:dyDescent="0.2">
      <c r="A239" s="2">
        <v>45992.402453703697</v>
      </c>
      <c r="B239" t="s">
        <v>1348</v>
      </c>
      <c r="C239" t="s">
        <v>813</v>
      </c>
      <c r="D239" t="s">
        <v>912</v>
      </c>
      <c r="E239" t="s">
        <v>1349</v>
      </c>
      <c r="F239" t="s">
        <v>1350</v>
      </c>
      <c r="G239">
        <v>89277076354</v>
      </c>
      <c r="H239" t="s">
        <v>1351</v>
      </c>
      <c r="I239" t="s">
        <v>49</v>
      </c>
      <c r="J239" t="s">
        <v>34</v>
      </c>
      <c r="K239">
        <v>40</v>
      </c>
      <c r="L239">
        <v>25</v>
      </c>
      <c r="M239">
        <v>0</v>
      </c>
      <c r="N239" t="s">
        <v>1285</v>
      </c>
      <c r="O239">
        <v>0</v>
      </c>
      <c r="P239">
        <v>0</v>
      </c>
      <c r="Q239">
        <v>0</v>
      </c>
      <c r="R239">
        <v>4</v>
      </c>
      <c r="S239">
        <v>5</v>
      </c>
      <c r="T239">
        <v>5</v>
      </c>
      <c r="U239">
        <v>2</v>
      </c>
      <c r="V239">
        <v>5</v>
      </c>
      <c r="W239">
        <v>0</v>
      </c>
      <c r="X239">
        <v>2</v>
      </c>
      <c r="Y239">
        <v>2</v>
      </c>
      <c r="Z239">
        <v>0</v>
      </c>
      <c r="AA239">
        <v>0</v>
      </c>
      <c r="AB239" t="s">
        <v>94</v>
      </c>
      <c r="AC239" t="s">
        <v>35</v>
      </c>
      <c r="AD239" t="s">
        <v>35</v>
      </c>
      <c r="AE239">
        <v>1</v>
      </c>
      <c r="AF239">
        <v>0</v>
      </c>
      <c r="AG239">
        <v>0</v>
      </c>
      <c r="AL239" t="s">
        <v>34</v>
      </c>
      <c r="AM239" t="s">
        <v>34</v>
      </c>
    </row>
    <row r="240" spans="1:40" x14ac:dyDescent="0.2">
      <c r="A240" s="2">
        <v>45975.491388888891</v>
      </c>
      <c r="B240" t="s">
        <v>1361</v>
      </c>
      <c r="C240" t="s">
        <v>813</v>
      </c>
      <c r="D240" t="s">
        <v>912</v>
      </c>
      <c r="E240" t="s">
        <v>1362</v>
      </c>
      <c r="F240" t="s">
        <v>1363</v>
      </c>
      <c r="G240" t="s">
        <v>1364</v>
      </c>
      <c r="H240" t="s">
        <v>1365</v>
      </c>
      <c r="I240" t="s">
        <v>49</v>
      </c>
      <c r="J240" t="s">
        <v>188</v>
      </c>
      <c r="K240">
        <v>292</v>
      </c>
      <c r="L240">
        <v>81</v>
      </c>
      <c r="M240">
        <v>0</v>
      </c>
      <c r="N240">
        <v>0</v>
      </c>
      <c r="O240">
        <v>0</v>
      </c>
      <c r="P240">
        <v>2</v>
      </c>
      <c r="Q240">
        <v>12</v>
      </c>
      <c r="R240">
        <v>11</v>
      </c>
      <c r="S240">
        <v>10</v>
      </c>
      <c r="T240">
        <v>12</v>
      </c>
      <c r="U240">
        <v>10</v>
      </c>
      <c r="V240">
        <v>9</v>
      </c>
      <c r="W240">
        <v>9</v>
      </c>
      <c r="X240">
        <v>6</v>
      </c>
      <c r="Y240">
        <v>0</v>
      </c>
      <c r="Z240">
        <v>0</v>
      </c>
      <c r="AA240">
        <v>0</v>
      </c>
      <c r="AB240" t="s">
        <v>1366</v>
      </c>
      <c r="AC240" t="s">
        <v>34</v>
      </c>
      <c r="AD240" t="s">
        <v>34</v>
      </c>
      <c r="AE240">
        <v>7</v>
      </c>
      <c r="AF240">
        <v>2</v>
      </c>
      <c r="AG240" t="s">
        <v>1367</v>
      </c>
      <c r="AH240">
        <v>2</v>
      </c>
      <c r="AI240">
        <v>3</v>
      </c>
      <c r="AJ240">
        <v>1</v>
      </c>
      <c r="AL240" t="s">
        <v>34</v>
      </c>
      <c r="AM240" t="s">
        <v>34</v>
      </c>
    </row>
    <row r="241" spans="1:40" x14ac:dyDescent="0.2">
      <c r="A241" s="2">
        <v>45982.428159722222</v>
      </c>
      <c r="B241" t="s">
        <v>1373</v>
      </c>
      <c r="C241" t="s">
        <v>813</v>
      </c>
      <c r="D241" t="s">
        <v>912</v>
      </c>
      <c r="E241" t="s">
        <v>1362</v>
      </c>
      <c r="F241" t="s">
        <v>1374</v>
      </c>
      <c r="G241" t="s">
        <v>1375</v>
      </c>
      <c r="H241" t="s">
        <v>1376</v>
      </c>
      <c r="I241" t="s">
        <v>93</v>
      </c>
      <c r="J241" t="s">
        <v>34</v>
      </c>
      <c r="K241">
        <v>216</v>
      </c>
      <c r="L241">
        <v>34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5</v>
      </c>
      <c r="T241">
        <v>8</v>
      </c>
      <c r="U241">
        <v>7</v>
      </c>
      <c r="V241">
        <v>7</v>
      </c>
      <c r="W241">
        <v>7</v>
      </c>
      <c r="X241">
        <v>0</v>
      </c>
      <c r="Y241">
        <v>0</v>
      </c>
      <c r="Z241">
        <v>0</v>
      </c>
      <c r="AA241">
        <v>0</v>
      </c>
      <c r="AB241" t="s">
        <v>62</v>
      </c>
      <c r="AC241" t="s">
        <v>34</v>
      </c>
      <c r="AD241" t="s">
        <v>34</v>
      </c>
      <c r="AE241">
        <v>1</v>
      </c>
      <c r="AF241">
        <v>0</v>
      </c>
      <c r="AG241" t="s">
        <v>1377</v>
      </c>
      <c r="AH241">
        <v>1</v>
      </c>
      <c r="AL241" t="s">
        <v>35</v>
      </c>
      <c r="AM241" t="s">
        <v>35</v>
      </c>
    </row>
    <row r="242" spans="1:40" x14ac:dyDescent="0.2">
      <c r="A242" s="2">
        <v>45981.551238425927</v>
      </c>
      <c r="B242" t="s">
        <v>1443</v>
      </c>
      <c r="C242" t="s">
        <v>813</v>
      </c>
      <c r="D242" t="s">
        <v>912</v>
      </c>
      <c r="E242" t="s">
        <v>1444</v>
      </c>
      <c r="F242" t="s">
        <v>1445</v>
      </c>
      <c r="G242">
        <v>88482580923</v>
      </c>
      <c r="H242" t="s">
        <v>1446</v>
      </c>
      <c r="I242" t="s">
        <v>49</v>
      </c>
      <c r="J242" t="s">
        <v>114</v>
      </c>
      <c r="K242">
        <v>1182</v>
      </c>
      <c r="L242">
        <v>122</v>
      </c>
      <c r="M242">
        <v>6</v>
      </c>
      <c r="N242">
        <v>2</v>
      </c>
      <c r="O242">
        <v>0</v>
      </c>
      <c r="P242">
        <v>0</v>
      </c>
      <c r="Q242">
        <v>3</v>
      </c>
      <c r="R242">
        <v>2</v>
      </c>
      <c r="S242">
        <v>5</v>
      </c>
      <c r="T242">
        <v>11</v>
      </c>
      <c r="U242">
        <v>10</v>
      </c>
      <c r="V242">
        <v>15</v>
      </c>
      <c r="W242">
        <v>23</v>
      </c>
      <c r="X242">
        <v>20</v>
      </c>
      <c r="Y242">
        <v>13</v>
      </c>
      <c r="Z242">
        <v>12</v>
      </c>
      <c r="AA242">
        <v>0</v>
      </c>
      <c r="AB242" t="s">
        <v>108</v>
      </c>
      <c r="AC242" t="s">
        <v>35</v>
      </c>
      <c r="AD242" t="s">
        <v>34</v>
      </c>
      <c r="AE242">
        <v>2</v>
      </c>
      <c r="AF242">
        <v>2</v>
      </c>
      <c r="AG242" t="s">
        <v>1447</v>
      </c>
      <c r="AH242">
        <v>2</v>
      </c>
      <c r="AL242" t="s">
        <v>35</v>
      </c>
      <c r="AM242" t="s">
        <v>35</v>
      </c>
    </row>
    <row r="243" spans="1:40" x14ac:dyDescent="0.2">
      <c r="A243" s="2">
        <v>45993.604548611111</v>
      </c>
      <c r="B243" t="s">
        <v>1448</v>
      </c>
      <c r="C243" t="s">
        <v>813</v>
      </c>
      <c r="D243" t="s">
        <v>912</v>
      </c>
      <c r="E243" t="s">
        <v>1449</v>
      </c>
      <c r="F243" t="s">
        <v>1450</v>
      </c>
      <c r="G243">
        <v>89967244034</v>
      </c>
      <c r="H243" t="s">
        <v>1451</v>
      </c>
      <c r="I243" t="s">
        <v>100</v>
      </c>
      <c r="J243" t="s">
        <v>34</v>
      </c>
      <c r="K243">
        <v>50</v>
      </c>
      <c r="L243">
        <v>21</v>
      </c>
      <c r="M243">
        <v>10</v>
      </c>
      <c r="N243">
        <v>5</v>
      </c>
      <c r="O243">
        <v>5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C243" t="s">
        <v>34</v>
      </c>
      <c r="AD243" t="s">
        <v>34</v>
      </c>
      <c r="AE243">
        <v>1</v>
      </c>
      <c r="AF243">
        <v>0</v>
      </c>
      <c r="AG243">
        <v>0</v>
      </c>
      <c r="AL243" t="s">
        <v>34</v>
      </c>
      <c r="AM243" t="s">
        <v>34</v>
      </c>
    </row>
    <row r="244" spans="1:40" x14ac:dyDescent="0.2">
      <c r="A244" s="2">
        <v>45993.61509259259</v>
      </c>
      <c r="B244" t="s">
        <v>1494</v>
      </c>
      <c r="C244" t="s">
        <v>813</v>
      </c>
      <c r="D244" t="s">
        <v>912</v>
      </c>
      <c r="E244" t="s">
        <v>1495</v>
      </c>
      <c r="F244" t="s">
        <v>1496</v>
      </c>
      <c r="G244">
        <v>89376539213</v>
      </c>
      <c r="H244" t="s">
        <v>1497</v>
      </c>
      <c r="I244" t="s">
        <v>212</v>
      </c>
      <c r="J244" t="s">
        <v>34</v>
      </c>
      <c r="K244">
        <v>124</v>
      </c>
      <c r="L244">
        <v>34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5</v>
      </c>
      <c r="V244" s="4">
        <v>5</v>
      </c>
      <c r="W244" s="4">
        <v>5</v>
      </c>
      <c r="X244" s="4">
        <v>7</v>
      </c>
      <c r="Y244" s="4">
        <v>3</v>
      </c>
      <c r="Z244" s="4">
        <v>5</v>
      </c>
      <c r="AA244" s="4">
        <v>4</v>
      </c>
      <c r="AC244" t="s">
        <v>35</v>
      </c>
      <c r="AD244" t="s">
        <v>34</v>
      </c>
      <c r="AE244">
        <v>2</v>
      </c>
      <c r="AF244">
        <v>1</v>
      </c>
      <c r="AG244" t="s">
        <v>56</v>
      </c>
      <c r="AL244" t="s">
        <v>34</v>
      </c>
      <c r="AM244" t="s">
        <v>34</v>
      </c>
    </row>
    <row r="245" spans="1:40" x14ac:dyDescent="0.2">
      <c r="A245" s="2">
        <v>45995.533055555563</v>
      </c>
      <c r="B245" t="s">
        <v>841</v>
      </c>
      <c r="C245" t="s">
        <v>813</v>
      </c>
      <c r="D245" t="s">
        <v>842</v>
      </c>
      <c r="E245" t="s">
        <v>843</v>
      </c>
      <c r="F245" t="s">
        <v>844</v>
      </c>
      <c r="G245" t="s">
        <v>845</v>
      </c>
      <c r="H245" t="s">
        <v>846</v>
      </c>
      <c r="I245" t="s">
        <v>49</v>
      </c>
      <c r="J245" t="s">
        <v>34</v>
      </c>
      <c r="K245">
        <v>27</v>
      </c>
      <c r="L245">
        <v>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</v>
      </c>
      <c r="V245">
        <v>1</v>
      </c>
      <c r="W245">
        <v>2</v>
      </c>
      <c r="X245">
        <v>1</v>
      </c>
      <c r="Y245">
        <v>0</v>
      </c>
      <c r="Z245">
        <v>0</v>
      </c>
      <c r="AA245">
        <v>0</v>
      </c>
      <c r="AB245" t="s">
        <v>94</v>
      </c>
      <c r="AC245" t="s">
        <v>35</v>
      </c>
      <c r="AD245" t="s">
        <v>34</v>
      </c>
      <c r="AE245">
        <v>1</v>
      </c>
      <c r="AF245">
        <v>0</v>
      </c>
      <c r="AG245">
        <v>0</v>
      </c>
      <c r="AL245" t="s">
        <v>34</v>
      </c>
      <c r="AM245" t="s">
        <v>34</v>
      </c>
    </row>
    <row r="246" spans="1:40" x14ac:dyDescent="0.2">
      <c r="A246" s="2">
        <v>45975.45453703704</v>
      </c>
      <c r="B246" t="s">
        <v>856</v>
      </c>
      <c r="C246" t="s">
        <v>813</v>
      </c>
      <c r="D246" t="s">
        <v>842</v>
      </c>
      <c r="E246" t="s">
        <v>857</v>
      </c>
      <c r="F246" t="s">
        <v>858</v>
      </c>
      <c r="G246" t="s">
        <v>859</v>
      </c>
      <c r="H246" t="s">
        <v>860</v>
      </c>
      <c r="I246" t="s">
        <v>49</v>
      </c>
      <c r="J246" t="s">
        <v>34</v>
      </c>
      <c r="K246">
        <v>610</v>
      </c>
      <c r="L246">
        <v>25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6</v>
      </c>
      <c r="V246">
        <v>1</v>
      </c>
      <c r="W246">
        <v>1</v>
      </c>
      <c r="X246">
        <v>14</v>
      </c>
      <c r="Y246">
        <v>3</v>
      </c>
      <c r="Z246">
        <v>0</v>
      </c>
      <c r="AA246">
        <v>0</v>
      </c>
      <c r="AB246" t="s">
        <v>62</v>
      </c>
      <c r="AC246" t="s">
        <v>35</v>
      </c>
      <c r="AD246" t="s">
        <v>34</v>
      </c>
      <c r="AE246">
        <v>1</v>
      </c>
      <c r="AF246">
        <v>0</v>
      </c>
      <c r="AG246" t="s">
        <v>861</v>
      </c>
      <c r="AL246" t="s">
        <v>35</v>
      </c>
      <c r="AM246" t="s">
        <v>34</v>
      </c>
    </row>
    <row r="247" spans="1:40" x14ac:dyDescent="0.2">
      <c r="A247" s="2">
        <v>45978.523865740739</v>
      </c>
      <c r="B247" t="s">
        <v>862</v>
      </c>
      <c r="C247" t="s">
        <v>813</v>
      </c>
      <c r="D247" t="s">
        <v>842</v>
      </c>
      <c r="E247" t="s">
        <v>863</v>
      </c>
      <c r="F247" t="s">
        <v>864</v>
      </c>
      <c r="G247">
        <v>89873072587</v>
      </c>
      <c r="H247" t="s">
        <v>865</v>
      </c>
      <c r="I247" t="s">
        <v>866</v>
      </c>
      <c r="J247" t="s">
        <v>34</v>
      </c>
      <c r="K247">
        <v>78</v>
      </c>
      <c r="L247">
        <v>33</v>
      </c>
      <c r="M247">
        <v>0</v>
      </c>
      <c r="N247">
        <v>0</v>
      </c>
      <c r="O247">
        <v>0</v>
      </c>
      <c r="P247">
        <v>1</v>
      </c>
      <c r="Q247">
        <v>3</v>
      </c>
      <c r="R247">
        <v>2</v>
      </c>
      <c r="S247">
        <v>2</v>
      </c>
      <c r="T247">
        <v>4</v>
      </c>
      <c r="U247">
        <v>1</v>
      </c>
      <c r="V247">
        <v>3</v>
      </c>
      <c r="W247">
        <v>6</v>
      </c>
      <c r="X247">
        <v>2</v>
      </c>
      <c r="Y247">
        <v>4</v>
      </c>
      <c r="Z247">
        <v>3</v>
      </c>
      <c r="AA247">
        <v>2</v>
      </c>
      <c r="AB247" t="s">
        <v>867</v>
      </c>
      <c r="AC247" t="s">
        <v>34</v>
      </c>
      <c r="AD247" t="s">
        <v>35</v>
      </c>
      <c r="AE247">
        <v>1</v>
      </c>
      <c r="AF247">
        <v>0</v>
      </c>
      <c r="AG247" t="s">
        <v>868</v>
      </c>
      <c r="AL247" t="s">
        <v>35</v>
      </c>
      <c r="AM247" t="s">
        <v>35</v>
      </c>
      <c r="AN247" t="s">
        <v>869</v>
      </c>
    </row>
    <row r="248" spans="1:40" x14ac:dyDescent="0.2">
      <c r="A248" s="2">
        <v>45992.389351851853</v>
      </c>
      <c r="B248" t="s">
        <v>1172</v>
      </c>
      <c r="C248" t="s">
        <v>813</v>
      </c>
      <c r="D248" t="s">
        <v>842</v>
      </c>
      <c r="E248" t="s">
        <v>1173</v>
      </c>
      <c r="F248" t="s">
        <v>1174</v>
      </c>
      <c r="G248">
        <v>89271364888</v>
      </c>
      <c r="H248" t="s">
        <v>1175</v>
      </c>
      <c r="I248" t="s">
        <v>41</v>
      </c>
      <c r="J248" t="s">
        <v>34</v>
      </c>
      <c r="K248">
        <v>90</v>
      </c>
      <c r="L248">
        <v>20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5</v>
      </c>
      <c r="V248" s="4">
        <v>5</v>
      </c>
      <c r="W248" s="4">
        <v>5</v>
      </c>
      <c r="X248" s="4">
        <v>5</v>
      </c>
      <c r="Y248" s="4">
        <v>0</v>
      </c>
      <c r="Z248" s="4">
        <v>0</v>
      </c>
      <c r="AA248" s="4">
        <v>0</v>
      </c>
      <c r="AC248" t="s">
        <v>35</v>
      </c>
      <c r="AD248" t="s">
        <v>34</v>
      </c>
      <c r="AE248">
        <v>1</v>
      </c>
      <c r="AF248">
        <v>0</v>
      </c>
      <c r="AG248">
        <v>0</v>
      </c>
      <c r="AL248" t="s">
        <v>34</v>
      </c>
      <c r="AM248" t="s">
        <v>34</v>
      </c>
    </row>
    <row r="249" spans="1:40" x14ac:dyDescent="0.2">
      <c r="A249" s="2">
        <v>45978.477141203701</v>
      </c>
      <c r="B249" t="s">
        <v>1176</v>
      </c>
      <c r="C249" t="s">
        <v>813</v>
      </c>
      <c r="D249" t="s">
        <v>842</v>
      </c>
      <c r="E249" t="s">
        <v>1177</v>
      </c>
      <c r="F249" t="s">
        <v>1178</v>
      </c>
      <c r="G249">
        <v>89671413321</v>
      </c>
      <c r="H249" t="s">
        <v>1179</v>
      </c>
      <c r="I249" t="s">
        <v>33</v>
      </c>
      <c r="J249" t="s">
        <v>34</v>
      </c>
      <c r="K249">
        <v>85</v>
      </c>
      <c r="L249">
        <v>40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5</v>
      </c>
      <c r="V249">
        <v>4</v>
      </c>
      <c r="W249">
        <v>7</v>
      </c>
      <c r="X249">
        <v>3</v>
      </c>
      <c r="Y249">
        <v>8</v>
      </c>
      <c r="Z249">
        <v>4</v>
      </c>
      <c r="AA249">
        <v>9</v>
      </c>
      <c r="AB249" t="s">
        <v>108</v>
      </c>
      <c r="AC249" t="s">
        <v>34</v>
      </c>
      <c r="AD249" t="s">
        <v>35</v>
      </c>
      <c r="AE249">
        <v>1</v>
      </c>
      <c r="AF249">
        <v>0</v>
      </c>
      <c r="AG249" t="s">
        <v>1180</v>
      </c>
      <c r="AL249" t="s">
        <v>34</v>
      </c>
      <c r="AM249" t="s">
        <v>34</v>
      </c>
      <c r="AN249" t="s">
        <v>1181</v>
      </c>
    </row>
    <row r="250" spans="1:40" x14ac:dyDescent="0.2">
      <c r="A250" s="2">
        <v>45982.609918981478</v>
      </c>
      <c r="B250" t="s">
        <v>1281</v>
      </c>
      <c r="C250" t="s">
        <v>813</v>
      </c>
      <c r="D250" t="s">
        <v>842</v>
      </c>
      <c r="E250" t="s">
        <v>1282</v>
      </c>
      <c r="F250" t="s">
        <v>1283</v>
      </c>
      <c r="G250">
        <v>88457642263</v>
      </c>
      <c r="H250" t="s">
        <v>1284</v>
      </c>
      <c r="I250" t="s">
        <v>49</v>
      </c>
      <c r="J250" t="s">
        <v>34</v>
      </c>
      <c r="K250">
        <v>112</v>
      </c>
      <c r="L250">
        <v>54</v>
      </c>
      <c r="M250">
        <v>0</v>
      </c>
      <c r="N250">
        <v>0</v>
      </c>
      <c r="O250" t="s">
        <v>1285</v>
      </c>
      <c r="P250">
        <v>0</v>
      </c>
      <c r="Q250">
        <v>5</v>
      </c>
      <c r="R250">
        <v>7</v>
      </c>
      <c r="S250">
        <v>0</v>
      </c>
      <c r="T250">
        <v>13</v>
      </c>
      <c r="U250">
        <v>0</v>
      </c>
      <c r="V250">
        <v>7</v>
      </c>
      <c r="W250">
        <v>5</v>
      </c>
      <c r="X250">
        <v>17</v>
      </c>
      <c r="Y250">
        <v>0</v>
      </c>
      <c r="Z250">
        <v>0</v>
      </c>
      <c r="AA250">
        <v>0</v>
      </c>
      <c r="AB250" t="s">
        <v>506</v>
      </c>
      <c r="AC250" t="s">
        <v>34</v>
      </c>
      <c r="AD250" t="s">
        <v>34</v>
      </c>
      <c r="AE250">
        <v>1</v>
      </c>
      <c r="AF250">
        <v>0</v>
      </c>
      <c r="AG250" t="s">
        <v>1286</v>
      </c>
      <c r="AL250" t="s">
        <v>35</v>
      </c>
      <c r="AM250" t="s">
        <v>34</v>
      </c>
    </row>
    <row r="251" spans="1:40" x14ac:dyDescent="0.2">
      <c r="A251" s="2">
        <v>45979.735173611109</v>
      </c>
      <c r="B251" t="s">
        <v>1336</v>
      </c>
      <c r="C251" t="s">
        <v>813</v>
      </c>
      <c r="D251" t="s">
        <v>842</v>
      </c>
      <c r="E251" t="s">
        <v>1337</v>
      </c>
      <c r="F251" t="s">
        <v>1338</v>
      </c>
      <c r="G251" t="s">
        <v>1339</v>
      </c>
      <c r="H251" t="s">
        <v>1340</v>
      </c>
      <c r="I251" t="s">
        <v>1341</v>
      </c>
      <c r="J251" t="s">
        <v>34</v>
      </c>
      <c r="K251">
        <v>120</v>
      </c>
      <c r="L251">
        <v>57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6</v>
      </c>
      <c r="U251">
        <v>6</v>
      </c>
      <c r="V251">
        <v>3</v>
      </c>
      <c r="W251">
        <v>3</v>
      </c>
      <c r="X251">
        <v>18</v>
      </c>
      <c r="Y251">
        <v>10</v>
      </c>
      <c r="Z251">
        <v>10</v>
      </c>
      <c r="AA251">
        <v>0</v>
      </c>
      <c r="AB251" t="s">
        <v>131</v>
      </c>
      <c r="AC251" t="s">
        <v>34</v>
      </c>
      <c r="AD251" t="s">
        <v>34</v>
      </c>
      <c r="AE251">
        <v>1</v>
      </c>
      <c r="AF251">
        <v>0</v>
      </c>
      <c r="AG251" t="s">
        <v>34</v>
      </c>
      <c r="AL251" t="s">
        <v>34</v>
      </c>
      <c r="AM251" t="s">
        <v>34</v>
      </c>
    </row>
    <row r="252" spans="1:40" x14ac:dyDescent="0.2">
      <c r="A252" s="2">
        <v>45979.517071759263</v>
      </c>
      <c r="B252" t="s">
        <v>1394</v>
      </c>
      <c r="C252" t="s">
        <v>813</v>
      </c>
      <c r="D252" t="s">
        <v>842</v>
      </c>
      <c r="E252" t="s">
        <v>1395</v>
      </c>
      <c r="F252" t="s">
        <v>1396</v>
      </c>
      <c r="G252" t="s">
        <v>1397</v>
      </c>
      <c r="H252" t="s">
        <v>1398</v>
      </c>
      <c r="I252" t="s">
        <v>93</v>
      </c>
      <c r="J252" t="s">
        <v>34</v>
      </c>
      <c r="K252">
        <v>534</v>
      </c>
      <c r="L252">
        <v>14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108</v>
      </c>
      <c r="AC252" t="s">
        <v>34</v>
      </c>
      <c r="AD252" t="s">
        <v>35</v>
      </c>
      <c r="AE252">
        <v>1</v>
      </c>
      <c r="AF252">
        <v>0</v>
      </c>
      <c r="AG252" t="s">
        <v>1399</v>
      </c>
      <c r="AL252" t="s">
        <v>35</v>
      </c>
      <c r="AM252" t="s">
        <v>35</v>
      </c>
    </row>
    <row r="253" spans="1:40" x14ac:dyDescent="0.2">
      <c r="A253" s="2">
        <v>45978.496666666673</v>
      </c>
      <c r="B253" t="s">
        <v>1400</v>
      </c>
      <c r="C253" t="s">
        <v>813</v>
      </c>
      <c r="D253" t="s">
        <v>842</v>
      </c>
      <c r="E253" t="s">
        <v>1395</v>
      </c>
      <c r="F253" t="s">
        <v>1401</v>
      </c>
      <c r="G253" t="s">
        <v>1402</v>
      </c>
      <c r="H253" t="s">
        <v>1403</v>
      </c>
      <c r="I253" t="s">
        <v>93</v>
      </c>
      <c r="J253" t="s">
        <v>34</v>
      </c>
      <c r="K253">
        <v>89</v>
      </c>
      <c r="L253">
        <v>44</v>
      </c>
      <c r="M253">
        <v>0</v>
      </c>
      <c r="N253">
        <v>0</v>
      </c>
      <c r="O253" t="s">
        <v>1404</v>
      </c>
      <c r="P253">
        <v>0</v>
      </c>
      <c r="Q253" t="s">
        <v>1404</v>
      </c>
      <c r="R253">
        <v>2</v>
      </c>
      <c r="S253">
        <v>3</v>
      </c>
      <c r="T253">
        <v>10</v>
      </c>
      <c r="U253">
        <v>9</v>
      </c>
      <c r="V253">
        <v>6</v>
      </c>
      <c r="W253">
        <v>5</v>
      </c>
      <c r="X253">
        <v>3</v>
      </c>
      <c r="Y253">
        <v>0</v>
      </c>
      <c r="Z253">
        <v>3</v>
      </c>
      <c r="AA253">
        <v>3</v>
      </c>
      <c r="AB253" t="s">
        <v>189</v>
      </c>
      <c r="AC253" t="s">
        <v>35</v>
      </c>
      <c r="AD253" t="s">
        <v>35</v>
      </c>
      <c r="AE253">
        <v>1</v>
      </c>
      <c r="AF253">
        <v>0</v>
      </c>
      <c r="AG253" t="s">
        <v>1405</v>
      </c>
      <c r="AL253" t="s">
        <v>34</v>
      </c>
      <c r="AM253" t="s">
        <v>34</v>
      </c>
      <c r="AN253" t="s">
        <v>1406</v>
      </c>
    </row>
    <row r="254" spans="1:40" x14ac:dyDescent="0.2">
      <c r="A254" s="2">
        <v>45978.42832175926</v>
      </c>
      <c r="B254" t="s">
        <v>1407</v>
      </c>
      <c r="C254" t="s">
        <v>813</v>
      </c>
      <c r="D254" t="s">
        <v>842</v>
      </c>
      <c r="E254" t="s">
        <v>1395</v>
      </c>
      <c r="F254" t="s">
        <v>1408</v>
      </c>
      <c r="G254">
        <v>78452961123</v>
      </c>
      <c r="H254" t="s">
        <v>1409</v>
      </c>
      <c r="I254" t="s">
        <v>93</v>
      </c>
      <c r="J254" t="s">
        <v>34</v>
      </c>
      <c r="K254">
        <v>1062</v>
      </c>
      <c r="L254">
        <v>64</v>
      </c>
      <c r="M254">
        <v>13</v>
      </c>
      <c r="N254">
        <v>2</v>
      </c>
      <c r="O254">
        <v>4</v>
      </c>
      <c r="P254">
        <v>4</v>
      </c>
      <c r="Q254">
        <v>5</v>
      </c>
      <c r="R254">
        <v>0</v>
      </c>
      <c r="S254">
        <v>0</v>
      </c>
      <c r="T254">
        <v>5</v>
      </c>
      <c r="U254">
        <v>5</v>
      </c>
      <c r="V254">
        <v>10</v>
      </c>
      <c r="W254">
        <v>9</v>
      </c>
      <c r="X254">
        <v>6</v>
      </c>
      <c r="Y254">
        <v>1</v>
      </c>
      <c r="Z254">
        <v>0</v>
      </c>
      <c r="AA254">
        <v>0</v>
      </c>
      <c r="AB254" t="s">
        <v>1410</v>
      </c>
      <c r="AC254" t="s">
        <v>34</v>
      </c>
      <c r="AD254" t="s">
        <v>34</v>
      </c>
      <c r="AE254">
        <v>2</v>
      </c>
      <c r="AF254">
        <v>1</v>
      </c>
      <c r="AG254" t="s">
        <v>48</v>
      </c>
      <c r="AL254" t="s">
        <v>35</v>
      </c>
      <c r="AM254" t="s">
        <v>34</v>
      </c>
    </row>
    <row r="255" spans="1:40" x14ac:dyDescent="0.2">
      <c r="A255" s="2">
        <v>45978.87159722222</v>
      </c>
      <c r="B255" t="s">
        <v>1411</v>
      </c>
      <c r="C255" t="s">
        <v>813</v>
      </c>
      <c r="D255" t="s">
        <v>842</v>
      </c>
      <c r="E255" t="s">
        <v>1395</v>
      </c>
      <c r="F255" t="s">
        <v>1412</v>
      </c>
      <c r="G255">
        <v>88452433103</v>
      </c>
      <c r="H255" t="s">
        <v>1413</v>
      </c>
      <c r="I255" t="s">
        <v>1414</v>
      </c>
      <c r="J255" t="s">
        <v>34</v>
      </c>
      <c r="K255">
        <v>240</v>
      </c>
      <c r="L255">
        <v>78</v>
      </c>
      <c r="M255">
        <v>0</v>
      </c>
      <c r="N255">
        <v>0</v>
      </c>
      <c r="O255">
        <v>0</v>
      </c>
      <c r="P255">
        <v>6</v>
      </c>
      <c r="Q255">
        <v>0</v>
      </c>
      <c r="R255">
        <v>10</v>
      </c>
      <c r="S255">
        <v>8</v>
      </c>
      <c r="T255">
        <v>6</v>
      </c>
      <c r="U255">
        <v>8</v>
      </c>
      <c r="V255">
        <v>6</v>
      </c>
      <c r="W255">
        <v>8</v>
      </c>
      <c r="X255">
        <v>7</v>
      </c>
      <c r="Y255">
        <v>8</v>
      </c>
      <c r="Z255">
        <v>6</v>
      </c>
      <c r="AA255">
        <v>5</v>
      </c>
      <c r="AB255" t="s">
        <v>108</v>
      </c>
      <c r="AC255" t="s">
        <v>35</v>
      </c>
      <c r="AD255" t="s">
        <v>34</v>
      </c>
      <c r="AE255">
        <v>2</v>
      </c>
      <c r="AF255">
        <v>1</v>
      </c>
      <c r="AG255" t="s">
        <v>1415</v>
      </c>
      <c r="AL255" t="s">
        <v>35</v>
      </c>
      <c r="AM255" t="s">
        <v>35</v>
      </c>
    </row>
    <row r="256" spans="1:40" x14ac:dyDescent="0.2">
      <c r="A256" s="2">
        <v>45980.646724537037</v>
      </c>
      <c r="B256" t="s">
        <v>1416</v>
      </c>
      <c r="C256" t="s">
        <v>813</v>
      </c>
      <c r="D256" t="s">
        <v>842</v>
      </c>
      <c r="E256" t="s">
        <v>1395</v>
      </c>
      <c r="F256" t="s">
        <v>1417</v>
      </c>
      <c r="G256" t="s">
        <v>1418</v>
      </c>
      <c r="H256" t="s">
        <v>1419</v>
      </c>
      <c r="I256" t="s">
        <v>1420</v>
      </c>
      <c r="J256" t="s">
        <v>34</v>
      </c>
      <c r="K256">
        <v>200</v>
      </c>
      <c r="L256">
        <v>48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3</v>
      </c>
      <c r="S256">
        <v>7</v>
      </c>
      <c r="T256">
        <v>10</v>
      </c>
      <c r="U256">
        <v>10</v>
      </c>
      <c r="V256">
        <v>4</v>
      </c>
      <c r="W256">
        <v>6</v>
      </c>
      <c r="X256">
        <v>2</v>
      </c>
      <c r="Y256">
        <v>2</v>
      </c>
      <c r="Z256">
        <v>2</v>
      </c>
      <c r="AA256">
        <v>2</v>
      </c>
      <c r="AB256" t="s">
        <v>131</v>
      </c>
      <c r="AC256" t="s">
        <v>35</v>
      </c>
      <c r="AD256" t="s">
        <v>35</v>
      </c>
      <c r="AE256">
        <v>8</v>
      </c>
      <c r="AF256">
        <v>4</v>
      </c>
      <c r="AG256" t="s">
        <v>1421</v>
      </c>
      <c r="AI256">
        <v>1</v>
      </c>
      <c r="AL256" t="s">
        <v>35</v>
      </c>
      <c r="AM256" t="s">
        <v>35</v>
      </c>
      <c r="AN256" t="s">
        <v>1422</v>
      </c>
    </row>
    <row r="257" spans="1:40" x14ac:dyDescent="0.2">
      <c r="A257" s="2">
        <v>45980.678553240738</v>
      </c>
      <c r="B257" t="s">
        <v>1423</v>
      </c>
      <c r="C257" t="s">
        <v>813</v>
      </c>
      <c r="D257" t="s">
        <v>842</v>
      </c>
      <c r="E257" t="s">
        <v>1424</v>
      </c>
      <c r="F257" t="s">
        <v>1425</v>
      </c>
      <c r="G257">
        <v>79869866206</v>
      </c>
      <c r="H257" t="s">
        <v>1426</v>
      </c>
      <c r="I257" t="s">
        <v>1427</v>
      </c>
      <c r="J257" t="s">
        <v>34</v>
      </c>
      <c r="K257">
        <v>166</v>
      </c>
      <c r="L257">
        <v>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2</v>
      </c>
      <c r="W257">
        <v>5</v>
      </c>
      <c r="X257">
        <v>1</v>
      </c>
      <c r="Y257">
        <v>0</v>
      </c>
      <c r="Z257">
        <v>0</v>
      </c>
      <c r="AA257">
        <v>1</v>
      </c>
      <c r="AB257" t="s">
        <v>299</v>
      </c>
      <c r="AC257" t="s">
        <v>35</v>
      </c>
      <c r="AD257" t="s">
        <v>35</v>
      </c>
      <c r="AE257">
        <v>2</v>
      </c>
      <c r="AF257">
        <v>0</v>
      </c>
      <c r="AG257" t="s">
        <v>1428</v>
      </c>
      <c r="AL257" t="s">
        <v>34</v>
      </c>
      <c r="AM257" t="s">
        <v>34</v>
      </c>
    </row>
    <row r="258" spans="1:40" x14ac:dyDescent="0.2">
      <c r="A258" s="2">
        <v>45995.510034722232</v>
      </c>
      <c r="B258" t="s">
        <v>1455</v>
      </c>
      <c r="C258" t="s">
        <v>813</v>
      </c>
      <c r="D258" t="s">
        <v>842</v>
      </c>
      <c r="E258" t="s">
        <v>1456</v>
      </c>
      <c r="F258" t="s">
        <v>1457</v>
      </c>
      <c r="G258" t="s">
        <v>1458</v>
      </c>
      <c r="H258" t="s">
        <v>1459</v>
      </c>
      <c r="I258" t="s">
        <v>49</v>
      </c>
      <c r="J258" t="s">
        <v>34</v>
      </c>
      <c r="K258">
        <v>56</v>
      </c>
      <c r="L258">
        <v>21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5</v>
      </c>
      <c r="U258">
        <v>5</v>
      </c>
      <c r="V258">
        <v>5</v>
      </c>
      <c r="W258">
        <v>6</v>
      </c>
      <c r="X258">
        <v>0</v>
      </c>
      <c r="Y258">
        <v>0</v>
      </c>
      <c r="Z258">
        <v>0</v>
      </c>
      <c r="AA258">
        <v>0</v>
      </c>
      <c r="AB258" t="s">
        <v>131</v>
      </c>
      <c r="AC258" t="s">
        <v>34</v>
      </c>
      <c r="AD258" t="s">
        <v>34</v>
      </c>
      <c r="AE258">
        <v>2</v>
      </c>
      <c r="AF258">
        <v>0</v>
      </c>
      <c r="AG258">
        <v>0</v>
      </c>
      <c r="AL258" t="s">
        <v>34</v>
      </c>
      <c r="AM258" t="s">
        <v>34</v>
      </c>
    </row>
    <row r="259" spans="1:40" x14ac:dyDescent="0.2">
      <c r="A259" s="2">
        <v>45978.933599537027</v>
      </c>
      <c r="B259" t="s">
        <v>1529</v>
      </c>
      <c r="C259" t="s">
        <v>813</v>
      </c>
      <c r="D259" t="s">
        <v>842</v>
      </c>
      <c r="E259" t="s">
        <v>1530</v>
      </c>
      <c r="F259" t="s">
        <v>1531</v>
      </c>
      <c r="G259" t="s">
        <v>1532</v>
      </c>
      <c r="H259" t="s">
        <v>1533</v>
      </c>
      <c r="I259" t="s">
        <v>1534</v>
      </c>
      <c r="J259" t="s">
        <v>34</v>
      </c>
      <c r="K259">
        <v>195</v>
      </c>
      <c r="L259">
        <v>52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8</v>
      </c>
      <c r="U259">
        <v>6</v>
      </c>
      <c r="V259">
        <v>9</v>
      </c>
      <c r="W259">
        <v>4</v>
      </c>
      <c r="X259">
        <v>8</v>
      </c>
      <c r="Y259">
        <v>8</v>
      </c>
      <c r="Z259">
        <v>2</v>
      </c>
      <c r="AA259">
        <v>5</v>
      </c>
      <c r="AB259" t="s">
        <v>131</v>
      </c>
      <c r="AC259" t="s">
        <v>35</v>
      </c>
      <c r="AD259" t="s">
        <v>35</v>
      </c>
      <c r="AE259">
        <v>2</v>
      </c>
      <c r="AF259">
        <v>0</v>
      </c>
      <c r="AG259" t="s">
        <v>1535</v>
      </c>
      <c r="AL259" t="s">
        <v>35</v>
      </c>
      <c r="AM259" t="s">
        <v>35</v>
      </c>
    </row>
    <row r="260" spans="1:40" x14ac:dyDescent="0.2">
      <c r="A260" s="2">
        <v>45978.852627314824</v>
      </c>
      <c r="B260" t="s">
        <v>992</v>
      </c>
      <c r="C260" t="s">
        <v>813</v>
      </c>
      <c r="D260" t="s">
        <v>942</v>
      </c>
      <c r="E260" t="s">
        <v>986</v>
      </c>
      <c r="F260" t="s">
        <v>993</v>
      </c>
      <c r="G260">
        <v>79225297109</v>
      </c>
      <c r="H260" t="s">
        <v>994</v>
      </c>
      <c r="I260" t="s">
        <v>93</v>
      </c>
      <c r="J260" t="s">
        <v>34</v>
      </c>
      <c r="K260">
        <v>300</v>
      </c>
      <c r="L260">
        <v>42</v>
      </c>
      <c r="M260">
        <v>2</v>
      </c>
      <c r="N260">
        <v>0</v>
      </c>
      <c r="O260">
        <v>2</v>
      </c>
      <c r="P260">
        <v>3</v>
      </c>
      <c r="Q260">
        <v>5</v>
      </c>
      <c r="R260">
        <v>5</v>
      </c>
      <c r="S260">
        <v>4</v>
      </c>
      <c r="T260">
        <v>3</v>
      </c>
      <c r="U260">
        <v>5</v>
      </c>
      <c r="V260">
        <v>7</v>
      </c>
      <c r="W260">
        <v>5</v>
      </c>
      <c r="X260">
        <v>1</v>
      </c>
      <c r="Y260">
        <v>0</v>
      </c>
      <c r="Z260">
        <v>0</v>
      </c>
      <c r="AA260">
        <v>0</v>
      </c>
      <c r="AB260" t="s">
        <v>995</v>
      </c>
      <c r="AC260" t="s">
        <v>34</v>
      </c>
      <c r="AD260" t="s">
        <v>34</v>
      </c>
      <c r="AE260">
        <v>1</v>
      </c>
      <c r="AF260">
        <v>1</v>
      </c>
      <c r="AG260" t="s">
        <v>34</v>
      </c>
      <c r="AL260" t="s">
        <v>35</v>
      </c>
      <c r="AM260" t="s">
        <v>34</v>
      </c>
    </row>
    <row r="261" spans="1:40" x14ac:dyDescent="0.2">
      <c r="A261" s="2">
        <v>45975.464444444442</v>
      </c>
      <c r="B261" t="s">
        <v>941</v>
      </c>
      <c r="C261" t="s">
        <v>813</v>
      </c>
      <c r="D261" t="s">
        <v>942</v>
      </c>
      <c r="E261" t="s">
        <v>943</v>
      </c>
      <c r="F261" t="s">
        <v>944</v>
      </c>
      <c r="G261" t="s">
        <v>945</v>
      </c>
      <c r="H261" t="s">
        <v>946</v>
      </c>
      <c r="I261" t="s">
        <v>49</v>
      </c>
      <c r="J261" t="s">
        <v>34</v>
      </c>
      <c r="K261">
        <v>179</v>
      </c>
      <c r="L261">
        <v>15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3</v>
      </c>
      <c r="S261">
        <v>6</v>
      </c>
      <c r="T261">
        <v>1</v>
      </c>
      <c r="U261">
        <v>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">
        <v>317</v>
      </c>
      <c r="AC261" t="s">
        <v>35</v>
      </c>
      <c r="AD261" t="s">
        <v>35</v>
      </c>
      <c r="AE261">
        <v>1</v>
      </c>
      <c r="AF261">
        <v>0</v>
      </c>
      <c r="AG261" t="s">
        <v>48</v>
      </c>
      <c r="AL261" t="s">
        <v>34</v>
      </c>
      <c r="AM261" t="s">
        <v>34</v>
      </c>
      <c r="AN261" t="s">
        <v>947</v>
      </c>
    </row>
    <row r="262" spans="1:40" x14ac:dyDescent="0.2">
      <c r="A262" s="2">
        <v>45979.499756944453</v>
      </c>
      <c r="B262" t="s">
        <v>985</v>
      </c>
      <c r="C262" t="s">
        <v>813</v>
      </c>
      <c r="D262" t="s">
        <v>942</v>
      </c>
      <c r="E262" t="s">
        <v>986</v>
      </c>
      <c r="F262" t="s">
        <v>987</v>
      </c>
      <c r="G262" t="s">
        <v>988</v>
      </c>
      <c r="H262" t="s">
        <v>989</v>
      </c>
      <c r="I262" t="s">
        <v>93</v>
      </c>
      <c r="J262" t="s">
        <v>114</v>
      </c>
      <c r="K262">
        <v>790</v>
      </c>
      <c r="L262">
        <v>19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2</v>
      </c>
      <c r="U262">
        <v>9</v>
      </c>
      <c r="V262">
        <v>4</v>
      </c>
      <c r="W262">
        <v>3</v>
      </c>
      <c r="X262">
        <v>1</v>
      </c>
      <c r="Y262">
        <v>0</v>
      </c>
      <c r="Z262">
        <v>0</v>
      </c>
      <c r="AA262">
        <v>0</v>
      </c>
      <c r="AB262" t="s">
        <v>131</v>
      </c>
      <c r="AC262" t="s">
        <v>34</v>
      </c>
      <c r="AD262" t="s">
        <v>34</v>
      </c>
      <c r="AE262">
        <v>1</v>
      </c>
      <c r="AF262">
        <v>0</v>
      </c>
      <c r="AG262" t="s">
        <v>990</v>
      </c>
      <c r="AL262" t="s">
        <v>35</v>
      </c>
      <c r="AM262" t="s">
        <v>35</v>
      </c>
      <c r="AN262" t="s">
        <v>991</v>
      </c>
    </row>
    <row r="263" spans="1:40" x14ac:dyDescent="0.2">
      <c r="A263" s="2">
        <v>45978.841990740737</v>
      </c>
      <c r="B263" t="s">
        <v>996</v>
      </c>
      <c r="C263" t="s">
        <v>813</v>
      </c>
      <c r="D263" t="s">
        <v>942</v>
      </c>
      <c r="E263" t="s">
        <v>997</v>
      </c>
      <c r="F263" t="s">
        <v>998</v>
      </c>
      <c r="G263">
        <v>89199152465</v>
      </c>
      <c r="H263" t="s">
        <v>999</v>
      </c>
      <c r="I263" t="s">
        <v>1000</v>
      </c>
      <c r="J263" t="s">
        <v>34</v>
      </c>
      <c r="K263">
        <v>35</v>
      </c>
      <c r="L263">
        <v>12</v>
      </c>
      <c r="M263">
        <v>12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1001</v>
      </c>
      <c r="AC263" t="s">
        <v>34</v>
      </c>
      <c r="AD263" t="s">
        <v>34</v>
      </c>
      <c r="AE263">
        <v>1</v>
      </c>
      <c r="AF263">
        <v>0</v>
      </c>
      <c r="AG263" t="s">
        <v>1002</v>
      </c>
      <c r="AL263" t="s">
        <v>34</v>
      </c>
      <c r="AM263" t="s">
        <v>34</v>
      </c>
    </row>
    <row r="264" spans="1:40" x14ac:dyDescent="0.2">
      <c r="A264" s="2">
        <v>45975.456944444442</v>
      </c>
      <c r="B264" t="s">
        <v>1096</v>
      </c>
      <c r="C264" t="s">
        <v>813</v>
      </c>
      <c r="D264" t="s">
        <v>942</v>
      </c>
      <c r="E264" t="s">
        <v>1097</v>
      </c>
      <c r="F264" t="s">
        <v>1098</v>
      </c>
      <c r="G264">
        <v>89914562320</v>
      </c>
      <c r="H264" t="s">
        <v>1099</v>
      </c>
      <c r="I264" t="s">
        <v>49</v>
      </c>
      <c r="J264" t="s">
        <v>34</v>
      </c>
      <c r="K264">
        <v>49</v>
      </c>
      <c r="L264">
        <v>22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10</v>
      </c>
      <c r="X264">
        <v>7</v>
      </c>
      <c r="Y264">
        <v>4</v>
      </c>
      <c r="Z264">
        <v>0</v>
      </c>
      <c r="AA264">
        <v>0</v>
      </c>
      <c r="AB264" t="s">
        <v>62</v>
      </c>
      <c r="AC264" t="s">
        <v>35</v>
      </c>
      <c r="AD264" t="s">
        <v>35</v>
      </c>
      <c r="AE264">
        <v>2</v>
      </c>
      <c r="AF264">
        <v>0</v>
      </c>
      <c r="AG264" t="s">
        <v>1100</v>
      </c>
      <c r="AL264" t="s">
        <v>35</v>
      </c>
      <c r="AM264" t="s">
        <v>34</v>
      </c>
    </row>
    <row r="265" spans="1:40" x14ac:dyDescent="0.2">
      <c r="A265" s="2">
        <v>45979.116736111107</v>
      </c>
      <c r="B265" t="s">
        <v>1166</v>
      </c>
      <c r="C265" t="s">
        <v>813</v>
      </c>
      <c r="D265" t="s">
        <v>942</v>
      </c>
      <c r="E265" t="s">
        <v>1167</v>
      </c>
      <c r="F265" t="s">
        <v>1168</v>
      </c>
      <c r="G265" t="s">
        <v>1169</v>
      </c>
      <c r="H265" t="s">
        <v>1170</v>
      </c>
      <c r="I265" t="s">
        <v>689</v>
      </c>
      <c r="J265" t="s">
        <v>34</v>
      </c>
      <c r="K265">
        <v>150</v>
      </c>
      <c r="L265">
        <v>45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10</v>
      </c>
      <c r="V265">
        <v>10</v>
      </c>
      <c r="W265">
        <v>10</v>
      </c>
      <c r="X265">
        <v>10</v>
      </c>
      <c r="Y265">
        <v>5</v>
      </c>
      <c r="Z265">
        <v>0</v>
      </c>
      <c r="AA265">
        <v>0</v>
      </c>
      <c r="AB265" t="s">
        <v>50</v>
      </c>
      <c r="AC265" t="s">
        <v>35</v>
      </c>
      <c r="AD265" t="s">
        <v>35</v>
      </c>
      <c r="AE265">
        <v>1</v>
      </c>
      <c r="AF265">
        <v>0</v>
      </c>
      <c r="AG265" t="s">
        <v>34</v>
      </c>
      <c r="AL265" t="s">
        <v>34</v>
      </c>
      <c r="AM265" t="s">
        <v>34</v>
      </c>
      <c r="AN265" t="s">
        <v>1171</v>
      </c>
    </row>
    <row r="266" spans="1:40" x14ac:dyDescent="0.2">
      <c r="A266" s="2">
        <v>45980.614687499998</v>
      </c>
      <c r="B266" t="s">
        <v>1384</v>
      </c>
      <c r="C266" t="s">
        <v>813</v>
      </c>
      <c r="D266" t="s">
        <v>942</v>
      </c>
      <c r="E266" t="s">
        <v>1385</v>
      </c>
      <c r="F266" t="s">
        <v>1386</v>
      </c>
      <c r="G266">
        <v>83414742299</v>
      </c>
      <c r="H266" t="s">
        <v>1387</v>
      </c>
      <c r="I266" t="s">
        <v>49</v>
      </c>
      <c r="J266" t="s">
        <v>34</v>
      </c>
      <c r="K266">
        <v>369</v>
      </c>
      <c r="L266">
        <v>21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5</v>
      </c>
      <c r="U266">
        <v>5</v>
      </c>
      <c r="V266">
        <v>4</v>
      </c>
      <c r="W266">
        <v>2</v>
      </c>
      <c r="X266">
        <v>2</v>
      </c>
      <c r="Y266">
        <v>2</v>
      </c>
      <c r="Z266">
        <v>0</v>
      </c>
      <c r="AA266">
        <v>0</v>
      </c>
      <c r="AB266" t="s">
        <v>94</v>
      </c>
      <c r="AC266" t="s">
        <v>35</v>
      </c>
      <c r="AD266" t="s">
        <v>34</v>
      </c>
      <c r="AE266">
        <v>1</v>
      </c>
      <c r="AF266">
        <v>0</v>
      </c>
      <c r="AG266" t="s">
        <v>34</v>
      </c>
      <c r="AL266" t="s">
        <v>35</v>
      </c>
      <c r="AM266" t="s">
        <v>34</v>
      </c>
    </row>
    <row r="267" spans="1:40" x14ac:dyDescent="0.2">
      <c r="A267" s="2">
        <v>45979.659849537027</v>
      </c>
      <c r="B267" t="s">
        <v>1388</v>
      </c>
      <c r="C267" t="s">
        <v>813</v>
      </c>
      <c r="D267" t="s">
        <v>942</v>
      </c>
      <c r="E267" t="s">
        <v>1385</v>
      </c>
      <c r="F267" t="s">
        <v>1389</v>
      </c>
      <c r="G267">
        <v>3414739500</v>
      </c>
      <c r="H267" t="s">
        <v>1390</v>
      </c>
      <c r="I267" t="s">
        <v>1391</v>
      </c>
      <c r="J267" t="s">
        <v>34</v>
      </c>
      <c r="K267">
        <v>70</v>
      </c>
      <c r="L267">
        <v>30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4</v>
      </c>
      <c r="U267" s="4">
        <v>4</v>
      </c>
      <c r="V267" s="4">
        <v>2</v>
      </c>
      <c r="W267" s="4">
        <v>4</v>
      </c>
      <c r="X267" s="4">
        <v>5</v>
      </c>
      <c r="Y267" s="4">
        <v>4</v>
      </c>
      <c r="Z267" s="4">
        <v>3</v>
      </c>
      <c r="AA267" s="4">
        <v>4</v>
      </c>
      <c r="AB267" t="s">
        <v>939</v>
      </c>
      <c r="AC267" t="s">
        <v>35</v>
      </c>
      <c r="AD267" t="s">
        <v>34</v>
      </c>
      <c r="AE267">
        <v>1</v>
      </c>
      <c r="AF267">
        <v>0</v>
      </c>
      <c r="AG267" t="s">
        <v>1392</v>
      </c>
      <c r="AL267" t="s">
        <v>34</v>
      </c>
      <c r="AM267" t="s">
        <v>34</v>
      </c>
      <c r="AN267" t="s">
        <v>1393</v>
      </c>
    </row>
    <row r="268" spans="1:40" x14ac:dyDescent="0.2">
      <c r="A268" s="2">
        <v>45976.613807870373</v>
      </c>
      <c r="B268" t="s">
        <v>851</v>
      </c>
      <c r="C268" t="s">
        <v>813</v>
      </c>
      <c r="D268" t="s">
        <v>852</v>
      </c>
      <c r="E268" t="s">
        <v>853</v>
      </c>
      <c r="F268" t="s">
        <v>854</v>
      </c>
      <c r="G268">
        <v>17705</v>
      </c>
      <c r="H268" t="s">
        <v>855</v>
      </c>
      <c r="I268" t="s">
        <v>49</v>
      </c>
      <c r="J268" t="s">
        <v>34</v>
      </c>
      <c r="K268">
        <v>75</v>
      </c>
      <c r="L268">
        <v>18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18</v>
      </c>
      <c r="Y268">
        <v>0</v>
      </c>
      <c r="Z268">
        <v>0</v>
      </c>
      <c r="AA268">
        <v>0</v>
      </c>
      <c r="AB268" t="s">
        <v>62</v>
      </c>
      <c r="AC268" t="s">
        <v>34</v>
      </c>
      <c r="AD268" t="s">
        <v>34</v>
      </c>
      <c r="AE268">
        <v>1</v>
      </c>
      <c r="AF268">
        <v>0</v>
      </c>
      <c r="AG268" t="s">
        <v>34</v>
      </c>
      <c r="AL268" t="s">
        <v>34</v>
      </c>
      <c r="AM268" t="s">
        <v>34</v>
      </c>
    </row>
    <row r="269" spans="1:40" x14ac:dyDescent="0.2">
      <c r="A269" s="2">
        <v>45975.454965277779</v>
      </c>
      <c r="B269" t="s">
        <v>961</v>
      </c>
      <c r="C269" t="s">
        <v>813</v>
      </c>
      <c r="D269" t="s">
        <v>852</v>
      </c>
      <c r="E269" t="s">
        <v>962</v>
      </c>
      <c r="F269" t="s">
        <v>963</v>
      </c>
      <c r="G269" t="s">
        <v>964</v>
      </c>
      <c r="H269" t="s">
        <v>965</v>
      </c>
      <c r="I269" t="s">
        <v>49</v>
      </c>
      <c r="J269" t="s">
        <v>34</v>
      </c>
      <c r="K269">
        <v>318</v>
      </c>
      <c r="L269">
        <v>32</v>
      </c>
      <c r="M269">
        <v>16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</v>
      </c>
      <c r="T269">
        <v>4</v>
      </c>
      <c r="U269">
        <v>1</v>
      </c>
      <c r="V269">
        <v>6</v>
      </c>
      <c r="W269">
        <v>1</v>
      </c>
      <c r="X269">
        <v>0</v>
      </c>
      <c r="Y269">
        <v>0</v>
      </c>
      <c r="Z269">
        <v>0</v>
      </c>
      <c r="AA269">
        <v>0</v>
      </c>
      <c r="AB269" t="s">
        <v>299</v>
      </c>
      <c r="AC269" t="s">
        <v>34</v>
      </c>
      <c r="AD269" t="s">
        <v>35</v>
      </c>
      <c r="AE269">
        <v>1</v>
      </c>
      <c r="AF269">
        <v>0</v>
      </c>
      <c r="AG269" t="s">
        <v>966</v>
      </c>
      <c r="AH269">
        <v>1</v>
      </c>
      <c r="AL269" t="s">
        <v>35</v>
      </c>
      <c r="AM269" t="s">
        <v>34</v>
      </c>
    </row>
    <row r="270" spans="1:40" x14ac:dyDescent="0.2">
      <c r="A270" s="2">
        <v>45979.60633101852</v>
      </c>
      <c r="B270" t="s">
        <v>1265</v>
      </c>
      <c r="C270" t="s">
        <v>813</v>
      </c>
      <c r="D270" t="s">
        <v>852</v>
      </c>
      <c r="E270" t="s">
        <v>1266</v>
      </c>
      <c r="F270" t="s">
        <v>1267</v>
      </c>
      <c r="G270">
        <v>-1860</v>
      </c>
      <c r="H270" t="s">
        <v>1268</v>
      </c>
      <c r="I270" t="s">
        <v>1269</v>
      </c>
      <c r="J270" t="s">
        <v>34</v>
      </c>
      <c r="K270">
        <v>180</v>
      </c>
      <c r="L270">
        <v>35</v>
      </c>
      <c r="M270">
        <v>0</v>
      </c>
      <c r="N270">
        <v>0</v>
      </c>
      <c r="O270">
        <v>0</v>
      </c>
      <c r="P270">
        <v>5</v>
      </c>
      <c r="Q270">
        <v>5</v>
      </c>
      <c r="R270">
        <v>4</v>
      </c>
      <c r="S270">
        <v>0</v>
      </c>
      <c r="T270">
        <v>0</v>
      </c>
      <c r="U270">
        <v>4</v>
      </c>
      <c r="V270">
        <v>4</v>
      </c>
      <c r="W270">
        <v>5</v>
      </c>
      <c r="X270">
        <v>3</v>
      </c>
      <c r="Y270">
        <v>2</v>
      </c>
      <c r="Z270">
        <v>0</v>
      </c>
      <c r="AA270">
        <v>3</v>
      </c>
      <c r="AB270" t="s">
        <v>255</v>
      </c>
      <c r="AC270" t="s">
        <v>35</v>
      </c>
      <c r="AD270" t="s">
        <v>35</v>
      </c>
      <c r="AE270">
        <v>2</v>
      </c>
      <c r="AF270">
        <v>1</v>
      </c>
      <c r="AG270" t="s">
        <v>48</v>
      </c>
      <c r="AL270" t="s">
        <v>34</v>
      </c>
      <c r="AM270" t="s">
        <v>34</v>
      </c>
    </row>
    <row r="271" spans="1:40" x14ac:dyDescent="0.2">
      <c r="A271" s="2">
        <v>45979.660381944443</v>
      </c>
      <c r="B271" t="s">
        <v>1429</v>
      </c>
      <c r="C271" t="s">
        <v>813</v>
      </c>
      <c r="D271" t="s">
        <v>852</v>
      </c>
      <c r="E271" t="s">
        <v>1430</v>
      </c>
      <c r="F271" t="s">
        <v>1431</v>
      </c>
      <c r="G271">
        <v>78423321185</v>
      </c>
      <c r="H271" t="s">
        <v>1432</v>
      </c>
      <c r="I271" t="s">
        <v>49</v>
      </c>
      <c r="J271" t="s">
        <v>34</v>
      </c>
      <c r="K271">
        <v>30</v>
      </c>
      <c r="L271">
        <v>12</v>
      </c>
      <c r="M271">
        <v>0</v>
      </c>
      <c r="N271">
        <v>0</v>
      </c>
      <c r="O271">
        <v>0</v>
      </c>
      <c r="P271">
        <v>6</v>
      </c>
      <c r="Q271">
        <v>3</v>
      </c>
      <c r="R271">
        <v>3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939</v>
      </c>
      <c r="AC271" t="s">
        <v>35</v>
      </c>
      <c r="AD271" t="s">
        <v>34</v>
      </c>
      <c r="AE271">
        <v>1</v>
      </c>
      <c r="AF271">
        <v>0</v>
      </c>
      <c r="AG271" t="s">
        <v>34</v>
      </c>
      <c r="AL271" t="s">
        <v>34</v>
      </c>
      <c r="AM271" t="s">
        <v>34</v>
      </c>
    </row>
    <row r="272" spans="1:40" x14ac:dyDescent="0.2">
      <c r="A272" s="2">
        <v>45995.513680555552</v>
      </c>
      <c r="B272" t="s">
        <v>1438</v>
      </c>
      <c r="C272" t="s">
        <v>813</v>
      </c>
      <c r="D272" t="s">
        <v>852</v>
      </c>
      <c r="E272" t="s">
        <v>1439</v>
      </c>
      <c r="F272" t="s">
        <v>1440</v>
      </c>
      <c r="G272" t="s">
        <v>1441</v>
      </c>
      <c r="H272" t="s">
        <v>1442</v>
      </c>
      <c r="I272" t="s">
        <v>930</v>
      </c>
      <c r="J272" t="s">
        <v>34</v>
      </c>
      <c r="K272">
        <v>46</v>
      </c>
      <c r="L272">
        <v>17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4</v>
      </c>
      <c r="U272" s="4">
        <v>3</v>
      </c>
      <c r="V272" s="4">
        <v>3</v>
      </c>
      <c r="W272" s="4">
        <v>5</v>
      </c>
      <c r="X272" s="4">
        <v>2</v>
      </c>
      <c r="Y272" s="4">
        <v>0</v>
      </c>
      <c r="Z272" s="4">
        <v>0</v>
      </c>
      <c r="AA272" s="4">
        <v>0</v>
      </c>
      <c r="AB272" t="s">
        <v>131</v>
      </c>
      <c r="AC272" t="s">
        <v>35</v>
      </c>
      <c r="AD272" t="s">
        <v>34</v>
      </c>
      <c r="AE272">
        <v>1</v>
      </c>
      <c r="AF272">
        <v>0</v>
      </c>
      <c r="AG272" t="s">
        <v>48</v>
      </c>
      <c r="AL272" t="s">
        <v>34</v>
      </c>
      <c r="AM272" t="s">
        <v>34</v>
      </c>
    </row>
    <row r="273" spans="1:40" x14ac:dyDescent="0.2">
      <c r="A273" s="2">
        <v>45982.384942129633</v>
      </c>
      <c r="B273" t="s">
        <v>1470</v>
      </c>
      <c r="C273" t="s">
        <v>813</v>
      </c>
      <c r="D273" t="s">
        <v>852</v>
      </c>
      <c r="E273" t="s">
        <v>1471</v>
      </c>
      <c r="F273" t="s">
        <v>1472</v>
      </c>
      <c r="G273">
        <v>89876395777</v>
      </c>
      <c r="H273" t="s">
        <v>1473</v>
      </c>
      <c r="I273" t="s">
        <v>381</v>
      </c>
      <c r="J273" t="s">
        <v>34</v>
      </c>
      <c r="K273">
        <v>250</v>
      </c>
      <c r="L273">
        <v>12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</v>
      </c>
      <c r="W273">
        <v>6</v>
      </c>
      <c r="X273">
        <v>2</v>
      </c>
      <c r="Y273">
        <v>1</v>
      </c>
      <c r="Z273">
        <v>0</v>
      </c>
      <c r="AA273">
        <v>0</v>
      </c>
      <c r="AB273" t="s">
        <v>696</v>
      </c>
      <c r="AC273" t="s">
        <v>34</v>
      </c>
      <c r="AD273" t="s">
        <v>35</v>
      </c>
      <c r="AE273">
        <v>1</v>
      </c>
      <c r="AF273">
        <v>0</v>
      </c>
      <c r="AG273" t="s">
        <v>56</v>
      </c>
      <c r="AL273" t="s">
        <v>35</v>
      </c>
      <c r="AM273" t="s">
        <v>34</v>
      </c>
    </row>
    <row r="274" spans="1:40" x14ac:dyDescent="0.2">
      <c r="A274" s="2">
        <v>45978.621145833327</v>
      </c>
      <c r="B274" t="s">
        <v>1474</v>
      </c>
      <c r="C274" t="s">
        <v>813</v>
      </c>
      <c r="D274" t="s">
        <v>852</v>
      </c>
      <c r="E274" t="s">
        <v>1471</v>
      </c>
      <c r="F274" t="s">
        <v>1475</v>
      </c>
      <c r="G274">
        <v>8422735155</v>
      </c>
      <c r="H274" t="s">
        <v>1476</v>
      </c>
      <c r="I274" t="s">
        <v>49</v>
      </c>
      <c r="J274" t="s">
        <v>518</v>
      </c>
      <c r="K274">
        <v>678</v>
      </c>
      <c r="L274">
        <v>131</v>
      </c>
      <c r="M274" s="4">
        <v>0</v>
      </c>
      <c r="N274" s="4">
        <v>4</v>
      </c>
      <c r="O274" s="4">
        <v>5</v>
      </c>
      <c r="P274" s="4">
        <v>6</v>
      </c>
      <c r="Q274" s="4">
        <v>7</v>
      </c>
      <c r="R274" s="4">
        <v>10</v>
      </c>
      <c r="S274" s="4">
        <v>5</v>
      </c>
      <c r="T274" s="4">
        <v>7</v>
      </c>
      <c r="U274" s="4">
        <v>10</v>
      </c>
      <c r="V274" s="4">
        <v>16</v>
      </c>
      <c r="W274" s="4">
        <v>22</v>
      </c>
      <c r="X274" s="4">
        <v>26</v>
      </c>
      <c r="Y274" s="4">
        <v>11</v>
      </c>
      <c r="Z274" s="4">
        <v>2</v>
      </c>
      <c r="AA274" s="4">
        <v>0</v>
      </c>
      <c r="AB274" t="s">
        <v>62</v>
      </c>
      <c r="AC274" t="s">
        <v>34</v>
      </c>
      <c r="AD274" t="s">
        <v>35</v>
      </c>
      <c r="AE274">
        <v>5</v>
      </c>
      <c r="AF274">
        <v>1</v>
      </c>
      <c r="AG274" t="s">
        <v>1477</v>
      </c>
      <c r="AH274">
        <v>3</v>
      </c>
      <c r="AL274" t="s">
        <v>35</v>
      </c>
      <c r="AM274" t="s">
        <v>34</v>
      </c>
    </row>
    <row r="275" spans="1:40" x14ac:dyDescent="0.2">
      <c r="A275" s="2">
        <v>45978.41202546296</v>
      </c>
      <c r="B275" t="s">
        <v>1478</v>
      </c>
      <c r="C275" t="s">
        <v>813</v>
      </c>
      <c r="D275" t="s">
        <v>852</v>
      </c>
      <c r="E275" t="s">
        <v>1471</v>
      </c>
      <c r="F275" t="s">
        <v>1479</v>
      </c>
      <c r="G275" t="s">
        <v>1480</v>
      </c>
      <c r="H275" t="s">
        <v>1481</v>
      </c>
      <c r="I275" t="s">
        <v>49</v>
      </c>
      <c r="J275" t="s">
        <v>34</v>
      </c>
      <c r="K275">
        <v>475</v>
      </c>
      <c r="L275">
        <v>25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3</v>
      </c>
      <c r="T275">
        <v>8</v>
      </c>
      <c r="U275">
        <v>2</v>
      </c>
      <c r="V275">
        <v>5</v>
      </c>
      <c r="W275">
        <v>4</v>
      </c>
      <c r="X275">
        <v>1</v>
      </c>
      <c r="Y275">
        <v>1</v>
      </c>
      <c r="Z275">
        <v>0</v>
      </c>
      <c r="AA275">
        <v>0</v>
      </c>
      <c r="AB275" t="s">
        <v>108</v>
      </c>
      <c r="AC275" t="s">
        <v>35</v>
      </c>
      <c r="AD275" t="s">
        <v>35</v>
      </c>
      <c r="AE275">
        <v>1</v>
      </c>
      <c r="AF275">
        <v>0</v>
      </c>
      <c r="AG275">
        <v>0</v>
      </c>
      <c r="AL275" t="s">
        <v>35</v>
      </c>
      <c r="AM275" t="s">
        <v>34</v>
      </c>
      <c r="AN275" t="s">
        <v>48</v>
      </c>
    </row>
    <row r="276" spans="1:40" x14ac:dyDescent="0.2">
      <c r="A276" s="2">
        <v>45993.608437499999</v>
      </c>
      <c r="B276" t="s">
        <v>1482</v>
      </c>
      <c r="C276" t="s">
        <v>813</v>
      </c>
      <c r="D276" t="s">
        <v>852</v>
      </c>
      <c r="E276" t="s">
        <v>1471</v>
      </c>
      <c r="F276" t="s">
        <v>1483</v>
      </c>
      <c r="G276">
        <v>89372712790</v>
      </c>
      <c r="H276" t="s">
        <v>1484</v>
      </c>
      <c r="I276" t="s">
        <v>835</v>
      </c>
      <c r="J276" t="s">
        <v>34</v>
      </c>
      <c r="K276">
        <v>67</v>
      </c>
      <c r="L276">
        <v>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3</v>
      </c>
      <c r="X276">
        <v>3</v>
      </c>
      <c r="Y276">
        <v>1</v>
      </c>
      <c r="Z276">
        <v>0</v>
      </c>
      <c r="AA276">
        <v>0</v>
      </c>
      <c r="AC276" t="s">
        <v>35</v>
      </c>
      <c r="AD276" t="s">
        <v>35</v>
      </c>
      <c r="AE276">
        <v>1</v>
      </c>
      <c r="AF276">
        <v>0</v>
      </c>
      <c r="AG276">
        <v>0</v>
      </c>
      <c r="AL276" t="s">
        <v>34</v>
      </c>
      <c r="AM276" t="s">
        <v>34</v>
      </c>
    </row>
    <row r="277" spans="1:40" x14ac:dyDescent="0.2">
      <c r="A277" s="2">
        <v>45993.602060185192</v>
      </c>
      <c r="B277" t="s">
        <v>1490</v>
      </c>
      <c r="C277" t="s">
        <v>813</v>
      </c>
      <c r="D277" t="s">
        <v>852</v>
      </c>
      <c r="E277" t="s">
        <v>1491</v>
      </c>
      <c r="F277" t="s">
        <v>1492</v>
      </c>
      <c r="G277">
        <v>89084841036</v>
      </c>
      <c r="H277" t="s">
        <v>1493</v>
      </c>
      <c r="I277" t="s">
        <v>33</v>
      </c>
      <c r="J277" t="s">
        <v>34</v>
      </c>
      <c r="K277">
        <v>82</v>
      </c>
      <c r="L277">
        <v>26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7</v>
      </c>
      <c r="W277">
        <v>7</v>
      </c>
      <c r="X277">
        <v>6</v>
      </c>
      <c r="Y277">
        <v>5</v>
      </c>
      <c r="Z277">
        <v>1</v>
      </c>
      <c r="AA277">
        <v>0</v>
      </c>
      <c r="AC277" t="s">
        <v>35</v>
      </c>
      <c r="AD277" t="s">
        <v>34</v>
      </c>
      <c r="AE277">
        <v>2</v>
      </c>
      <c r="AF277">
        <v>0</v>
      </c>
      <c r="AG277">
        <v>0</v>
      </c>
      <c r="AL277" t="s">
        <v>34</v>
      </c>
      <c r="AM277" t="s">
        <v>34</v>
      </c>
    </row>
    <row r="278" spans="1:40" x14ac:dyDescent="0.2">
      <c r="A278" s="2">
        <v>45980.636736111112</v>
      </c>
      <c r="B278" t="s">
        <v>1146</v>
      </c>
      <c r="C278" t="s">
        <v>813</v>
      </c>
      <c r="D278" t="s">
        <v>1147</v>
      </c>
      <c r="E278" t="s">
        <v>1148</v>
      </c>
      <c r="F278" t="s">
        <v>1149</v>
      </c>
      <c r="G278">
        <v>8354221776</v>
      </c>
      <c r="H278" t="s">
        <v>1150</v>
      </c>
      <c r="I278" t="s">
        <v>49</v>
      </c>
      <c r="J278" t="s">
        <v>34</v>
      </c>
      <c r="K278">
        <v>204</v>
      </c>
      <c r="L278">
        <v>63</v>
      </c>
      <c r="M278" s="4">
        <v>0</v>
      </c>
      <c r="N278" s="4">
        <v>2</v>
      </c>
      <c r="O278" s="4">
        <v>2</v>
      </c>
      <c r="P278" s="4">
        <v>0</v>
      </c>
      <c r="Q278" s="4">
        <v>2</v>
      </c>
      <c r="R278" s="4">
        <v>3</v>
      </c>
      <c r="S278" s="4">
        <v>1</v>
      </c>
      <c r="T278" s="4">
        <v>2</v>
      </c>
      <c r="U278" s="4">
        <v>6</v>
      </c>
      <c r="V278" s="4">
        <v>11</v>
      </c>
      <c r="W278" s="4">
        <v>2</v>
      </c>
      <c r="X278" s="4">
        <v>10</v>
      </c>
      <c r="Y278" s="4">
        <v>21</v>
      </c>
      <c r="Z278" s="4">
        <v>1</v>
      </c>
      <c r="AA278" s="4">
        <v>0</v>
      </c>
      <c r="AB278" t="s">
        <v>108</v>
      </c>
      <c r="AC278" t="s">
        <v>35</v>
      </c>
      <c r="AD278" t="s">
        <v>35</v>
      </c>
      <c r="AE278">
        <v>3</v>
      </c>
      <c r="AF278">
        <v>0</v>
      </c>
      <c r="AG278">
        <v>0</v>
      </c>
      <c r="AL278" t="s">
        <v>35</v>
      </c>
      <c r="AM278" t="s">
        <v>34</v>
      </c>
    </row>
    <row r="279" spans="1:40" x14ac:dyDescent="0.2">
      <c r="A279" s="2">
        <v>45996.509282407409</v>
      </c>
      <c r="B279" t="s">
        <v>1270</v>
      </c>
      <c r="C279" t="s">
        <v>813</v>
      </c>
      <c r="D279" t="s">
        <v>1147</v>
      </c>
      <c r="E279" t="s">
        <v>1271</v>
      </c>
      <c r="F279" t="s">
        <v>1272</v>
      </c>
      <c r="G279">
        <v>78352770653</v>
      </c>
      <c r="H279" t="s">
        <v>1273</v>
      </c>
      <c r="I279" t="s">
        <v>689</v>
      </c>
      <c r="J279" t="s">
        <v>34</v>
      </c>
      <c r="K279">
        <v>75</v>
      </c>
      <c r="L279">
        <v>25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10</v>
      </c>
      <c r="T279" s="4">
        <v>2</v>
      </c>
      <c r="U279" s="4">
        <v>8</v>
      </c>
      <c r="V279" s="4">
        <v>2</v>
      </c>
      <c r="W279" s="4">
        <v>3</v>
      </c>
      <c r="X279" s="4">
        <v>0</v>
      </c>
      <c r="Y279" s="4">
        <v>0</v>
      </c>
      <c r="Z279" s="4">
        <v>0</v>
      </c>
      <c r="AA279" s="4">
        <v>0</v>
      </c>
      <c r="AB279" t="s">
        <v>189</v>
      </c>
      <c r="AC279" t="s">
        <v>35</v>
      </c>
      <c r="AD279" t="s">
        <v>35</v>
      </c>
      <c r="AE279">
        <v>2</v>
      </c>
      <c r="AF279">
        <v>0</v>
      </c>
      <c r="AG279" t="s">
        <v>1274</v>
      </c>
      <c r="AL279" t="s">
        <v>34</v>
      </c>
      <c r="AM279" t="s">
        <v>34</v>
      </c>
    </row>
    <row r="280" spans="1:40" x14ac:dyDescent="0.2">
      <c r="A280" s="2">
        <v>45978.496620370373</v>
      </c>
      <c r="B280" t="s">
        <v>1275</v>
      </c>
      <c r="C280" t="s">
        <v>813</v>
      </c>
      <c r="D280" t="s">
        <v>1147</v>
      </c>
      <c r="E280" t="s">
        <v>1276</v>
      </c>
      <c r="F280" t="s">
        <v>1277</v>
      </c>
      <c r="G280" t="s">
        <v>1278</v>
      </c>
      <c r="H280" t="s">
        <v>1279</v>
      </c>
      <c r="I280" t="s">
        <v>49</v>
      </c>
      <c r="J280" t="s">
        <v>34</v>
      </c>
      <c r="K280">
        <v>209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 t="s">
        <v>62</v>
      </c>
      <c r="AC280" t="s">
        <v>35</v>
      </c>
      <c r="AD280" t="s">
        <v>34</v>
      </c>
      <c r="AE280">
        <v>1</v>
      </c>
      <c r="AF280">
        <v>0</v>
      </c>
      <c r="AG280" t="s">
        <v>1280</v>
      </c>
      <c r="AL280" t="s">
        <v>35</v>
      </c>
      <c r="AM280" t="s">
        <v>34</v>
      </c>
    </row>
    <row r="281" spans="1:40" x14ac:dyDescent="0.2">
      <c r="A281" s="2">
        <v>45994.5350249537</v>
      </c>
      <c r="B281" t="s">
        <v>3641</v>
      </c>
      <c r="C281" t="s">
        <v>3465</v>
      </c>
      <c r="D281" t="s">
        <v>3520</v>
      </c>
      <c r="E281" t="s">
        <v>3642</v>
      </c>
      <c r="F281" t="s">
        <v>3643</v>
      </c>
      <c r="G281">
        <v>8851293263</v>
      </c>
      <c r="H281" t="s">
        <v>3644</v>
      </c>
      <c r="I281" t="s">
        <v>49</v>
      </c>
      <c r="J281" t="s">
        <v>34</v>
      </c>
      <c r="K281">
        <v>70</v>
      </c>
      <c r="L281">
        <v>53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6</v>
      </c>
      <c r="U281">
        <v>2</v>
      </c>
      <c r="V281">
        <v>12</v>
      </c>
      <c r="W281">
        <v>8</v>
      </c>
      <c r="X281">
        <v>8</v>
      </c>
      <c r="Y281">
        <v>8</v>
      </c>
      <c r="Z281">
        <v>8</v>
      </c>
      <c r="AA281">
        <v>1</v>
      </c>
      <c r="AB281" t="s">
        <v>108</v>
      </c>
      <c r="AC281" t="s">
        <v>35</v>
      </c>
      <c r="AD281" t="s">
        <v>34</v>
      </c>
      <c r="AE281">
        <v>2</v>
      </c>
      <c r="AF281">
        <v>1</v>
      </c>
      <c r="AG281" t="s">
        <v>3645</v>
      </c>
      <c r="AL281" t="s">
        <v>34</v>
      </c>
      <c r="AM281" t="s">
        <v>34</v>
      </c>
      <c r="AN281" t="s">
        <v>3646</v>
      </c>
    </row>
    <row r="282" spans="1:40" x14ac:dyDescent="0.2">
      <c r="A282" s="2">
        <v>45975.484490740739</v>
      </c>
      <c r="B282" t="s">
        <v>1498</v>
      </c>
      <c r="C282" t="s">
        <v>813</v>
      </c>
      <c r="D282" t="s">
        <v>1147</v>
      </c>
      <c r="E282" t="s">
        <v>1499</v>
      </c>
      <c r="F282" t="s">
        <v>1500</v>
      </c>
      <c r="G282" t="s">
        <v>1501</v>
      </c>
      <c r="H282" t="s">
        <v>1502</v>
      </c>
      <c r="I282" t="s">
        <v>49</v>
      </c>
      <c r="J282" t="s">
        <v>34</v>
      </c>
      <c r="K282">
        <v>126</v>
      </c>
      <c r="L282">
        <v>16</v>
      </c>
      <c r="M282">
        <v>0</v>
      </c>
      <c r="N282">
        <v>0</v>
      </c>
      <c r="O282">
        <v>0</v>
      </c>
      <c r="P282">
        <v>1</v>
      </c>
      <c r="Q282">
        <v>2</v>
      </c>
      <c r="R282">
        <v>1</v>
      </c>
      <c r="S282">
        <v>3</v>
      </c>
      <c r="T282">
        <v>2</v>
      </c>
      <c r="U282">
        <v>5</v>
      </c>
      <c r="V282">
        <v>2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50</v>
      </c>
      <c r="AC282" t="s">
        <v>34</v>
      </c>
      <c r="AD282" t="s">
        <v>35</v>
      </c>
      <c r="AE282">
        <v>1</v>
      </c>
      <c r="AF282">
        <v>1</v>
      </c>
      <c r="AG282" t="s">
        <v>1503</v>
      </c>
      <c r="AL282" t="s">
        <v>35</v>
      </c>
      <c r="AM282" t="s">
        <v>34</v>
      </c>
    </row>
    <row r="283" spans="1:40" x14ac:dyDescent="0.2">
      <c r="A283" s="2">
        <v>45996.63590277778</v>
      </c>
      <c r="B283" t="s">
        <v>1504</v>
      </c>
      <c r="C283" t="s">
        <v>813</v>
      </c>
      <c r="D283" t="s">
        <v>1147</v>
      </c>
      <c r="E283" t="s">
        <v>1499</v>
      </c>
      <c r="F283" t="s">
        <v>1505</v>
      </c>
      <c r="G283">
        <v>89278483626</v>
      </c>
      <c r="H283" t="s">
        <v>1506</v>
      </c>
      <c r="I283" t="s">
        <v>689</v>
      </c>
      <c r="J283" t="s">
        <v>34</v>
      </c>
      <c r="K283">
        <v>400</v>
      </c>
      <c r="L283">
        <v>130</v>
      </c>
      <c r="M283">
        <v>0</v>
      </c>
      <c r="N283">
        <v>0</v>
      </c>
      <c r="O283">
        <v>0</v>
      </c>
      <c r="P283">
        <v>0</v>
      </c>
      <c r="Q283">
        <v>10</v>
      </c>
      <c r="R283">
        <v>10</v>
      </c>
      <c r="S283">
        <v>60</v>
      </c>
      <c r="T283">
        <v>30</v>
      </c>
      <c r="U283">
        <v>10</v>
      </c>
      <c r="V283">
        <v>10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50</v>
      </c>
      <c r="AC283" t="s">
        <v>35</v>
      </c>
      <c r="AD283" t="s">
        <v>34</v>
      </c>
      <c r="AE283">
        <v>2</v>
      </c>
      <c r="AF283">
        <v>0</v>
      </c>
      <c r="AG283" t="s">
        <v>34</v>
      </c>
      <c r="AL283" t="s">
        <v>35</v>
      </c>
      <c r="AM283" t="s">
        <v>34</v>
      </c>
    </row>
    <row r="284" spans="1:40" x14ac:dyDescent="0.2">
      <c r="A284" s="2">
        <v>45975.493657407409</v>
      </c>
      <c r="B284" t="s">
        <v>1507</v>
      </c>
      <c r="C284" t="s">
        <v>813</v>
      </c>
      <c r="D284" t="s">
        <v>1147</v>
      </c>
      <c r="E284" t="s">
        <v>1499</v>
      </c>
      <c r="F284" t="s">
        <v>1508</v>
      </c>
      <c r="G284" t="s">
        <v>1509</v>
      </c>
      <c r="H284" t="s">
        <v>1510</v>
      </c>
      <c r="I284" t="s">
        <v>49</v>
      </c>
      <c r="J284" t="s">
        <v>114</v>
      </c>
      <c r="K284">
        <v>435</v>
      </c>
      <c r="L284">
        <v>71</v>
      </c>
      <c r="M284">
        <v>2</v>
      </c>
      <c r="N284">
        <v>1</v>
      </c>
      <c r="O284">
        <v>2</v>
      </c>
      <c r="P284">
        <v>7</v>
      </c>
      <c r="Q284">
        <v>4</v>
      </c>
      <c r="R284">
        <v>1</v>
      </c>
      <c r="S284">
        <v>22</v>
      </c>
      <c r="T284">
        <v>9</v>
      </c>
      <c r="U284">
        <v>15</v>
      </c>
      <c r="V284">
        <v>6</v>
      </c>
      <c r="W284">
        <v>2</v>
      </c>
      <c r="X284">
        <v>0</v>
      </c>
      <c r="Y284">
        <v>0</v>
      </c>
      <c r="Z284">
        <v>0</v>
      </c>
      <c r="AA284">
        <v>0</v>
      </c>
      <c r="AB284" t="s">
        <v>94</v>
      </c>
      <c r="AC284" t="s">
        <v>35</v>
      </c>
      <c r="AD284" t="s">
        <v>35</v>
      </c>
      <c r="AE284">
        <v>2</v>
      </c>
      <c r="AF284">
        <v>1</v>
      </c>
      <c r="AG284" t="s">
        <v>1511</v>
      </c>
      <c r="AL284" t="s">
        <v>35</v>
      </c>
      <c r="AM284" t="s">
        <v>34</v>
      </c>
      <c r="AN284" t="s">
        <v>1512</v>
      </c>
    </row>
    <row r="285" spans="1:40" x14ac:dyDescent="0.2">
      <c r="A285" s="2">
        <v>45993.600219907406</v>
      </c>
      <c r="B285" t="s">
        <v>1513</v>
      </c>
      <c r="C285" t="s">
        <v>813</v>
      </c>
      <c r="D285" t="s">
        <v>1147</v>
      </c>
      <c r="E285" t="s">
        <v>1514</v>
      </c>
      <c r="F285" t="s">
        <v>1515</v>
      </c>
      <c r="G285">
        <v>89196657451</v>
      </c>
      <c r="H285" t="s">
        <v>1516</v>
      </c>
      <c r="I285" t="s">
        <v>41</v>
      </c>
      <c r="J285" t="s">
        <v>34</v>
      </c>
      <c r="K285">
        <v>100</v>
      </c>
      <c r="L285">
        <v>21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10</v>
      </c>
      <c r="V285">
        <v>11</v>
      </c>
      <c r="W285">
        <v>0</v>
      </c>
      <c r="X285">
        <v>0</v>
      </c>
      <c r="Y285">
        <v>0</v>
      </c>
      <c r="Z285">
        <v>0</v>
      </c>
      <c r="AA285">
        <v>0</v>
      </c>
      <c r="AC285" t="s">
        <v>35</v>
      </c>
      <c r="AD285" t="s">
        <v>34</v>
      </c>
      <c r="AE285">
        <v>1</v>
      </c>
      <c r="AF285">
        <v>0</v>
      </c>
      <c r="AG285">
        <v>0</v>
      </c>
      <c r="AL285" t="s">
        <v>35</v>
      </c>
      <c r="AM285" t="s">
        <v>34</v>
      </c>
    </row>
    <row r="286" spans="1:40" x14ac:dyDescent="0.2">
      <c r="A286" s="2">
        <v>45979.620856481481</v>
      </c>
      <c r="B286" t="s">
        <v>1541</v>
      </c>
      <c r="C286" t="s">
        <v>813</v>
      </c>
      <c r="D286" t="s">
        <v>1147</v>
      </c>
      <c r="E286" t="s">
        <v>1542</v>
      </c>
      <c r="F286" t="s">
        <v>1543</v>
      </c>
      <c r="G286">
        <v>22354821273</v>
      </c>
      <c r="H286" t="s">
        <v>1544</v>
      </c>
      <c r="I286" t="s">
        <v>49</v>
      </c>
      <c r="J286" t="s">
        <v>34</v>
      </c>
      <c r="K286">
        <v>62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 t="s">
        <v>50</v>
      </c>
      <c r="AC286" t="s">
        <v>35</v>
      </c>
      <c r="AD286" t="s">
        <v>35</v>
      </c>
      <c r="AE286">
        <v>1</v>
      </c>
      <c r="AF286">
        <v>0</v>
      </c>
      <c r="AG286">
        <v>0</v>
      </c>
      <c r="AL286" t="s">
        <v>34</v>
      </c>
      <c r="AM286" t="s">
        <v>34</v>
      </c>
    </row>
    <row r="287" spans="1:40" x14ac:dyDescent="0.2">
      <c r="A287" s="2">
        <v>45993.390034722222</v>
      </c>
      <c r="B287" t="s">
        <v>1563</v>
      </c>
      <c r="C287" t="s">
        <v>1553</v>
      </c>
      <c r="D287" t="s">
        <v>1564</v>
      </c>
      <c r="E287" t="s">
        <v>1565</v>
      </c>
      <c r="F287" t="s">
        <v>1566</v>
      </c>
      <c r="G287">
        <v>78182618818</v>
      </c>
      <c r="H287" t="s">
        <v>1567</v>
      </c>
      <c r="I287" t="s">
        <v>49</v>
      </c>
      <c r="J287" t="s">
        <v>34</v>
      </c>
      <c r="K287">
        <v>200</v>
      </c>
      <c r="L287">
        <v>11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3</v>
      </c>
      <c r="V287">
        <v>3</v>
      </c>
      <c r="W287">
        <v>0</v>
      </c>
      <c r="X287">
        <v>2</v>
      </c>
      <c r="Y287">
        <v>3</v>
      </c>
      <c r="Z287">
        <v>0</v>
      </c>
      <c r="AA287">
        <v>0</v>
      </c>
      <c r="AB287" t="s">
        <v>108</v>
      </c>
      <c r="AC287" t="s">
        <v>35</v>
      </c>
      <c r="AD287" t="s">
        <v>34</v>
      </c>
      <c r="AE287">
        <v>2</v>
      </c>
      <c r="AF287">
        <v>1</v>
      </c>
      <c r="AG287" t="s">
        <v>1568</v>
      </c>
      <c r="AL287" t="s">
        <v>35</v>
      </c>
      <c r="AM287" t="s">
        <v>34</v>
      </c>
      <c r="AN287" t="s">
        <v>1569</v>
      </c>
    </row>
    <row r="288" spans="1:40" x14ac:dyDescent="0.2">
      <c r="A288" s="2">
        <v>45994.577268518522</v>
      </c>
      <c r="B288" t="s">
        <v>1570</v>
      </c>
      <c r="C288" t="s">
        <v>1553</v>
      </c>
      <c r="D288" t="s">
        <v>1564</v>
      </c>
      <c r="E288" t="s">
        <v>1565</v>
      </c>
      <c r="F288" t="s">
        <v>1571</v>
      </c>
      <c r="G288">
        <v>79210883588</v>
      </c>
      <c r="H288" t="s">
        <v>1572</v>
      </c>
      <c r="I288" t="s">
        <v>1573</v>
      </c>
      <c r="J288" t="s">
        <v>34</v>
      </c>
      <c r="K288">
        <v>300</v>
      </c>
      <c r="L288">
        <v>47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1</v>
      </c>
      <c r="T288">
        <v>1</v>
      </c>
      <c r="U288">
        <v>4</v>
      </c>
      <c r="V288">
        <v>8</v>
      </c>
      <c r="W288">
        <v>6</v>
      </c>
      <c r="X288">
        <v>12</v>
      </c>
      <c r="Y288">
        <v>7</v>
      </c>
      <c r="Z288">
        <v>3</v>
      </c>
      <c r="AA288">
        <v>4</v>
      </c>
      <c r="AB288" t="s">
        <v>1574</v>
      </c>
      <c r="AC288" t="s">
        <v>35</v>
      </c>
      <c r="AD288" t="s">
        <v>35</v>
      </c>
      <c r="AE288">
        <v>1</v>
      </c>
      <c r="AF288">
        <v>0</v>
      </c>
      <c r="AG288" t="s">
        <v>1575</v>
      </c>
      <c r="AL288" t="s">
        <v>34</v>
      </c>
      <c r="AM288" t="s">
        <v>34</v>
      </c>
      <c r="AN288" t="s">
        <v>1576</v>
      </c>
    </row>
    <row r="289" spans="1:40" x14ac:dyDescent="0.2">
      <c r="A289" s="2">
        <v>45996.490787037037</v>
      </c>
      <c r="B289" t="s">
        <v>1577</v>
      </c>
      <c r="C289" t="s">
        <v>1553</v>
      </c>
      <c r="D289" t="s">
        <v>1564</v>
      </c>
      <c r="E289" t="s">
        <v>1565</v>
      </c>
      <c r="F289" t="s">
        <v>1578</v>
      </c>
      <c r="G289">
        <v>89506614203</v>
      </c>
      <c r="H289" t="s">
        <v>1579</v>
      </c>
      <c r="I289" t="s">
        <v>710</v>
      </c>
      <c r="J289" t="s">
        <v>34</v>
      </c>
      <c r="K289">
        <v>10</v>
      </c>
      <c r="L289">
        <v>10</v>
      </c>
      <c r="M289">
        <v>10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1580</v>
      </c>
      <c r="AC289" t="s">
        <v>34</v>
      </c>
      <c r="AD289" t="s">
        <v>34</v>
      </c>
      <c r="AE289">
        <v>1</v>
      </c>
      <c r="AF289">
        <v>1</v>
      </c>
      <c r="AG289" t="s">
        <v>34</v>
      </c>
      <c r="AL289" t="s">
        <v>34</v>
      </c>
      <c r="AM289" t="s">
        <v>34</v>
      </c>
    </row>
    <row r="290" spans="1:40" x14ac:dyDescent="0.2">
      <c r="A290" s="2">
        <v>45986.902407407397</v>
      </c>
      <c r="B290" t="s">
        <v>1581</v>
      </c>
      <c r="C290" t="s">
        <v>1553</v>
      </c>
      <c r="D290" t="s">
        <v>1564</v>
      </c>
      <c r="E290" t="s">
        <v>1582</v>
      </c>
      <c r="F290" t="s">
        <v>1583</v>
      </c>
      <c r="G290">
        <v>89115957663</v>
      </c>
      <c r="H290" t="s">
        <v>1584</v>
      </c>
      <c r="I290" t="s">
        <v>1585</v>
      </c>
      <c r="J290" t="s">
        <v>34</v>
      </c>
      <c r="K290">
        <v>743</v>
      </c>
      <c r="L290">
        <v>99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3</v>
      </c>
      <c r="Z290">
        <v>9</v>
      </c>
      <c r="AA290">
        <v>87</v>
      </c>
      <c r="AB290" t="s">
        <v>108</v>
      </c>
      <c r="AC290" t="s">
        <v>35</v>
      </c>
      <c r="AD290" t="s">
        <v>35</v>
      </c>
      <c r="AE290">
        <v>5</v>
      </c>
      <c r="AF290">
        <v>1</v>
      </c>
      <c r="AG290" t="s">
        <v>56</v>
      </c>
      <c r="AL290" t="s">
        <v>35</v>
      </c>
      <c r="AM290" t="s">
        <v>34</v>
      </c>
    </row>
    <row r="291" spans="1:40" x14ac:dyDescent="0.2">
      <c r="A291" s="2">
        <v>45986.63994212963</v>
      </c>
      <c r="B291" t="s">
        <v>1624</v>
      </c>
      <c r="C291" t="s">
        <v>1553</v>
      </c>
      <c r="D291" t="s">
        <v>1564</v>
      </c>
      <c r="E291" t="s">
        <v>1625</v>
      </c>
      <c r="F291" t="s">
        <v>1626</v>
      </c>
      <c r="G291">
        <v>78183661631</v>
      </c>
      <c r="H291" t="s">
        <v>1627</v>
      </c>
      <c r="I291" t="s">
        <v>49</v>
      </c>
      <c r="J291" t="s">
        <v>34</v>
      </c>
      <c r="K291">
        <v>166</v>
      </c>
      <c r="L291">
        <v>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2</v>
      </c>
      <c r="AA291">
        <v>0</v>
      </c>
      <c r="AB291" t="s">
        <v>1628</v>
      </c>
      <c r="AC291" t="s">
        <v>35</v>
      </c>
      <c r="AD291" t="s">
        <v>35</v>
      </c>
      <c r="AE291">
        <v>0</v>
      </c>
      <c r="AF291">
        <v>0</v>
      </c>
      <c r="AG291">
        <v>0</v>
      </c>
      <c r="AL291" t="s">
        <v>35</v>
      </c>
      <c r="AM291" t="s">
        <v>34</v>
      </c>
    </row>
    <row r="292" spans="1:40" x14ac:dyDescent="0.2">
      <c r="A292" s="2">
        <v>45999.656388888892</v>
      </c>
      <c r="B292" t="s">
        <v>1741</v>
      </c>
      <c r="C292" t="s">
        <v>1553</v>
      </c>
      <c r="D292" t="s">
        <v>1564</v>
      </c>
      <c r="E292" t="s">
        <v>1742</v>
      </c>
      <c r="F292" t="s">
        <v>1743</v>
      </c>
      <c r="G292" t="s">
        <v>1744</v>
      </c>
      <c r="H292" t="s">
        <v>1745</v>
      </c>
      <c r="I292" t="s">
        <v>49</v>
      </c>
      <c r="J292" t="s">
        <v>34</v>
      </c>
      <c r="K292">
        <v>206</v>
      </c>
      <c r="L292">
        <v>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C292" t="s">
        <v>35</v>
      </c>
      <c r="AD292" t="s">
        <v>34</v>
      </c>
      <c r="AE292">
        <v>1</v>
      </c>
      <c r="AF292">
        <v>0</v>
      </c>
      <c r="AG292" t="s">
        <v>1746</v>
      </c>
      <c r="AL292" t="s">
        <v>35</v>
      </c>
      <c r="AM292" t="s">
        <v>34</v>
      </c>
    </row>
    <row r="293" spans="1:40" x14ac:dyDescent="0.2">
      <c r="A293" s="2">
        <v>45979.381296296298</v>
      </c>
      <c r="B293" t="s">
        <v>1816</v>
      </c>
      <c r="C293" t="s">
        <v>1553</v>
      </c>
      <c r="D293" t="s">
        <v>1564</v>
      </c>
      <c r="E293" t="s">
        <v>1817</v>
      </c>
      <c r="F293" t="s">
        <v>1818</v>
      </c>
      <c r="G293">
        <v>79910537576</v>
      </c>
      <c r="H293" t="s">
        <v>1819</v>
      </c>
      <c r="I293" t="s">
        <v>49</v>
      </c>
      <c r="J293" t="s">
        <v>34</v>
      </c>
      <c r="K293">
        <v>16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 t="s">
        <v>50</v>
      </c>
      <c r="AC293" t="s">
        <v>35</v>
      </c>
      <c r="AD293" t="s">
        <v>34</v>
      </c>
      <c r="AE293">
        <v>1</v>
      </c>
      <c r="AF293">
        <v>0</v>
      </c>
      <c r="AG293" t="s">
        <v>1820</v>
      </c>
      <c r="AL293" t="s">
        <v>35</v>
      </c>
      <c r="AM293" t="s">
        <v>35</v>
      </c>
    </row>
    <row r="294" spans="1:40" x14ac:dyDescent="0.2">
      <c r="A294" s="2">
        <v>45981.9062962963</v>
      </c>
      <c r="B294" t="s">
        <v>2016</v>
      </c>
      <c r="C294" t="s">
        <v>1553</v>
      </c>
      <c r="D294" t="s">
        <v>1564</v>
      </c>
      <c r="E294" t="s">
        <v>2017</v>
      </c>
      <c r="F294" t="s">
        <v>2018</v>
      </c>
      <c r="G294" t="s">
        <v>2019</v>
      </c>
      <c r="H294" t="s">
        <v>2020</v>
      </c>
      <c r="I294" t="s">
        <v>49</v>
      </c>
      <c r="J294" t="s">
        <v>34</v>
      </c>
      <c r="K294">
        <v>300</v>
      </c>
      <c r="L294">
        <v>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2</v>
      </c>
      <c r="W294">
        <v>1</v>
      </c>
      <c r="X294">
        <v>1</v>
      </c>
      <c r="Y294">
        <v>0</v>
      </c>
      <c r="Z294">
        <v>0</v>
      </c>
      <c r="AA294">
        <v>2</v>
      </c>
      <c r="AB294" t="s">
        <v>2021</v>
      </c>
      <c r="AC294" t="s">
        <v>35</v>
      </c>
      <c r="AD294" t="s">
        <v>35</v>
      </c>
      <c r="AE294">
        <v>2</v>
      </c>
      <c r="AF294">
        <v>0</v>
      </c>
      <c r="AG294" t="s">
        <v>2022</v>
      </c>
      <c r="AL294" t="s">
        <v>35</v>
      </c>
      <c r="AM294" t="s">
        <v>34</v>
      </c>
      <c r="AN294" t="s">
        <v>2023</v>
      </c>
    </row>
    <row r="295" spans="1:40" x14ac:dyDescent="0.2">
      <c r="A295" s="2">
        <v>45993.749224537038</v>
      </c>
      <c r="B295" t="s">
        <v>1665</v>
      </c>
      <c r="C295" t="s">
        <v>1553</v>
      </c>
      <c r="D295" t="s">
        <v>1666</v>
      </c>
      <c r="E295" t="s">
        <v>1667</v>
      </c>
      <c r="F295" t="s">
        <v>1668</v>
      </c>
      <c r="G295" t="s">
        <v>1669</v>
      </c>
      <c r="H295" t="s">
        <v>1670</v>
      </c>
      <c r="I295" t="s">
        <v>49</v>
      </c>
      <c r="J295" t="s">
        <v>34</v>
      </c>
      <c r="K295">
        <v>172</v>
      </c>
      <c r="L295">
        <v>15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3</v>
      </c>
      <c r="S295">
        <v>1</v>
      </c>
      <c r="T295">
        <v>1</v>
      </c>
      <c r="U295">
        <v>0</v>
      </c>
      <c r="V295">
        <v>0</v>
      </c>
      <c r="W295">
        <v>7</v>
      </c>
      <c r="X295">
        <v>0</v>
      </c>
      <c r="Y295">
        <v>3</v>
      </c>
      <c r="Z295">
        <v>0</v>
      </c>
      <c r="AA295">
        <v>0</v>
      </c>
      <c r="AC295" t="s">
        <v>35</v>
      </c>
      <c r="AD295" t="s">
        <v>35</v>
      </c>
      <c r="AE295">
        <v>1</v>
      </c>
      <c r="AF295">
        <v>1</v>
      </c>
      <c r="AG295" t="s">
        <v>1671</v>
      </c>
      <c r="AL295" t="s">
        <v>35</v>
      </c>
      <c r="AM295" t="s">
        <v>34</v>
      </c>
    </row>
    <row r="296" spans="1:40" x14ac:dyDescent="0.2">
      <c r="A296" s="2">
        <v>45980.601574074077</v>
      </c>
      <c r="B296" t="s">
        <v>1687</v>
      </c>
      <c r="C296" t="s">
        <v>1553</v>
      </c>
      <c r="D296" t="s">
        <v>1666</v>
      </c>
      <c r="E296" t="s">
        <v>1688</v>
      </c>
      <c r="F296" t="s">
        <v>1689</v>
      </c>
      <c r="G296" t="s">
        <v>1690</v>
      </c>
      <c r="H296" t="s">
        <v>1691</v>
      </c>
      <c r="I296" t="s">
        <v>1692</v>
      </c>
      <c r="J296" t="s">
        <v>34</v>
      </c>
      <c r="K296">
        <v>100</v>
      </c>
      <c r="L296">
        <v>30</v>
      </c>
      <c r="M296" s="4">
        <v>2</v>
      </c>
      <c r="N296" s="4">
        <v>5</v>
      </c>
      <c r="O296" s="4">
        <v>6</v>
      </c>
      <c r="P296" s="4">
        <v>7</v>
      </c>
      <c r="Q296" s="4">
        <v>6</v>
      </c>
      <c r="R296" s="4">
        <v>4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t="s">
        <v>62</v>
      </c>
      <c r="AC296" t="s">
        <v>34</v>
      </c>
      <c r="AD296" t="s">
        <v>34</v>
      </c>
      <c r="AE296">
        <v>1</v>
      </c>
      <c r="AF296">
        <v>1</v>
      </c>
      <c r="AG296" t="s">
        <v>1693</v>
      </c>
      <c r="AI296">
        <v>1</v>
      </c>
      <c r="AL296" t="s">
        <v>35</v>
      </c>
      <c r="AM296" t="s">
        <v>35</v>
      </c>
    </row>
    <row r="297" spans="1:40" x14ac:dyDescent="0.2">
      <c r="A297" s="2">
        <v>45975.673703703702</v>
      </c>
      <c r="B297" t="s">
        <v>1694</v>
      </c>
      <c r="C297" t="s">
        <v>1553</v>
      </c>
      <c r="D297" t="s">
        <v>1666</v>
      </c>
      <c r="E297" t="s">
        <v>1688</v>
      </c>
      <c r="F297" t="s">
        <v>1695</v>
      </c>
      <c r="G297">
        <v>84012213300</v>
      </c>
      <c r="H297" t="s">
        <v>1696</v>
      </c>
      <c r="I297" t="s">
        <v>93</v>
      </c>
      <c r="J297" t="s">
        <v>114</v>
      </c>
      <c r="K297">
        <v>1300</v>
      </c>
      <c r="L297">
        <v>30</v>
      </c>
      <c r="M297">
        <v>0</v>
      </c>
      <c r="N297">
        <v>0</v>
      </c>
      <c r="O297">
        <v>1</v>
      </c>
      <c r="P297">
        <v>2</v>
      </c>
      <c r="Q297">
        <v>3</v>
      </c>
      <c r="R297">
        <v>0</v>
      </c>
      <c r="S297">
        <v>0</v>
      </c>
      <c r="T297">
        <v>5</v>
      </c>
      <c r="U297">
        <v>1</v>
      </c>
      <c r="V297">
        <v>3</v>
      </c>
      <c r="W297">
        <v>3</v>
      </c>
      <c r="X297">
        <v>3</v>
      </c>
      <c r="Y297">
        <v>3</v>
      </c>
      <c r="Z297">
        <v>6</v>
      </c>
      <c r="AA297">
        <v>0</v>
      </c>
      <c r="AB297" t="s">
        <v>131</v>
      </c>
      <c r="AC297" t="s">
        <v>35</v>
      </c>
      <c r="AD297" t="s">
        <v>35</v>
      </c>
      <c r="AE297">
        <v>2</v>
      </c>
      <c r="AF297">
        <v>0</v>
      </c>
      <c r="AG297" t="s">
        <v>1697</v>
      </c>
      <c r="AH297">
        <v>2</v>
      </c>
      <c r="AL297" t="s">
        <v>35</v>
      </c>
      <c r="AM297" t="s">
        <v>34</v>
      </c>
      <c r="AN297" t="s">
        <v>1698</v>
      </c>
    </row>
    <row r="298" spans="1:40" x14ac:dyDescent="0.2">
      <c r="A298" s="2">
        <v>45992.821992430552</v>
      </c>
      <c r="B298" t="s">
        <v>3570</v>
      </c>
      <c r="C298" t="s">
        <v>3465</v>
      </c>
      <c r="D298" t="s">
        <v>3520</v>
      </c>
      <c r="E298" t="s">
        <v>3571</v>
      </c>
      <c r="F298" t="s">
        <v>3572</v>
      </c>
      <c r="G298" t="s">
        <v>3573</v>
      </c>
      <c r="H298" t="s">
        <v>3574</v>
      </c>
      <c r="I298" t="s">
        <v>3575</v>
      </c>
      <c r="J298" t="s">
        <v>34</v>
      </c>
      <c r="K298">
        <v>105</v>
      </c>
      <c r="L298">
        <v>55</v>
      </c>
      <c r="M298">
        <v>0</v>
      </c>
      <c r="N298">
        <v>0</v>
      </c>
      <c r="O298">
        <v>0</v>
      </c>
      <c r="P298">
        <v>1</v>
      </c>
      <c r="Q298">
        <v>3</v>
      </c>
      <c r="R298">
        <v>4</v>
      </c>
      <c r="S298">
        <v>6</v>
      </c>
      <c r="T298">
        <v>7</v>
      </c>
      <c r="U298">
        <v>8</v>
      </c>
      <c r="V298">
        <v>6</v>
      </c>
      <c r="W298">
        <v>6</v>
      </c>
      <c r="X298">
        <v>4</v>
      </c>
      <c r="Y298">
        <v>4</v>
      </c>
      <c r="Z298">
        <v>2</v>
      </c>
      <c r="AA298">
        <v>4</v>
      </c>
      <c r="AB298" t="s">
        <v>696</v>
      </c>
      <c r="AC298" t="s">
        <v>35</v>
      </c>
      <c r="AD298" t="s">
        <v>35</v>
      </c>
      <c r="AE298">
        <v>1</v>
      </c>
      <c r="AF298">
        <v>0</v>
      </c>
      <c r="AG298" t="s">
        <v>3576</v>
      </c>
      <c r="AL298" t="s">
        <v>34</v>
      </c>
      <c r="AM298" t="s">
        <v>34</v>
      </c>
    </row>
    <row r="299" spans="1:40" x14ac:dyDescent="0.2">
      <c r="A299" s="2">
        <v>45993.915694444448</v>
      </c>
      <c r="B299" t="s">
        <v>1699</v>
      </c>
      <c r="C299" t="s">
        <v>1553</v>
      </c>
      <c r="D299" t="s">
        <v>1666</v>
      </c>
      <c r="E299" t="s">
        <v>1700</v>
      </c>
      <c r="F299" t="s">
        <v>1701</v>
      </c>
      <c r="G299">
        <v>89222551996</v>
      </c>
      <c r="H299" t="s">
        <v>1702</v>
      </c>
      <c r="I299" t="s">
        <v>49</v>
      </c>
      <c r="J299" t="s">
        <v>188</v>
      </c>
      <c r="K299">
        <v>420</v>
      </c>
      <c r="L299">
        <v>77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7</v>
      </c>
      <c r="S299">
        <v>15</v>
      </c>
      <c r="T299">
        <v>25</v>
      </c>
      <c r="U299">
        <v>16</v>
      </c>
      <c r="V299">
        <v>7</v>
      </c>
      <c r="W299">
        <v>7</v>
      </c>
      <c r="X299">
        <v>0</v>
      </c>
      <c r="Y299">
        <v>0</v>
      </c>
      <c r="Z299">
        <v>0</v>
      </c>
      <c r="AA299">
        <v>0</v>
      </c>
      <c r="AB299" t="s">
        <v>1703</v>
      </c>
      <c r="AC299" t="s">
        <v>34</v>
      </c>
      <c r="AD299" t="s">
        <v>34</v>
      </c>
      <c r="AE299">
        <v>4</v>
      </c>
      <c r="AF299">
        <v>2</v>
      </c>
      <c r="AG299" t="s">
        <v>1704</v>
      </c>
      <c r="AH299">
        <v>2</v>
      </c>
      <c r="AI299">
        <v>2</v>
      </c>
      <c r="AL299" t="s">
        <v>35</v>
      </c>
      <c r="AM299" t="s">
        <v>35</v>
      </c>
    </row>
    <row r="300" spans="1:40" x14ac:dyDescent="0.2">
      <c r="A300" s="2">
        <v>45981.759652777779</v>
      </c>
      <c r="B300" t="s">
        <v>1705</v>
      </c>
      <c r="C300" t="s">
        <v>1553</v>
      </c>
      <c r="D300" t="s">
        <v>1666</v>
      </c>
      <c r="E300" t="s">
        <v>1700</v>
      </c>
      <c r="F300" t="s">
        <v>1706</v>
      </c>
      <c r="G300" t="s">
        <v>1707</v>
      </c>
      <c r="H300" t="s">
        <v>1708</v>
      </c>
      <c r="I300" t="s">
        <v>1709</v>
      </c>
      <c r="J300" t="s">
        <v>34</v>
      </c>
      <c r="K300">
        <v>110</v>
      </c>
      <c r="L300">
        <v>110</v>
      </c>
      <c r="M300" s="4">
        <v>15</v>
      </c>
      <c r="N300" s="4">
        <v>7</v>
      </c>
      <c r="O300" s="4">
        <v>7</v>
      </c>
      <c r="P300" s="4">
        <v>10</v>
      </c>
      <c r="Q300" s="4">
        <v>0</v>
      </c>
      <c r="R300" s="4">
        <v>6</v>
      </c>
      <c r="S300" s="4">
        <v>5</v>
      </c>
      <c r="T300" s="4">
        <v>10</v>
      </c>
      <c r="U300" s="4">
        <v>10</v>
      </c>
      <c r="V300" s="4">
        <v>10</v>
      </c>
      <c r="W300" s="4">
        <v>10</v>
      </c>
      <c r="X300" s="4">
        <v>5</v>
      </c>
      <c r="Y300" s="4">
        <v>5</v>
      </c>
      <c r="Z300" s="4">
        <v>5</v>
      </c>
      <c r="AA300" s="4">
        <v>5</v>
      </c>
      <c r="AB300" t="s">
        <v>867</v>
      </c>
      <c r="AC300" t="s">
        <v>34</v>
      </c>
      <c r="AD300" t="s">
        <v>34</v>
      </c>
      <c r="AE300">
        <v>5</v>
      </c>
      <c r="AF300">
        <v>5</v>
      </c>
      <c r="AG300" t="s">
        <v>1710</v>
      </c>
      <c r="AH300">
        <v>1</v>
      </c>
      <c r="AL300" t="s">
        <v>35</v>
      </c>
      <c r="AM300" t="s">
        <v>35</v>
      </c>
      <c r="AN300" t="s">
        <v>1711</v>
      </c>
    </row>
    <row r="301" spans="1:40" x14ac:dyDescent="0.2">
      <c r="A301" s="2">
        <v>45989.537245370368</v>
      </c>
      <c r="B301" t="s">
        <v>1821</v>
      </c>
      <c r="C301" t="s">
        <v>1553</v>
      </c>
      <c r="D301" t="s">
        <v>1666</v>
      </c>
      <c r="E301" t="s">
        <v>1822</v>
      </c>
      <c r="F301" t="s">
        <v>1823</v>
      </c>
      <c r="G301">
        <v>4014232237</v>
      </c>
      <c r="H301" t="s">
        <v>1824</v>
      </c>
      <c r="I301" t="s">
        <v>1591</v>
      </c>
      <c r="J301" t="s">
        <v>34</v>
      </c>
      <c r="K301">
        <v>142</v>
      </c>
      <c r="L301">
        <v>34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3</v>
      </c>
      <c r="S301">
        <v>1</v>
      </c>
      <c r="T301">
        <v>7</v>
      </c>
      <c r="U301">
        <v>8</v>
      </c>
      <c r="V301">
        <v>6</v>
      </c>
      <c r="W301">
        <v>1</v>
      </c>
      <c r="X301">
        <v>2</v>
      </c>
      <c r="Y301">
        <v>3</v>
      </c>
      <c r="Z301">
        <v>3</v>
      </c>
      <c r="AA301">
        <v>0</v>
      </c>
      <c r="AB301" t="s">
        <v>94</v>
      </c>
      <c r="AC301" t="s">
        <v>35</v>
      </c>
      <c r="AD301" t="s">
        <v>35</v>
      </c>
      <c r="AE301">
        <v>1</v>
      </c>
      <c r="AF301">
        <v>0</v>
      </c>
      <c r="AG301" t="s">
        <v>1825</v>
      </c>
      <c r="AL301" t="s">
        <v>34</v>
      </c>
      <c r="AM301" t="s">
        <v>34</v>
      </c>
    </row>
    <row r="302" spans="1:40" x14ac:dyDescent="0.2">
      <c r="A302" s="2">
        <v>45978.709976851853</v>
      </c>
      <c r="B302" t="s">
        <v>1851</v>
      </c>
      <c r="C302" t="s">
        <v>1553</v>
      </c>
      <c r="D302" t="s">
        <v>1666</v>
      </c>
      <c r="E302" t="s">
        <v>1852</v>
      </c>
      <c r="F302" t="s">
        <v>1853</v>
      </c>
      <c r="G302">
        <v>4015830032</v>
      </c>
      <c r="H302" t="s">
        <v>1854</v>
      </c>
      <c r="I302" t="s">
        <v>33</v>
      </c>
      <c r="J302" t="s">
        <v>34</v>
      </c>
      <c r="K302">
        <v>173</v>
      </c>
      <c r="L302">
        <v>31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1</v>
      </c>
      <c r="T302" s="4">
        <v>2</v>
      </c>
      <c r="U302" s="4">
        <v>3</v>
      </c>
      <c r="V302" s="4">
        <v>8</v>
      </c>
      <c r="W302" s="4">
        <v>10</v>
      </c>
      <c r="X302" s="4">
        <v>1</v>
      </c>
      <c r="Y302" s="4">
        <v>3</v>
      </c>
      <c r="Z302" s="4">
        <v>0</v>
      </c>
      <c r="AA302" s="4">
        <v>3</v>
      </c>
      <c r="AB302" t="s">
        <v>131</v>
      </c>
      <c r="AC302" t="s">
        <v>35</v>
      </c>
      <c r="AD302" t="s">
        <v>35</v>
      </c>
      <c r="AE302">
        <v>1</v>
      </c>
      <c r="AF302">
        <v>0</v>
      </c>
      <c r="AG302" t="s">
        <v>48</v>
      </c>
      <c r="AL302" t="s">
        <v>34</v>
      </c>
      <c r="AM302" t="s">
        <v>34</v>
      </c>
    </row>
    <row r="303" spans="1:40" x14ac:dyDescent="0.2">
      <c r="A303" s="2">
        <v>45978.528368055559</v>
      </c>
      <c r="B303" t="s">
        <v>1859</v>
      </c>
      <c r="C303" t="s">
        <v>1553</v>
      </c>
      <c r="D303" t="s">
        <v>1666</v>
      </c>
      <c r="E303" t="s">
        <v>1860</v>
      </c>
      <c r="F303" t="s">
        <v>1861</v>
      </c>
      <c r="G303" t="s">
        <v>1862</v>
      </c>
      <c r="H303" t="s">
        <v>1863</v>
      </c>
      <c r="I303" t="s">
        <v>49</v>
      </c>
      <c r="J303" t="s">
        <v>34</v>
      </c>
      <c r="K303">
        <v>239</v>
      </c>
      <c r="L303">
        <v>49</v>
      </c>
      <c r="M303">
        <v>0</v>
      </c>
      <c r="N303">
        <v>0</v>
      </c>
      <c r="O303">
        <v>0</v>
      </c>
      <c r="P303">
        <v>1</v>
      </c>
      <c r="Q303">
        <v>1</v>
      </c>
      <c r="R303">
        <v>0</v>
      </c>
      <c r="S303">
        <v>0</v>
      </c>
      <c r="T303">
        <v>7</v>
      </c>
      <c r="U303">
        <v>3</v>
      </c>
      <c r="V303">
        <v>11</v>
      </c>
      <c r="W303">
        <v>6</v>
      </c>
      <c r="X303">
        <v>8</v>
      </c>
      <c r="Y303">
        <v>11</v>
      </c>
      <c r="Z303">
        <v>1</v>
      </c>
      <c r="AA303">
        <v>0</v>
      </c>
      <c r="AB303" t="s">
        <v>108</v>
      </c>
      <c r="AC303" t="s">
        <v>35</v>
      </c>
      <c r="AD303" t="s">
        <v>35</v>
      </c>
      <c r="AE303">
        <v>6</v>
      </c>
      <c r="AF303">
        <v>0</v>
      </c>
      <c r="AG303" t="s">
        <v>48</v>
      </c>
      <c r="AL303" t="s">
        <v>35</v>
      </c>
      <c r="AM303" t="s">
        <v>34</v>
      </c>
    </row>
    <row r="304" spans="1:40" x14ac:dyDescent="0.2">
      <c r="A304" s="2">
        <v>45993.410060439812</v>
      </c>
      <c r="B304" t="s">
        <v>3647</v>
      </c>
      <c r="C304" t="s">
        <v>3465</v>
      </c>
      <c r="D304" t="s">
        <v>3520</v>
      </c>
      <c r="E304" t="s">
        <v>3648</v>
      </c>
      <c r="F304" t="s">
        <v>3649</v>
      </c>
      <c r="G304">
        <v>88514792333</v>
      </c>
      <c r="H304" t="s">
        <v>3650</v>
      </c>
      <c r="I304" t="s">
        <v>49</v>
      </c>
      <c r="J304" t="s">
        <v>34</v>
      </c>
      <c r="K304">
        <v>270</v>
      </c>
      <c r="L304">
        <v>102</v>
      </c>
      <c r="M304">
        <v>0</v>
      </c>
      <c r="N304">
        <v>0</v>
      </c>
      <c r="O304">
        <v>0</v>
      </c>
      <c r="P304">
        <v>1</v>
      </c>
      <c r="Q304">
        <v>8</v>
      </c>
      <c r="R304">
        <v>15</v>
      </c>
      <c r="S304">
        <v>7</v>
      </c>
      <c r="T304">
        <v>16</v>
      </c>
      <c r="U304">
        <v>8</v>
      </c>
      <c r="V304">
        <v>10</v>
      </c>
      <c r="W304">
        <v>10</v>
      </c>
      <c r="X304">
        <v>10</v>
      </c>
      <c r="Y304">
        <v>10</v>
      </c>
      <c r="Z304">
        <v>7</v>
      </c>
      <c r="AA304">
        <v>0</v>
      </c>
      <c r="AB304" t="s">
        <v>50</v>
      </c>
      <c r="AC304" t="s">
        <v>35</v>
      </c>
      <c r="AD304" t="s">
        <v>35</v>
      </c>
      <c r="AE304">
        <v>2</v>
      </c>
      <c r="AF304">
        <v>1</v>
      </c>
      <c r="AG304" t="s">
        <v>3651</v>
      </c>
      <c r="AL304" t="s">
        <v>34</v>
      </c>
      <c r="AM304" t="s">
        <v>34</v>
      </c>
      <c r="AN304" t="s">
        <v>3652</v>
      </c>
    </row>
    <row r="305" spans="1:40" x14ac:dyDescent="0.2">
      <c r="A305" s="2">
        <v>45992.688020833331</v>
      </c>
      <c r="B305" t="s">
        <v>2091</v>
      </c>
      <c r="C305" t="s">
        <v>1553</v>
      </c>
      <c r="D305" t="s">
        <v>1666</v>
      </c>
      <c r="E305" t="s">
        <v>2092</v>
      </c>
      <c r="F305" t="s">
        <v>2093</v>
      </c>
      <c r="G305">
        <v>84014134733</v>
      </c>
      <c r="H305" t="s">
        <v>2094</v>
      </c>
      <c r="I305" t="s">
        <v>49</v>
      </c>
      <c r="J305" t="s">
        <v>34</v>
      </c>
      <c r="K305">
        <v>92</v>
      </c>
      <c r="L305">
        <v>20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4</v>
      </c>
      <c r="T305">
        <v>2</v>
      </c>
      <c r="U305">
        <v>6</v>
      </c>
      <c r="V305">
        <v>5</v>
      </c>
      <c r="W305">
        <v>0</v>
      </c>
      <c r="X305">
        <v>2</v>
      </c>
      <c r="Y305">
        <v>0</v>
      </c>
      <c r="Z305">
        <v>0</v>
      </c>
      <c r="AA305">
        <v>0</v>
      </c>
      <c r="AB305" t="s">
        <v>50</v>
      </c>
      <c r="AC305" t="s">
        <v>34</v>
      </c>
      <c r="AD305" t="s">
        <v>34</v>
      </c>
      <c r="AE305">
        <v>1</v>
      </c>
      <c r="AF305">
        <v>0</v>
      </c>
      <c r="AG305" t="s">
        <v>48</v>
      </c>
      <c r="AL305" t="s">
        <v>35</v>
      </c>
      <c r="AM305" t="s">
        <v>34</v>
      </c>
    </row>
    <row r="306" spans="1:40" x14ac:dyDescent="0.2">
      <c r="A306" s="4"/>
      <c r="B306" s="4" t="s">
        <v>1661</v>
      </c>
      <c r="C306" s="4" t="s">
        <v>1553</v>
      </c>
      <c r="D306" s="4" t="s">
        <v>1666</v>
      </c>
      <c r="E306" s="4" t="s">
        <v>1662</v>
      </c>
      <c r="F306" s="4" t="s">
        <v>1663</v>
      </c>
      <c r="G306" s="4">
        <v>84015139502</v>
      </c>
      <c r="H306" s="4" t="s">
        <v>1664</v>
      </c>
      <c r="I306" s="4"/>
      <c r="J306" s="4"/>
      <c r="K306" s="27">
        <v>26</v>
      </c>
      <c r="L306" s="4">
        <v>10</v>
      </c>
      <c r="M306">
        <v>3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2</v>
      </c>
      <c r="Y306">
        <v>0</v>
      </c>
      <c r="Z306">
        <v>0</v>
      </c>
      <c r="AA306">
        <v>2</v>
      </c>
    </row>
    <row r="307" spans="1:40" x14ac:dyDescent="0.2">
      <c r="A307" s="4"/>
      <c r="B307" s="4" t="s">
        <v>1864</v>
      </c>
      <c r="C307" s="4" t="s">
        <v>1553</v>
      </c>
      <c r="D307" s="4" t="s">
        <v>1666</v>
      </c>
      <c r="E307" s="4" t="s">
        <v>1860</v>
      </c>
      <c r="F307" s="4" t="s">
        <v>1865</v>
      </c>
      <c r="G307" s="4">
        <v>89005651520</v>
      </c>
      <c r="H307" s="4" t="s">
        <v>1863</v>
      </c>
      <c r="I307" s="4"/>
      <c r="J307" s="4"/>
      <c r="K307" s="27">
        <v>67.600000000000009</v>
      </c>
      <c r="L307" s="4">
        <v>26</v>
      </c>
      <c r="M307">
        <v>0</v>
      </c>
      <c r="N307">
        <v>0</v>
      </c>
      <c r="O307">
        <v>0</v>
      </c>
      <c r="P307">
        <v>1</v>
      </c>
      <c r="Q307">
        <v>3</v>
      </c>
      <c r="R307">
        <v>2</v>
      </c>
      <c r="S307">
        <v>4</v>
      </c>
      <c r="T307">
        <v>11</v>
      </c>
      <c r="U307">
        <v>2</v>
      </c>
      <c r="V307">
        <v>2</v>
      </c>
      <c r="W307">
        <v>0</v>
      </c>
      <c r="X307">
        <v>1</v>
      </c>
      <c r="Y307">
        <v>0</v>
      </c>
      <c r="Z307">
        <v>0</v>
      </c>
      <c r="AA307">
        <v>0</v>
      </c>
    </row>
    <row r="308" spans="1:40" x14ac:dyDescent="0.2">
      <c r="A308" s="2">
        <v>45994.56165541667</v>
      </c>
      <c r="B308" t="s">
        <v>3198</v>
      </c>
      <c r="C308" t="s">
        <v>2928</v>
      </c>
      <c r="D308" t="s">
        <v>437</v>
      </c>
      <c r="E308" t="s">
        <v>3199</v>
      </c>
      <c r="F308" t="s">
        <v>3200</v>
      </c>
      <c r="G308" t="s">
        <v>3201</v>
      </c>
      <c r="H308" t="s">
        <v>3202</v>
      </c>
      <c r="I308" t="s">
        <v>689</v>
      </c>
      <c r="J308" t="s">
        <v>34</v>
      </c>
      <c r="K308">
        <v>23</v>
      </c>
      <c r="L308">
        <v>8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4</v>
      </c>
      <c r="Z308">
        <v>4</v>
      </c>
      <c r="AA308">
        <v>0</v>
      </c>
      <c r="AC308" t="s">
        <v>34</v>
      </c>
      <c r="AD308" t="s">
        <v>34</v>
      </c>
      <c r="AE308">
        <v>0</v>
      </c>
      <c r="AF308">
        <v>0</v>
      </c>
      <c r="AG308">
        <v>0</v>
      </c>
      <c r="AL308" t="s">
        <v>34</v>
      </c>
      <c r="AM308" t="s">
        <v>34</v>
      </c>
    </row>
    <row r="309" spans="1:40" x14ac:dyDescent="0.2">
      <c r="A309" s="2">
        <v>45988.589394456023</v>
      </c>
      <c r="B309" t="s">
        <v>3344</v>
      </c>
      <c r="C309" t="s">
        <v>2928</v>
      </c>
      <c r="D309" t="s">
        <v>2950</v>
      </c>
      <c r="E309" t="s">
        <v>3345</v>
      </c>
      <c r="F309" t="s">
        <v>3346</v>
      </c>
      <c r="G309" t="s">
        <v>3347</v>
      </c>
      <c r="H309" t="s">
        <v>3348</v>
      </c>
      <c r="I309" t="s">
        <v>49</v>
      </c>
      <c r="J309" t="s">
        <v>34</v>
      </c>
      <c r="K309">
        <v>213</v>
      </c>
      <c r="L309">
        <v>19</v>
      </c>
      <c r="M309">
        <v>0</v>
      </c>
      <c r="N309">
        <v>0</v>
      </c>
      <c r="O309">
        <v>5</v>
      </c>
      <c r="P309">
        <v>6</v>
      </c>
      <c r="Q309">
        <v>3</v>
      </c>
      <c r="R309">
        <v>2</v>
      </c>
      <c r="S309">
        <v>1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t="s">
        <v>50</v>
      </c>
      <c r="AC309" t="s">
        <v>35</v>
      </c>
      <c r="AD309" t="s">
        <v>34</v>
      </c>
      <c r="AE309">
        <v>1</v>
      </c>
      <c r="AF309">
        <v>0</v>
      </c>
      <c r="AG309">
        <v>0</v>
      </c>
      <c r="AL309" t="s">
        <v>34</v>
      </c>
      <c r="AM309" t="s">
        <v>34</v>
      </c>
    </row>
    <row r="310" spans="1:40" x14ac:dyDescent="0.2">
      <c r="A310" s="2">
        <v>45995.461226851847</v>
      </c>
      <c r="B310" t="s">
        <v>1629</v>
      </c>
      <c r="C310" t="s">
        <v>1553</v>
      </c>
      <c r="D310" t="s">
        <v>1593</v>
      </c>
      <c r="E310" t="s">
        <v>1630</v>
      </c>
      <c r="F310" t="s">
        <v>1631</v>
      </c>
      <c r="G310" t="s">
        <v>1632</v>
      </c>
      <c r="H310" t="s">
        <v>1633</v>
      </c>
      <c r="J310" t="s">
        <v>34</v>
      </c>
      <c r="K310">
        <v>62</v>
      </c>
      <c r="L310">
        <v>62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12</v>
      </c>
      <c r="U310">
        <v>10</v>
      </c>
      <c r="V310">
        <v>0</v>
      </c>
      <c r="W310">
        <v>0</v>
      </c>
      <c r="X310">
        <v>6</v>
      </c>
      <c r="Y310">
        <v>18</v>
      </c>
      <c r="Z310">
        <v>10</v>
      </c>
      <c r="AA310">
        <v>6</v>
      </c>
      <c r="AB310" t="s">
        <v>62</v>
      </c>
      <c r="AC310" t="s">
        <v>34</v>
      </c>
      <c r="AD310" t="s">
        <v>35</v>
      </c>
      <c r="AE310">
        <v>2</v>
      </c>
      <c r="AF310">
        <v>0</v>
      </c>
      <c r="AG310" t="s">
        <v>1634</v>
      </c>
      <c r="AL310" t="s">
        <v>34</v>
      </c>
      <c r="AM310" t="s">
        <v>34</v>
      </c>
      <c r="AN310" t="s">
        <v>1635</v>
      </c>
    </row>
    <row r="311" spans="1:40" x14ac:dyDescent="0.2">
      <c r="A311" s="2">
        <v>45993.627581018518</v>
      </c>
      <c r="B311" t="s">
        <v>1636</v>
      </c>
      <c r="C311" t="s">
        <v>1553</v>
      </c>
      <c r="D311" t="s">
        <v>1593</v>
      </c>
      <c r="E311" t="s">
        <v>1637</v>
      </c>
      <c r="F311" t="s">
        <v>1638</v>
      </c>
      <c r="G311">
        <v>88137038383</v>
      </c>
      <c r="H311" t="s">
        <v>1639</v>
      </c>
      <c r="I311" t="s">
        <v>49</v>
      </c>
      <c r="J311" t="s">
        <v>34</v>
      </c>
      <c r="K311">
        <v>965</v>
      </c>
      <c r="L311">
        <v>16</v>
      </c>
      <c r="M311">
        <v>0</v>
      </c>
      <c r="N311">
        <v>1</v>
      </c>
      <c r="O311">
        <v>8</v>
      </c>
      <c r="P311">
        <v>3</v>
      </c>
      <c r="Q311">
        <v>3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131</v>
      </c>
      <c r="AC311" t="s">
        <v>35</v>
      </c>
      <c r="AD311" t="s">
        <v>34</v>
      </c>
      <c r="AE311">
        <v>2</v>
      </c>
      <c r="AF311">
        <v>2</v>
      </c>
      <c r="AG311">
        <v>0</v>
      </c>
      <c r="AL311" t="s">
        <v>35</v>
      </c>
      <c r="AM311" t="s">
        <v>34</v>
      </c>
    </row>
    <row r="312" spans="1:40" x14ac:dyDescent="0.2">
      <c r="A312" s="2">
        <v>45978.470995370371</v>
      </c>
      <c r="B312" t="s">
        <v>1640</v>
      </c>
      <c r="C312" t="s">
        <v>1553</v>
      </c>
      <c r="D312" t="s">
        <v>1593</v>
      </c>
      <c r="E312" t="s">
        <v>1641</v>
      </c>
      <c r="F312" t="s">
        <v>1642</v>
      </c>
      <c r="G312">
        <v>89111167842</v>
      </c>
      <c r="H312" t="s">
        <v>1643</v>
      </c>
      <c r="I312" t="s">
        <v>710</v>
      </c>
      <c r="J312" t="s">
        <v>34</v>
      </c>
      <c r="K312">
        <v>100</v>
      </c>
      <c r="L312">
        <v>100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9</v>
      </c>
      <c r="U312">
        <v>15</v>
      </c>
      <c r="V312">
        <v>15</v>
      </c>
      <c r="W312">
        <v>15</v>
      </c>
      <c r="X312">
        <v>15</v>
      </c>
      <c r="Y312">
        <v>10</v>
      </c>
      <c r="Z312">
        <v>10</v>
      </c>
      <c r="AA312">
        <v>10</v>
      </c>
      <c r="AB312" t="s">
        <v>108</v>
      </c>
      <c r="AC312" t="s">
        <v>34</v>
      </c>
      <c r="AD312" t="s">
        <v>34</v>
      </c>
      <c r="AE312">
        <v>3</v>
      </c>
      <c r="AF312">
        <v>1</v>
      </c>
      <c r="AG312" t="s">
        <v>1644</v>
      </c>
      <c r="AH312">
        <v>1</v>
      </c>
      <c r="AL312" t="s">
        <v>35</v>
      </c>
      <c r="AM312" t="s">
        <v>35</v>
      </c>
      <c r="AN312" t="s">
        <v>1645</v>
      </c>
    </row>
    <row r="313" spans="1:40" x14ac:dyDescent="0.2">
      <c r="A313" s="2">
        <v>45985.805578703701</v>
      </c>
      <c r="B313" t="s">
        <v>1646</v>
      </c>
      <c r="C313" t="s">
        <v>1553</v>
      </c>
      <c r="D313" t="s">
        <v>1593</v>
      </c>
      <c r="E313" t="s">
        <v>1647</v>
      </c>
      <c r="F313" t="s">
        <v>1648</v>
      </c>
      <c r="G313" t="s">
        <v>1649</v>
      </c>
      <c r="H313" t="s">
        <v>1650</v>
      </c>
      <c r="I313" t="s">
        <v>49</v>
      </c>
      <c r="J313" t="s">
        <v>518</v>
      </c>
      <c r="K313">
        <v>317</v>
      </c>
      <c r="L313">
        <v>63</v>
      </c>
      <c r="M313">
        <v>0</v>
      </c>
      <c r="N313">
        <v>0</v>
      </c>
      <c r="O313">
        <v>0</v>
      </c>
      <c r="P313">
        <v>0</v>
      </c>
      <c r="Q313">
        <v>7</v>
      </c>
      <c r="R313">
        <v>13</v>
      </c>
      <c r="S313">
        <v>6</v>
      </c>
      <c r="T313">
        <v>9</v>
      </c>
      <c r="U313">
        <v>8</v>
      </c>
      <c r="V313">
        <v>6</v>
      </c>
      <c r="W313">
        <v>10</v>
      </c>
      <c r="X313">
        <v>4</v>
      </c>
      <c r="Y313">
        <v>0</v>
      </c>
      <c r="Z313">
        <v>0</v>
      </c>
      <c r="AA313">
        <v>0</v>
      </c>
      <c r="AB313" t="s">
        <v>62</v>
      </c>
      <c r="AC313" t="s">
        <v>34</v>
      </c>
      <c r="AD313" t="s">
        <v>34</v>
      </c>
      <c r="AE313">
        <v>3</v>
      </c>
      <c r="AF313">
        <v>1</v>
      </c>
      <c r="AG313" t="s">
        <v>1651</v>
      </c>
      <c r="AH313">
        <v>2</v>
      </c>
      <c r="AL313" t="s">
        <v>35</v>
      </c>
      <c r="AM313" t="s">
        <v>35</v>
      </c>
    </row>
    <row r="314" spans="1:40" x14ac:dyDescent="0.2">
      <c r="A314" s="2">
        <v>45981.771574074082</v>
      </c>
      <c r="B314" t="s">
        <v>1652</v>
      </c>
      <c r="C314" t="s">
        <v>1553</v>
      </c>
      <c r="D314" t="s">
        <v>1593</v>
      </c>
      <c r="E314" t="s">
        <v>1647</v>
      </c>
      <c r="F314" t="s">
        <v>1653</v>
      </c>
      <c r="G314">
        <v>9522078032</v>
      </c>
      <c r="H314" t="s">
        <v>1654</v>
      </c>
      <c r="I314" t="s">
        <v>1655</v>
      </c>
      <c r="J314" t="s">
        <v>34</v>
      </c>
      <c r="K314">
        <v>15</v>
      </c>
      <c r="L314">
        <v>15</v>
      </c>
      <c r="M314">
        <v>10</v>
      </c>
      <c r="N314">
        <v>0</v>
      </c>
      <c r="O314">
        <v>0</v>
      </c>
      <c r="P314">
        <v>0</v>
      </c>
      <c r="Q314">
        <v>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t="s">
        <v>62</v>
      </c>
      <c r="AC314" t="s">
        <v>34</v>
      </c>
      <c r="AD314" t="s">
        <v>34</v>
      </c>
      <c r="AE314">
        <v>1</v>
      </c>
      <c r="AF314">
        <v>0</v>
      </c>
      <c r="AG314" t="s">
        <v>34</v>
      </c>
      <c r="AL314" t="s">
        <v>35</v>
      </c>
      <c r="AM314" t="s">
        <v>34</v>
      </c>
    </row>
    <row r="315" spans="1:40" x14ac:dyDescent="0.2">
      <c r="A315" s="2">
        <v>45985.540625000001</v>
      </c>
      <c r="B315" t="s">
        <v>1724</v>
      </c>
      <c r="C315" t="s">
        <v>1553</v>
      </c>
      <c r="D315" t="s">
        <v>1593</v>
      </c>
      <c r="E315" t="s">
        <v>1725</v>
      </c>
      <c r="F315" t="s">
        <v>1726</v>
      </c>
      <c r="G315">
        <v>8136227603</v>
      </c>
      <c r="H315" t="s">
        <v>1727</v>
      </c>
      <c r="I315" t="s">
        <v>49</v>
      </c>
      <c r="J315" t="s">
        <v>34</v>
      </c>
      <c r="K315">
        <v>686</v>
      </c>
      <c r="L315">
        <v>4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1</v>
      </c>
      <c r="Y315">
        <v>0</v>
      </c>
      <c r="Z315">
        <v>2</v>
      </c>
      <c r="AA315">
        <v>0</v>
      </c>
      <c r="AB315" t="s">
        <v>50</v>
      </c>
      <c r="AC315" t="s">
        <v>35</v>
      </c>
      <c r="AD315" t="s">
        <v>34</v>
      </c>
      <c r="AE315">
        <v>0</v>
      </c>
      <c r="AF315">
        <v>0</v>
      </c>
      <c r="AG315" t="s">
        <v>48</v>
      </c>
      <c r="AL315" t="s">
        <v>35</v>
      </c>
      <c r="AM315" t="s">
        <v>34</v>
      </c>
    </row>
    <row r="316" spans="1:40" x14ac:dyDescent="0.2">
      <c r="A316" s="2">
        <v>45981.450914351852</v>
      </c>
      <c r="B316" t="s">
        <v>1759</v>
      </c>
      <c r="C316" t="s">
        <v>1553</v>
      </c>
      <c r="D316" t="s">
        <v>1593</v>
      </c>
      <c r="E316" t="s">
        <v>1760</v>
      </c>
      <c r="F316" t="s">
        <v>1761</v>
      </c>
      <c r="G316">
        <v>89516484730</v>
      </c>
      <c r="H316" t="s">
        <v>1762</v>
      </c>
      <c r="I316" t="s">
        <v>689</v>
      </c>
      <c r="J316" t="s">
        <v>34</v>
      </c>
      <c r="K316">
        <v>160</v>
      </c>
      <c r="L316">
        <v>28</v>
      </c>
      <c r="M316">
        <v>0</v>
      </c>
      <c r="N316">
        <v>0</v>
      </c>
      <c r="O316">
        <v>0</v>
      </c>
      <c r="P316">
        <v>6</v>
      </c>
      <c r="Q316">
        <v>0</v>
      </c>
      <c r="R316">
        <v>0</v>
      </c>
      <c r="S316">
        <v>0</v>
      </c>
      <c r="T316">
        <v>6</v>
      </c>
      <c r="U316">
        <v>0</v>
      </c>
      <c r="V316">
        <v>0</v>
      </c>
      <c r="W316">
        <v>8</v>
      </c>
      <c r="X316">
        <v>2</v>
      </c>
      <c r="Y316">
        <v>2</v>
      </c>
      <c r="Z316">
        <v>0</v>
      </c>
      <c r="AA316">
        <v>4</v>
      </c>
      <c r="AB316" t="s">
        <v>131</v>
      </c>
      <c r="AC316" t="s">
        <v>35</v>
      </c>
      <c r="AD316" t="s">
        <v>35</v>
      </c>
      <c r="AE316">
        <v>0</v>
      </c>
      <c r="AF316">
        <v>1</v>
      </c>
      <c r="AG316" t="s">
        <v>34</v>
      </c>
      <c r="AL316" t="s">
        <v>35</v>
      </c>
      <c r="AM316" t="s">
        <v>34</v>
      </c>
      <c r="AN316" t="s">
        <v>1763</v>
      </c>
    </row>
    <row r="317" spans="1:40" x14ac:dyDescent="0.2">
      <c r="A317" s="2">
        <v>45987.510474537034</v>
      </c>
      <c r="B317" t="s">
        <v>1764</v>
      </c>
      <c r="C317" t="s">
        <v>1553</v>
      </c>
      <c r="D317" t="s">
        <v>1593</v>
      </c>
      <c r="E317" t="s">
        <v>1765</v>
      </c>
      <c r="F317" t="s">
        <v>1766</v>
      </c>
      <c r="G317" t="s">
        <v>1767</v>
      </c>
      <c r="H317" t="s">
        <v>1768</v>
      </c>
      <c r="I317" t="s">
        <v>49</v>
      </c>
      <c r="J317" t="s">
        <v>34</v>
      </c>
      <c r="K317">
        <v>190</v>
      </c>
      <c r="L317">
        <v>16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10</v>
      </c>
      <c r="AA317">
        <v>5</v>
      </c>
      <c r="AB317" t="s">
        <v>108</v>
      </c>
      <c r="AC317" t="s">
        <v>34</v>
      </c>
      <c r="AD317" t="s">
        <v>35</v>
      </c>
      <c r="AE317">
        <v>1</v>
      </c>
      <c r="AF317">
        <v>1</v>
      </c>
      <c r="AG317" t="s">
        <v>1769</v>
      </c>
      <c r="AH317">
        <v>1</v>
      </c>
      <c r="AL317" t="s">
        <v>35</v>
      </c>
      <c r="AM317" t="s">
        <v>35</v>
      </c>
      <c r="AN317" t="s">
        <v>1770</v>
      </c>
    </row>
    <row r="318" spans="1:40" x14ac:dyDescent="0.2">
      <c r="A318" s="2">
        <v>45995.432881944442</v>
      </c>
      <c r="B318" t="s">
        <v>1771</v>
      </c>
      <c r="C318" t="s">
        <v>1553</v>
      </c>
      <c r="D318" t="s">
        <v>1593</v>
      </c>
      <c r="E318" t="s">
        <v>1772</v>
      </c>
      <c r="F318" t="s">
        <v>1773</v>
      </c>
      <c r="G318">
        <v>88137674223</v>
      </c>
      <c r="H318" t="s">
        <v>1774</v>
      </c>
      <c r="I318" t="s">
        <v>689</v>
      </c>
      <c r="J318" t="s">
        <v>34</v>
      </c>
      <c r="K318">
        <v>50</v>
      </c>
      <c r="L318">
        <v>30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5</v>
      </c>
      <c r="S318" s="4">
        <v>4</v>
      </c>
      <c r="T318" s="4">
        <v>2</v>
      </c>
      <c r="U318" s="4">
        <v>8</v>
      </c>
      <c r="V318" s="4">
        <v>1</v>
      </c>
      <c r="W318" s="4">
        <v>5</v>
      </c>
      <c r="X318" s="4">
        <v>5</v>
      </c>
      <c r="Y318" s="4">
        <v>0</v>
      </c>
      <c r="Z318" s="4">
        <v>0</v>
      </c>
      <c r="AA318" s="4">
        <v>0</v>
      </c>
      <c r="AB318" t="s">
        <v>317</v>
      </c>
      <c r="AC318" t="s">
        <v>35</v>
      </c>
      <c r="AD318" t="s">
        <v>35</v>
      </c>
      <c r="AE318">
        <v>1</v>
      </c>
      <c r="AF318">
        <v>0</v>
      </c>
      <c r="AG318" t="s">
        <v>1775</v>
      </c>
      <c r="AL318" t="s">
        <v>34</v>
      </c>
      <c r="AM318" t="s">
        <v>34</v>
      </c>
    </row>
    <row r="319" spans="1:40" x14ac:dyDescent="0.2">
      <c r="A319" s="2">
        <v>45992.825104166674</v>
      </c>
      <c r="B319" t="s">
        <v>1776</v>
      </c>
      <c r="C319" t="s">
        <v>1553</v>
      </c>
      <c r="D319" t="s">
        <v>1593</v>
      </c>
      <c r="E319" t="s">
        <v>1777</v>
      </c>
      <c r="F319" t="s">
        <v>1778</v>
      </c>
      <c r="G319">
        <v>88137225740</v>
      </c>
      <c r="H319" t="s">
        <v>1779</v>
      </c>
      <c r="I319" t="s">
        <v>49</v>
      </c>
      <c r="J319" t="s">
        <v>34</v>
      </c>
      <c r="K319">
        <v>200</v>
      </c>
      <c r="L319">
        <v>8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8</v>
      </c>
      <c r="Y319">
        <v>0</v>
      </c>
      <c r="Z319">
        <v>0</v>
      </c>
      <c r="AA319">
        <v>0</v>
      </c>
      <c r="AB319" t="s">
        <v>108</v>
      </c>
      <c r="AC319" t="s">
        <v>35</v>
      </c>
      <c r="AD319" t="s">
        <v>35</v>
      </c>
      <c r="AE319">
        <v>1</v>
      </c>
      <c r="AF319">
        <v>0</v>
      </c>
      <c r="AG319" t="s">
        <v>1780</v>
      </c>
      <c r="AL319" t="s">
        <v>35</v>
      </c>
      <c r="AM319" t="s">
        <v>34</v>
      </c>
    </row>
    <row r="320" spans="1:40" x14ac:dyDescent="0.2">
      <c r="A320" s="2">
        <v>45985.497106481482</v>
      </c>
      <c r="B320" t="s">
        <v>1810</v>
      </c>
      <c r="C320" t="s">
        <v>1553</v>
      </c>
      <c r="D320" t="s">
        <v>1593</v>
      </c>
      <c r="E320" t="s">
        <v>1811</v>
      </c>
      <c r="F320" t="s">
        <v>1812</v>
      </c>
      <c r="G320" t="s">
        <v>1813</v>
      </c>
      <c r="H320" t="s">
        <v>1814</v>
      </c>
      <c r="I320" t="s">
        <v>49</v>
      </c>
      <c r="J320" t="s">
        <v>34</v>
      </c>
      <c r="K320">
        <v>364</v>
      </c>
      <c r="L320">
        <v>97</v>
      </c>
      <c r="M320">
        <v>0</v>
      </c>
      <c r="N320">
        <v>0</v>
      </c>
      <c r="O320">
        <v>0</v>
      </c>
      <c r="P320">
        <v>2</v>
      </c>
      <c r="Q320">
        <v>0</v>
      </c>
      <c r="R320">
        <v>4</v>
      </c>
      <c r="S320">
        <v>9</v>
      </c>
      <c r="T320">
        <v>8</v>
      </c>
      <c r="U320">
        <v>11</v>
      </c>
      <c r="V320">
        <v>15</v>
      </c>
      <c r="W320">
        <v>16</v>
      </c>
      <c r="X320">
        <v>11</v>
      </c>
      <c r="Y320">
        <v>9</v>
      </c>
      <c r="Z320">
        <v>12</v>
      </c>
      <c r="AA320">
        <v>0</v>
      </c>
      <c r="AB320" t="s">
        <v>62</v>
      </c>
      <c r="AC320" t="s">
        <v>35</v>
      </c>
      <c r="AD320" t="s">
        <v>35</v>
      </c>
      <c r="AE320">
        <v>2</v>
      </c>
      <c r="AF320">
        <v>0</v>
      </c>
      <c r="AG320" t="s">
        <v>1815</v>
      </c>
      <c r="AL320" t="s">
        <v>35</v>
      </c>
      <c r="AM320" t="s">
        <v>34</v>
      </c>
    </row>
    <row r="321" spans="1:40" x14ac:dyDescent="0.2">
      <c r="A321" s="2">
        <v>45978.557627314818</v>
      </c>
      <c r="B321" t="s">
        <v>1846</v>
      </c>
      <c r="C321" t="s">
        <v>1553</v>
      </c>
      <c r="D321" t="s">
        <v>1593</v>
      </c>
      <c r="E321" t="s">
        <v>1847</v>
      </c>
      <c r="F321" t="s">
        <v>1848</v>
      </c>
      <c r="G321" t="s">
        <v>1849</v>
      </c>
      <c r="H321" t="s">
        <v>1850</v>
      </c>
      <c r="I321" t="s">
        <v>33</v>
      </c>
      <c r="J321" t="s">
        <v>34</v>
      </c>
      <c r="K321">
        <v>140</v>
      </c>
      <c r="L321">
        <v>18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3</v>
      </c>
      <c r="U321" s="4">
        <v>4</v>
      </c>
      <c r="V321" s="4">
        <v>0</v>
      </c>
      <c r="W321" s="4">
        <v>4</v>
      </c>
      <c r="X321" s="4">
        <v>2</v>
      </c>
      <c r="Y321" s="4">
        <v>1</v>
      </c>
      <c r="Z321" s="4">
        <v>4</v>
      </c>
      <c r="AA321" s="4">
        <v>0</v>
      </c>
      <c r="AB321" t="s">
        <v>94</v>
      </c>
      <c r="AC321" t="s">
        <v>35</v>
      </c>
      <c r="AD321" t="s">
        <v>35</v>
      </c>
      <c r="AE321">
        <v>1</v>
      </c>
      <c r="AF321">
        <v>0</v>
      </c>
      <c r="AG321" t="s">
        <v>56</v>
      </c>
      <c r="AL321" t="s">
        <v>34</v>
      </c>
      <c r="AM321" t="s">
        <v>34</v>
      </c>
    </row>
    <row r="322" spans="1:40" x14ac:dyDescent="0.2">
      <c r="A322" s="2">
        <v>45995.458495370367</v>
      </c>
      <c r="B322" t="s">
        <v>1905</v>
      </c>
      <c r="C322" t="s">
        <v>1553</v>
      </c>
      <c r="D322" t="s">
        <v>1593</v>
      </c>
      <c r="E322" t="s">
        <v>1906</v>
      </c>
      <c r="F322" t="s">
        <v>1907</v>
      </c>
      <c r="G322">
        <v>88137654403</v>
      </c>
      <c r="H322" t="s">
        <v>1908</v>
      </c>
      <c r="I322" t="s">
        <v>49</v>
      </c>
      <c r="J322" t="s">
        <v>34</v>
      </c>
      <c r="K322">
        <v>96</v>
      </c>
      <c r="L322">
        <v>24</v>
      </c>
      <c r="M322">
        <v>0</v>
      </c>
      <c r="N322">
        <v>0</v>
      </c>
      <c r="O322">
        <v>1</v>
      </c>
      <c r="P322">
        <v>2</v>
      </c>
      <c r="Q322">
        <v>3</v>
      </c>
      <c r="R322">
        <v>1</v>
      </c>
      <c r="S322">
        <v>5</v>
      </c>
      <c r="T322">
        <v>1</v>
      </c>
      <c r="U322">
        <v>1</v>
      </c>
      <c r="V322">
        <v>4</v>
      </c>
      <c r="W322">
        <v>2</v>
      </c>
      <c r="X322">
        <v>2</v>
      </c>
      <c r="Y322">
        <v>1</v>
      </c>
      <c r="Z322">
        <v>1</v>
      </c>
      <c r="AA322">
        <v>0</v>
      </c>
      <c r="AB322" t="s">
        <v>255</v>
      </c>
      <c r="AC322" t="s">
        <v>35</v>
      </c>
      <c r="AD322" t="s">
        <v>34</v>
      </c>
      <c r="AE322">
        <v>3</v>
      </c>
      <c r="AF322">
        <v>0</v>
      </c>
      <c r="AG322" t="s">
        <v>1909</v>
      </c>
      <c r="AH322">
        <v>1</v>
      </c>
      <c r="AL322" t="s">
        <v>35</v>
      </c>
      <c r="AM322" t="s">
        <v>35</v>
      </c>
    </row>
    <row r="323" spans="1:40" x14ac:dyDescent="0.2">
      <c r="A323" s="2">
        <v>45982.76053240741</v>
      </c>
      <c r="B323" t="s">
        <v>2011</v>
      </c>
      <c r="C323" t="s">
        <v>1553</v>
      </c>
      <c r="D323" t="s">
        <v>1593</v>
      </c>
      <c r="E323" t="s">
        <v>2012</v>
      </c>
      <c r="F323" t="s">
        <v>2013</v>
      </c>
      <c r="G323">
        <v>9052232147</v>
      </c>
      <c r="H323" t="s">
        <v>2014</v>
      </c>
      <c r="I323" t="s">
        <v>835</v>
      </c>
      <c r="J323" t="s">
        <v>34</v>
      </c>
      <c r="K323">
        <v>53</v>
      </c>
      <c r="L323">
        <v>17</v>
      </c>
      <c r="M323">
        <v>6</v>
      </c>
      <c r="N323">
        <v>6</v>
      </c>
      <c r="O323">
        <v>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s">
        <v>50</v>
      </c>
      <c r="AC323" t="s">
        <v>35</v>
      </c>
      <c r="AD323" t="s">
        <v>34</v>
      </c>
      <c r="AE323">
        <v>1</v>
      </c>
      <c r="AF323">
        <v>0</v>
      </c>
      <c r="AG323" t="s">
        <v>2015</v>
      </c>
      <c r="AL323" t="s">
        <v>34</v>
      </c>
      <c r="AM323" t="s">
        <v>34</v>
      </c>
    </row>
    <row r="324" spans="1:40" x14ac:dyDescent="0.2">
      <c r="A324" s="2">
        <v>45989.517974537041</v>
      </c>
      <c r="B324" t="s">
        <v>2044</v>
      </c>
      <c r="C324" t="s">
        <v>1553</v>
      </c>
      <c r="D324" t="s">
        <v>1593</v>
      </c>
      <c r="E324" t="s">
        <v>2045</v>
      </c>
      <c r="F324" t="s">
        <v>2046</v>
      </c>
      <c r="G324">
        <v>881344879</v>
      </c>
      <c r="H324" t="s">
        <v>2047</v>
      </c>
      <c r="I324" t="s">
        <v>2048</v>
      </c>
      <c r="J324" t="s">
        <v>34</v>
      </c>
      <c r="K324">
        <v>164</v>
      </c>
      <c r="L324">
        <v>59</v>
      </c>
      <c r="M324" s="4">
        <v>0</v>
      </c>
      <c r="N324" s="4">
        <v>3</v>
      </c>
      <c r="O324" s="4">
        <v>3</v>
      </c>
      <c r="P324" s="4">
        <v>3</v>
      </c>
      <c r="Q324" s="4">
        <v>2</v>
      </c>
      <c r="R324" s="4">
        <v>5</v>
      </c>
      <c r="S324" s="4">
        <v>5</v>
      </c>
      <c r="T324" s="4">
        <v>11</v>
      </c>
      <c r="U324" s="4">
        <v>8</v>
      </c>
      <c r="V324" s="4">
        <v>8</v>
      </c>
      <c r="W324" s="4">
        <v>3</v>
      </c>
      <c r="X324" s="4">
        <v>4</v>
      </c>
      <c r="Y324" s="4">
        <v>4</v>
      </c>
      <c r="Z324" s="4">
        <v>0</v>
      </c>
      <c r="AA324" s="4">
        <v>0</v>
      </c>
      <c r="AB324" t="s">
        <v>584</v>
      </c>
      <c r="AC324" t="s">
        <v>34</v>
      </c>
      <c r="AD324" t="s">
        <v>34</v>
      </c>
      <c r="AE324">
        <v>1</v>
      </c>
      <c r="AF324">
        <v>0</v>
      </c>
      <c r="AG324" t="s">
        <v>34</v>
      </c>
      <c r="AL324" t="s">
        <v>35</v>
      </c>
      <c r="AM324" t="s">
        <v>34</v>
      </c>
    </row>
    <row r="325" spans="1:40" x14ac:dyDescent="0.2">
      <c r="A325" s="2">
        <v>45994.853958333333</v>
      </c>
      <c r="B325" t="s">
        <v>2056</v>
      </c>
      <c r="C325" t="s">
        <v>1553</v>
      </c>
      <c r="D325" t="s">
        <v>1593</v>
      </c>
      <c r="E325" t="s">
        <v>2057</v>
      </c>
      <c r="F325" t="s">
        <v>2058</v>
      </c>
      <c r="G325">
        <v>79650668760</v>
      </c>
      <c r="H325" t="s">
        <v>2059</v>
      </c>
      <c r="I325" t="s">
        <v>1573</v>
      </c>
      <c r="J325" t="s">
        <v>34</v>
      </c>
      <c r="K325">
        <v>102</v>
      </c>
      <c r="L325">
        <v>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5</v>
      </c>
      <c r="AA325">
        <v>0</v>
      </c>
      <c r="AB325" t="s">
        <v>108</v>
      </c>
      <c r="AC325" t="s">
        <v>35</v>
      </c>
      <c r="AD325" t="s">
        <v>35</v>
      </c>
      <c r="AE325">
        <v>1</v>
      </c>
      <c r="AF325">
        <v>0</v>
      </c>
      <c r="AG325" t="s">
        <v>1465</v>
      </c>
      <c r="AL325" t="s">
        <v>35</v>
      </c>
      <c r="AM325" t="s">
        <v>35</v>
      </c>
    </row>
    <row r="326" spans="1:40" x14ac:dyDescent="0.2">
      <c r="A326" s="2">
        <v>45993.490555555552</v>
      </c>
      <c r="B326" t="s">
        <v>2075</v>
      </c>
      <c r="C326" t="s">
        <v>1553</v>
      </c>
      <c r="D326" t="s">
        <v>1593</v>
      </c>
      <c r="E326" t="s">
        <v>2076</v>
      </c>
      <c r="F326" t="s">
        <v>2077</v>
      </c>
      <c r="G326">
        <v>8136775716</v>
      </c>
      <c r="H326" t="s">
        <v>2078</v>
      </c>
      <c r="I326" t="s">
        <v>1886</v>
      </c>
      <c r="J326" t="s">
        <v>34</v>
      </c>
      <c r="K326">
        <v>302</v>
      </c>
      <c r="L326">
        <v>24</v>
      </c>
      <c r="M326">
        <v>2</v>
      </c>
      <c r="N326">
        <v>0</v>
      </c>
      <c r="O326">
        <v>1</v>
      </c>
      <c r="P326">
        <v>3</v>
      </c>
      <c r="Q326">
        <v>2</v>
      </c>
      <c r="R326">
        <v>0</v>
      </c>
      <c r="S326">
        <v>1</v>
      </c>
      <c r="T326">
        <v>7</v>
      </c>
      <c r="U326">
        <v>2</v>
      </c>
      <c r="V326">
        <v>1</v>
      </c>
      <c r="W326">
        <v>1</v>
      </c>
      <c r="X326">
        <v>2</v>
      </c>
      <c r="Y326">
        <v>1</v>
      </c>
      <c r="Z326">
        <v>0</v>
      </c>
      <c r="AA326">
        <v>1</v>
      </c>
      <c r="AB326" t="s">
        <v>867</v>
      </c>
      <c r="AC326" t="s">
        <v>35</v>
      </c>
      <c r="AD326" t="s">
        <v>35</v>
      </c>
      <c r="AE326">
        <v>1</v>
      </c>
      <c r="AF326">
        <v>1</v>
      </c>
      <c r="AG326" t="s">
        <v>2079</v>
      </c>
      <c r="AL326" t="s">
        <v>35</v>
      </c>
      <c r="AM326" t="s">
        <v>34</v>
      </c>
    </row>
    <row r="327" spans="1:40" x14ac:dyDescent="0.2">
      <c r="A327" s="4"/>
      <c r="B327" s="4" t="s">
        <v>1826</v>
      </c>
      <c r="C327" s="4" t="s">
        <v>1553</v>
      </c>
      <c r="D327" s="4" t="s">
        <v>566</v>
      </c>
      <c r="E327" s="4" t="s">
        <v>1827</v>
      </c>
      <c r="F327" s="4" t="s">
        <v>1828</v>
      </c>
      <c r="G327" s="4">
        <v>88155253051</v>
      </c>
      <c r="H327" s="4" t="s">
        <v>1829</v>
      </c>
      <c r="I327" s="4"/>
      <c r="J327" s="4"/>
      <c r="K327" s="27">
        <v>26</v>
      </c>
      <c r="L327" s="4">
        <v>10</v>
      </c>
      <c r="M327">
        <v>0</v>
      </c>
      <c r="N327">
        <v>0</v>
      </c>
      <c r="O327">
        <v>0</v>
      </c>
      <c r="P327">
        <v>0</v>
      </c>
      <c r="Q327">
        <v>5</v>
      </c>
      <c r="R327">
        <v>2</v>
      </c>
      <c r="S327">
        <v>0</v>
      </c>
      <c r="T327">
        <v>1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1</v>
      </c>
      <c r="AA327">
        <v>0</v>
      </c>
    </row>
    <row r="328" spans="1:40" x14ac:dyDescent="0.2">
      <c r="A328" s="2">
        <v>45982.521689814806</v>
      </c>
      <c r="B328" t="s">
        <v>1781</v>
      </c>
      <c r="C328" t="s">
        <v>1553</v>
      </c>
      <c r="D328" t="s">
        <v>566</v>
      </c>
      <c r="E328" t="s">
        <v>1782</v>
      </c>
      <c r="F328" t="s">
        <v>1783</v>
      </c>
      <c r="G328">
        <v>88153670178</v>
      </c>
      <c r="H328" t="s">
        <v>1784</v>
      </c>
      <c r="I328" t="s">
        <v>49</v>
      </c>
      <c r="J328" t="s">
        <v>34</v>
      </c>
      <c r="K328">
        <v>238</v>
      </c>
      <c r="L328">
        <v>33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2</v>
      </c>
      <c r="S328" s="4">
        <v>6</v>
      </c>
      <c r="T328" s="4">
        <v>4</v>
      </c>
      <c r="U328" s="4">
        <v>3</v>
      </c>
      <c r="V328" s="4">
        <v>2</v>
      </c>
      <c r="W328" s="4">
        <v>5</v>
      </c>
      <c r="X328" s="4">
        <v>2</v>
      </c>
      <c r="Y328" s="4">
        <v>4</v>
      </c>
      <c r="Z328" s="4">
        <v>5</v>
      </c>
      <c r="AA328" s="4">
        <v>0</v>
      </c>
      <c r="AB328" t="s">
        <v>189</v>
      </c>
      <c r="AC328" t="s">
        <v>35</v>
      </c>
      <c r="AD328" t="s">
        <v>35</v>
      </c>
      <c r="AE328">
        <v>2</v>
      </c>
      <c r="AF328">
        <v>0</v>
      </c>
      <c r="AG328">
        <v>0</v>
      </c>
      <c r="AL328" t="s">
        <v>35</v>
      </c>
      <c r="AM328" t="s">
        <v>34</v>
      </c>
      <c r="AN328" t="s">
        <v>1785</v>
      </c>
    </row>
    <row r="329" spans="1:40" x14ac:dyDescent="0.2">
      <c r="A329" s="2">
        <v>45982.722974537042</v>
      </c>
      <c r="B329" t="s">
        <v>446</v>
      </c>
      <c r="C329" t="s">
        <v>1553</v>
      </c>
      <c r="D329" t="s">
        <v>566</v>
      </c>
      <c r="E329" t="s">
        <v>1787</v>
      </c>
      <c r="F329" t="s">
        <v>1791</v>
      </c>
      <c r="G329" t="s">
        <v>1792</v>
      </c>
      <c r="H329" t="s">
        <v>1793</v>
      </c>
      <c r="I329" t="s">
        <v>49</v>
      </c>
      <c r="J329" t="s">
        <v>34</v>
      </c>
      <c r="K329">
        <v>277</v>
      </c>
      <c r="L329">
        <v>37</v>
      </c>
      <c r="M329">
        <v>10</v>
      </c>
      <c r="N329">
        <v>3</v>
      </c>
      <c r="O329">
        <v>1</v>
      </c>
      <c r="P329">
        <v>0</v>
      </c>
      <c r="Q329">
        <v>0</v>
      </c>
      <c r="R329">
        <v>3</v>
      </c>
      <c r="S329">
        <v>3</v>
      </c>
      <c r="T329">
        <v>5</v>
      </c>
      <c r="U329">
        <v>4</v>
      </c>
      <c r="V329">
        <v>3</v>
      </c>
      <c r="W329">
        <v>2</v>
      </c>
      <c r="X329">
        <v>1</v>
      </c>
      <c r="Y329">
        <v>2</v>
      </c>
      <c r="Z329">
        <v>0</v>
      </c>
      <c r="AA329">
        <v>0</v>
      </c>
      <c r="AB329" t="s">
        <v>62</v>
      </c>
      <c r="AC329" t="s">
        <v>35</v>
      </c>
      <c r="AD329" t="s">
        <v>35</v>
      </c>
      <c r="AE329">
        <v>3</v>
      </c>
      <c r="AF329">
        <v>2</v>
      </c>
      <c r="AG329" t="s">
        <v>48</v>
      </c>
      <c r="AL329" t="s">
        <v>34</v>
      </c>
      <c r="AM329" t="s">
        <v>34</v>
      </c>
      <c r="AN329" t="s">
        <v>1794</v>
      </c>
    </row>
    <row r="330" spans="1:40" x14ac:dyDescent="0.2">
      <c r="A330" s="2">
        <v>45986.532395833332</v>
      </c>
      <c r="B330" t="s">
        <v>1558</v>
      </c>
      <c r="C330" t="s">
        <v>1553</v>
      </c>
      <c r="D330" t="s">
        <v>566</v>
      </c>
      <c r="E330" t="s">
        <v>1554</v>
      </c>
      <c r="F330" t="s">
        <v>1559</v>
      </c>
      <c r="G330" t="s">
        <v>1560</v>
      </c>
      <c r="H330" t="s">
        <v>1561</v>
      </c>
      <c r="I330" t="s">
        <v>49</v>
      </c>
      <c r="J330" t="s">
        <v>34</v>
      </c>
      <c r="K330">
        <v>155</v>
      </c>
      <c r="L330">
        <v>12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1</v>
      </c>
      <c r="V330">
        <v>5</v>
      </c>
      <c r="W330">
        <v>5</v>
      </c>
      <c r="X330">
        <v>0</v>
      </c>
      <c r="Y330">
        <v>0</v>
      </c>
      <c r="Z330">
        <v>0</v>
      </c>
      <c r="AA330">
        <v>0</v>
      </c>
      <c r="AB330" t="s">
        <v>62</v>
      </c>
      <c r="AC330" t="s">
        <v>35</v>
      </c>
      <c r="AD330" t="s">
        <v>35</v>
      </c>
      <c r="AE330">
        <v>1</v>
      </c>
      <c r="AF330">
        <v>0</v>
      </c>
      <c r="AG330" t="s">
        <v>48</v>
      </c>
      <c r="AL330" t="s">
        <v>35</v>
      </c>
      <c r="AM330" t="s">
        <v>34</v>
      </c>
      <c r="AN330" t="s">
        <v>1562</v>
      </c>
    </row>
    <row r="331" spans="1:40" x14ac:dyDescent="0.2">
      <c r="A331" s="2">
        <v>45989.481550925928</v>
      </c>
      <c r="B331" t="s">
        <v>1712</v>
      </c>
      <c r="C331" t="s">
        <v>1553</v>
      </c>
      <c r="D331" t="s">
        <v>566</v>
      </c>
      <c r="E331" t="s">
        <v>1713</v>
      </c>
      <c r="F331" t="s">
        <v>1714</v>
      </c>
      <c r="G331">
        <v>88153355250</v>
      </c>
      <c r="H331" t="s">
        <v>1715</v>
      </c>
      <c r="I331" t="s">
        <v>49</v>
      </c>
      <c r="J331" t="s">
        <v>34</v>
      </c>
      <c r="K331">
        <v>223</v>
      </c>
      <c r="L331">
        <v>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4</v>
      </c>
      <c r="Y331">
        <v>2</v>
      </c>
      <c r="Z331">
        <v>0</v>
      </c>
      <c r="AA331">
        <v>1</v>
      </c>
      <c r="AB331" t="s">
        <v>1716</v>
      </c>
      <c r="AC331" t="s">
        <v>35</v>
      </c>
      <c r="AD331" t="s">
        <v>35</v>
      </c>
      <c r="AE331">
        <v>3</v>
      </c>
      <c r="AF331">
        <v>0</v>
      </c>
      <c r="AG331" t="s">
        <v>1717</v>
      </c>
      <c r="AL331" t="s">
        <v>35</v>
      </c>
      <c r="AM331" t="s">
        <v>34</v>
      </c>
    </row>
    <row r="332" spans="1:40" x14ac:dyDescent="0.2">
      <c r="A332" s="2">
        <v>45982.509942129633</v>
      </c>
      <c r="B332" t="s">
        <v>2029</v>
      </c>
      <c r="C332" t="s">
        <v>1553</v>
      </c>
      <c r="D332" t="s">
        <v>566</v>
      </c>
      <c r="E332" t="s">
        <v>2025</v>
      </c>
      <c r="F332" t="s">
        <v>2030</v>
      </c>
      <c r="G332">
        <v>88153745264</v>
      </c>
      <c r="H332" t="s">
        <v>2031</v>
      </c>
      <c r="I332" t="s">
        <v>33</v>
      </c>
      <c r="J332" t="s">
        <v>34</v>
      </c>
      <c r="K332">
        <v>312</v>
      </c>
      <c r="L332">
        <v>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2</v>
      </c>
      <c r="W332">
        <v>0</v>
      </c>
      <c r="X332">
        <v>2</v>
      </c>
      <c r="Y332">
        <v>0</v>
      </c>
      <c r="Z332">
        <v>0</v>
      </c>
      <c r="AA332">
        <v>0</v>
      </c>
      <c r="AB332" t="s">
        <v>62</v>
      </c>
      <c r="AC332" t="s">
        <v>35</v>
      </c>
      <c r="AD332" t="s">
        <v>34</v>
      </c>
      <c r="AE332">
        <v>0</v>
      </c>
      <c r="AF332">
        <v>0</v>
      </c>
      <c r="AG332" t="s">
        <v>34</v>
      </c>
      <c r="AL332" t="s">
        <v>35</v>
      </c>
      <c r="AM332" t="s">
        <v>34</v>
      </c>
      <c r="AN332" t="s">
        <v>34</v>
      </c>
    </row>
    <row r="333" spans="1:40" x14ac:dyDescent="0.2">
      <c r="A333" s="4"/>
      <c r="B333" s="4" t="s">
        <v>1552</v>
      </c>
      <c r="C333" s="4" t="s">
        <v>1553</v>
      </c>
      <c r="D333" s="4" t="s">
        <v>566</v>
      </c>
      <c r="E333" s="4" t="s">
        <v>1554</v>
      </c>
      <c r="F333" s="4" t="s">
        <v>1555</v>
      </c>
      <c r="G333" s="4" t="s">
        <v>1556</v>
      </c>
      <c r="H333" s="4" t="s">
        <v>1557</v>
      </c>
      <c r="I333" s="4"/>
      <c r="J333" s="4"/>
      <c r="K333" s="27">
        <v>26</v>
      </c>
      <c r="L333" s="4">
        <v>10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5</v>
      </c>
      <c r="W333">
        <v>2</v>
      </c>
      <c r="X333">
        <v>1</v>
      </c>
      <c r="Y333">
        <v>0</v>
      </c>
      <c r="Z333">
        <v>0</v>
      </c>
      <c r="AA333">
        <v>0</v>
      </c>
    </row>
    <row r="334" spans="1:40" x14ac:dyDescent="0.2">
      <c r="A334" s="4"/>
      <c r="B334" s="4" t="s">
        <v>1786</v>
      </c>
      <c r="C334" s="4" t="s">
        <v>1553</v>
      </c>
      <c r="D334" s="4" t="s">
        <v>566</v>
      </c>
      <c r="E334" s="4" t="s">
        <v>1787</v>
      </c>
      <c r="F334" s="4" t="s">
        <v>1788</v>
      </c>
      <c r="G334" s="4" t="s">
        <v>1789</v>
      </c>
      <c r="H334" s="4" t="s">
        <v>1790</v>
      </c>
      <c r="I334" s="4"/>
      <c r="J334" s="4"/>
      <c r="K334" s="27">
        <v>182</v>
      </c>
      <c r="L334" s="4">
        <v>70</v>
      </c>
      <c r="M334">
        <v>3</v>
      </c>
      <c r="N334">
        <v>5</v>
      </c>
      <c r="O334">
        <v>3</v>
      </c>
      <c r="P334">
        <v>0</v>
      </c>
      <c r="Q334">
        <v>0</v>
      </c>
      <c r="R334">
        <v>2</v>
      </c>
      <c r="S334">
        <v>2</v>
      </c>
      <c r="T334">
        <v>3</v>
      </c>
      <c r="U334">
        <v>2</v>
      </c>
      <c r="V334">
        <v>6</v>
      </c>
      <c r="W334">
        <v>15</v>
      </c>
      <c r="X334">
        <v>10</v>
      </c>
      <c r="Y334">
        <v>4</v>
      </c>
      <c r="Z334">
        <v>10</v>
      </c>
      <c r="AA334">
        <v>5</v>
      </c>
    </row>
    <row r="335" spans="1:40" x14ac:dyDescent="0.2">
      <c r="A335" s="4"/>
      <c r="B335" s="4" t="s">
        <v>1795</v>
      </c>
      <c r="C335" s="4" t="s">
        <v>1553</v>
      </c>
      <c r="D335" s="4" t="s">
        <v>566</v>
      </c>
      <c r="E335" s="4" t="s">
        <v>1787</v>
      </c>
      <c r="F335" s="4" t="s">
        <v>1796</v>
      </c>
      <c r="G335" s="4" t="s">
        <v>1797</v>
      </c>
      <c r="H335" s="4" t="s">
        <v>1798</v>
      </c>
      <c r="I335" s="4"/>
      <c r="J335" s="4"/>
      <c r="K335" s="27">
        <v>78</v>
      </c>
      <c r="L335" s="4">
        <v>30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</v>
      </c>
      <c r="S335">
        <v>5</v>
      </c>
      <c r="T335">
        <v>8</v>
      </c>
      <c r="U335">
        <v>4</v>
      </c>
      <c r="V335">
        <v>5</v>
      </c>
      <c r="W335">
        <v>4</v>
      </c>
      <c r="X335">
        <v>0</v>
      </c>
      <c r="Y335">
        <v>2</v>
      </c>
      <c r="Z335">
        <v>0</v>
      </c>
      <c r="AA335">
        <v>0</v>
      </c>
    </row>
    <row r="336" spans="1:40" x14ac:dyDescent="0.2">
      <c r="A336" s="4"/>
      <c r="B336" s="4" t="s">
        <v>2024</v>
      </c>
      <c r="C336" s="4" t="s">
        <v>1553</v>
      </c>
      <c r="D336" s="4" t="s">
        <v>566</v>
      </c>
      <c r="E336" s="4" t="s">
        <v>2025</v>
      </c>
      <c r="F336" s="4" t="s">
        <v>2026</v>
      </c>
      <c r="G336" s="4" t="s">
        <v>2027</v>
      </c>
      <c r="H336" s="4" t="s">
        <v>2028</v>
      </c>
      <c r="I336" s="4"/>
      <c r="J336" s="4"/>
      <c r="K336" s="27">
        <v>26</v>
      </c>
      <c r="L336" s="4">
        <v>10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2</v>
      </c>
      <c r="U336">
        <v>2</v>
      </c>
      <c r="V336">
        <v>1</v>
      </c>
      <c r="W336">
        <v>2</v>
      </c>
      <c r="X336">
        <v>2</v>
      </c>
      <c r="Y336">
        <v>1</v>
      </c>
      <c r="Z336">
        <v>0</v>
      </c>
      <c r="AA336">
        <v>0</v>
      </c>
    </row>
    <row r="337" spans="1:40" x14ac:dyDescent="0.2">
      <c r="A337" s="2">
        <v>45992.69263888889</v>
      </c>
      <c r="B337" t="s">
        <v>1799</v>
      </c>
      <c r="C337" t="s">
        <v>1553</v>
      </c>
      <c r="D337" t="s">
        <v>1800</v>
      </c>
      <c r="E337" t="s">
        <v>1801</v>
      </c>
      <c r="F337" t="s">
        <v>1802</v>
      </c>
      <c r="G337">
        <v>88185343905</v>
      </c>
      <c r="H337" t="s">
        <v>1803</v>
      </c>
      <c r="I337" t="s">
        <v>840</v>
      </c>
      <c r="J337" t="s">
        <v>34</v>
      </c>
      <c r="K337">
        <v>146</v>
      </c>
      <c r="L337">
        <v>4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3</v>
      </c>
      <c r="Y337">
        <v>0</v>
      </c>
      <c r="Z337">
        <v>0</v>
      </c>
      <c r="AA337">
        <v>0</v>
      </c>
      <c r="AC337" t="s">
        <v>35</v>
      </c>
      <c r="AD337" t="s">
        <v>35</v>
      </c>
      <c r="AE337">
        <v>1</v>
      </c>
      <c r="AF337">
        <v>0</v>
      </c>
      <c r="AG337">
        <v>0</v>
      </c>
      <c r="AL337" t="s">
        <v>35</v>
      </c>
      <c r="AM337" t="s">
        <v>34</v>
      </c>
      <c r="AN337" t="s">
        <v>1804</v>
      </c>
    </row>
    <row r="338" spans="1:40" x14ac:dyDescent="0.2">
      <c r="A338" s="2">
        <v>45999.678761574083</v>
      </c>
      <c r="B338" t="s">
        <v>1600</v>
      </c>
      <c r="C338" t="s">
        <v>1553</v>
      </c>
      <c r="D338" t="s">
        <v>1601</v>
      </c>
      <c r="E338" t="s">
        <v>1602</v>
      </c>
      <c r="F338" t="s">
        <v>1603</v>
      </c>
      <c r="G338" t="s">
        <v>1604</v>
      </c>
      <c r="H338" t="s">
        <v>1605</v>
      </c>
      <c r="I338" t="s">
        <v>49</v>
      </c>
      <c r="J338" t="s">
        <v>34</v>
      </c>
      <c r="K338">
        <v>104</v>
      </c>
      <c r="L338">
        <v>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4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50</v>
      </c>
      <c r="AC338" t="s">
        <v>35</v>
      </c>
      <c r="AD338" t="s">
        <v>34</v>
      </c>
      <c r="AE338">
        <v>1</v>
      </c>
      <c r="AF338">
        <v>0</v>
      </c>
      <c r="AG338">
        <v>0</v>
      </c>
      <c r="AL338" t="s">
        <v>35</v>
      </c>
      <c r="AM338" t="s">
        <v>34</v>
      </c>
      <c r="AN338">
        <v>0</v>
      </c>
    </row>
    <row r="339" spans="1:40" x14ac:dyDescent="0.2">
      <c r="A339" s="2">
        <v>45985.634884259263</v>
      </c>
      <c r="B339" t="s">
        <v>1615</v>
      </c>
      <c r="C339" t="s">
        <v>1553</v>
      </c>
      <c r="D339" t="s">
        <v>1601</v>
      </c>
      <c r="E339" t="s">
        <v>1616</v>
      </c>
      <c r="F339" t="s">
        <v>1617</v>
      </c>
      <c r="G339">
        <v>88162280570</v>
      </c>
      <c r="H339" t="s">
        <v>1618</v>
      </c>
      <c r="I339" t="s">
        <v>49</v>
      </c>
      <c r="J339" t="s">
        <v>34</v>
      </c>
      <c r="K339">
        <v>272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62</v>
      </c>
      <c r="AC339" t="s">
        <v>35</v>
      </c>
      <c r="AD339" t="s">
        <v>35</v>
      </c>
      <c r="AE339">
        <v>5</v>
      </c>
      <c r="AF339">
        <v>1</v>
      </c>
      <c r="AG339" t="s">
        <v>56</v>
      </c>
      <c r="AL339" t="s">
        <v>35</v>
      </c>
      <c r="AM339" t="s">
        <v>34</v>
      </c>
    </row>
    <row r="340" spans="1:40" x14ac:dyDescent="0.2">
      <c r="A340" s="2">
        <v>45978.561238425929</v>
      </c>
      <c r="B340" t="s">
        <v>1619</v>
      </c>
      <c r="C340" t="s">
        <v>1553</v>
      </c>
      <c r="D340" t="s">
        <v>1601</v>
      </c>
      <c r="E340" t="s">
        <v>1616</v>
      </c>
      <c r="F340" t="s">
        <v>1620</v>
      </c>
      <c r="G340">
        <v>89082251518</v>
      </c>
      <c r="H340" t="s">
        <v>1621</v>
      </c>
      <c r="I340" t="s">
        <v>49</v>
      </c>
      <c r="J340" t="s">
        <v>34</v>
      </c>
      <c r="K340">
        <v>32</v>
      </c>
      <c r="L340">
        <v>23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11</v>
      </c>
      <c r="T340">
        <v>0</v>
      </c>
      <c r="U340">
        <v>1</v>
      </c>
      <c r="V340">
        <v>8</v>
      </c>
      <c r="W340">
        <v>3</v>
      </c>
      <c r="X340">
        <v>0</v>
      </c>
      <c r="Y340">
        <v>0</v>
      </c>
      <c r="Z340">
        <v>0</v>
      </c>
      <c r="AA340">
        <v>0</v>
      </c>
      <c r="AB340" t="s">
        <v>131</v>
      </c>
      <c r="AC340" t="s">
        <v>35</v>
      </c>
      <c r="AD340" t="s">
        <v>35</v>
      </c>
      <c r="AE340">
        <v>2</v>
      </c>
      <c r="AF340">
        <v>0</v>
      </c>
      <c r="AG340" t="s">
        <v>1622</v>
      </c>
      <c r="AL340" t="s">
        <v>34</v>
      </c>
      <c r="AM340" t="s">
        <v>34</v>
      </c>
      <c r="AN340" t="s">
        <v>1623</v>
      </c>
    </row>
    <row r="341" spans="1:40" x14ac:dyDescent="0.2">
      <c r="A341" s="2">
        <v>45989.483796296299</v>
      </c>
      <c r="B341" t="s">
        <v>2086</v>
      </c>
      <c r="C341" t="s">
        <v>1553</v>
      </c>
      <c r="D341" t="s">
        <v>1601</v>
      </c>
      <c r="E341" t="s">
        <v>2087</v>
      </c>
      <c r="F341" t="s">
        <v>2088</v>
      </c>
      <c r="G341">
        <v>88166750487</v>
      </c>
      <c r="H341" t="s">
        <v>2089</v>
      </c>
      <c r="I341" t="s">
        <v>33</v>
      </c>
      <c r="J341" t="s">
        <v>34</v>
      </c>
      <c r="K341">
        <v>112</v>
      </c>
      <c r="L341">
        <v>12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10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50</v>
      </c>
      <c r="AC341" t="s">
        <v>35</v>
      </c>
      <c r="AD341" t="s">
        <v>35</v>
      </c>
      <c r="AE341">
        <v>1</v>
      </c>
      <c r="AF341">
        <v>1</v>
      </c>
      <c r="AG341" t="s">
        <v>2090</v>
      </c>
      <c r="AL341" t="s">
        <v>34</v>
      </c>
      <c r="AM341" t="s">
        <v>34</v>
      </c>
    </row>
    <row r="342" spans="1:40" x14ac:dyDescent="0.2">
      <c r="A342" s="2">
        <v>45989.394513888888</v>
      </c>
      <c r="B342" t="s">
        <v>1586</v>
      </c>
      <c r="C342" t="s">
        <v>1553</v>
      </c>
      <c r="D342" t="s">
        <v>1587</v>
      </c>
      <c r="E342" t="s">
        <v>1588</v>
      </c>
      <c r="F342" t="s">
        <v>1589</v>
      </c>
      <c r="G342">
        <v>88114122402</v>
      </c>
      <c r="H342" t="s">
        <v>1590</v>
      </c>
      <c r="I342" t="s">
        <v>1591</v>
      </c>
      <c r="J342" t="s">
        <v>34</v>
      </c>
      <c r="K342">
        <v>136</v>
      </c>
      <c r="L342">
        <v>53</v>
      </c>
      <c r="M342">
        <v>0</v>
      </c>
      <c r="N342">
        <v>0</v>
      </c>
      <c r="O342">
        <v>0</v>
      </c>
      <c r="P342">
        <v>3</v>
      </c>
      <c r="Q342">
        <v>5</v>
      </c>
      <c r="R342">
        <v>5</v>
      </c>
      <c r="S342">
        <v>2</v>
      </c>
      <c r="T342">
        <v>8</v>
      </c>
      <c r="U342">
        <v>8</v>
      </c>
      <c r="V342">
        <v>8</v>
      </c>
      <c r="W342">
        <v>8</v>
      </c>
      <c r="X342">
        <v>3</v>
      </c>
      <c r="Y342">
        <v>3</v>
      </c>
      <c r="Z342">
        <v>0</v>
      </c>
      <c r="AA342">
        <v>0</v>
      </c>
      <c r="AB342" t="s">
        <v>696</v>
      </c>
      <c r="AC342" t="s">
        <v>35</v>
      </c>
      <c r="AD342" t="s">
        <v>35</v>
      </c>
      <c r="AE342">
        <v>2</v>
      </c>
      <c r="AF342">
        <v>1</v>
      </c>
      <c r="AG342" t="s">
        <v>48</v>
      </c>
      <c r="AL342" t="s">
        <v>35</v>
      </c>
      <c r="AM342" t="s">
        <v>34</v>
      </c>
    </row>
    <row r="343" spans="1:40" x14ac:dyDescent="0.2">
      <c r="A343" s="2">
        <v>45979.702696759261</v>
      </c>
      <c r="B343" t="s">
        <v>1606</v>
      </c>
      <c r="C343" t="s">
        <v>1553</v>
      </c>
      <c r="D343" t="s">
        <v>1587</v>
      </c>
      <c r="E343" t="s">
        <v>1607</v>
      </c>
      <c r="F343" t="s">
        <v>1608</v>
      </c>
      <c r="G343">
        <v>88115333869</v>
      </c>
      <c r="H343" t="s">
        <v>1609</v>
      </c>
      <c r="I343" t="s">
        <v>835</v>
      </c>
      <c r="J343" t="s">
        <v>34</v>
      </c>
      <c r="K343">
        <v>40</v>
      </c>
      <c r="L343">
        <v>8</v>
      </c>
      <c r="M343">
        <v>3</v>
      </c>
      <c r="N343">
        <v>4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533</v>
      </c>
      <c r="AC343" t="s">
        <v>35</v>
      </c>
      <c r="AD343" t="s">
        <v>34</v>
      </c>
      <c r="AE343">
        <v>1</v>
      </c>
      <c r="AF343">
        <v>0</v>
      </c>
      <c r="AG343" t="s">
        <v>1610</v>
      </c>
      <c r="AI343">
        <v>1</v>
      </c>
      <c r="AL343" t="s">
        <v>34</v>
      </c>
      <c r="AM343" t="s">
        <v>34</v>
      </c>
    </row>
    <row r="344" spans="1:40" x14ac:dyDescent="0.2">
      <c r="A344" s="2">
        <v>45993.51017361111</v>
      </c>
      <c r="B344" t="s">
        <v>1611</v>
      </c>
      <c r="C344" t="s">
        <v>1553</v>
      </c>
      <c r="D344" t="s">
        <v>1587</v>
      </c>
      <c r="E344" t="s">
        <v>1612</v>
      </c>
      <c r="F344" t="s">
        <v>1613</v>
      </c>
      <c r="G344">
        <v>8811237787</v>
      </c>
      <c r="H344" t="s">
        <v>1614</v>
      </c>
      <c r="I344" t="s">
        <v>93</v>
      </c>
      <c r="J344" t="s">
        <v>114</v>
      </c>
      <c r="K344">
        <v>362</v>
      </c>
      <c r="L344">
        <v>37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7</v>
      </c>
      <c r="S344">
        <v>5</v>
      </c>
      <c r="T344">
        <v>3</v>
      </c>
      <c r="U344">
        <v>7</v>
      </c>
      <c r="V344">
        <v>1</v>
      </c>
      <c r="W344">
        <v>8</v>
      </c>
      <c r="X344">
        <v>3</v>
      </c>
      <c r="Y344">
        <v>3</v>
      </c>
      <c r="Z344">
        <v>0</v>
      </c>
      <c r="AA344">
        <v>0</v>
      </c>
      <c r="AC344" t="s">
        <v>35</v>
      </c>
      <c r="AD344" t="s">
        <v>35</v>
      </c>
      <c r="AE344">
        <v>2</v>
      </c>
      <c r="AF344">
        <v>1</v>
      </c>
      <c r="AG344" t="s">
        <v>48</v>
      </c>
      <c r="AL344" t="s">
        <v>35</v>
      </c>
      <c r="AM344" t="s">
        <v>34</v>
      </c>
      <c r="AN344" t="s">
        <v>48</v>
      </c>
    </row>
    <row r="345" spans="1:40" x14ac:dyDescent="0.2">
      <c r="A345" s="2">
        <v>45985.757349537038</v>
      </c>
      <c r="B345" t="s">
        <v>1676</v>
      </c>
      <c r="C345" t="s">
        <v>1553</v>
      </c>
      <c r="D345" t="s">
        <v>1587</v>
      </c>
      <c r="E345" t="s">
        <v>1677</v>
      </c>
      <c r="F345" t="s">
        <v>1678</v>
      </c>
      <c r="G345">
        <v>88113693580</v>
      </c>
      <c r="H345" t="s">
        <v>1679</v>
      </c>
      <c r="I345" t="s">
        <v>33</v>
      </c>
      <c r="J345" t="s">
        <v>34</v>
      </c>
      <c r="K345">
        <v>274</v>
      </c>
      <c r="L345">
        <v>18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4</v>
      </c>
      <c r="S345">
        <v>3</v>
      </c>
      <c r="T345">
        <v>0</v>
      </c>
      <c r="U345">
        <v>0</v>
      </c>
      <c r="V345">
        <v>5</v>
      </c>
      <c r="W345">
        <v>4</v>
      </c>
      <c r="X345">
        <v>2</v>
      </c>
      <c r="Y345">
        <v>0</v>
      </c>
      <c r="Z345">
        <v>0</v>
      </c>
      <c r="AA345">
        <v>0</v>
      </c>
      <c r="AB345" t="s">
        <v>50</v>
      </c>
      <c r="AC345" t="s">
        <v>35</v>
      </c>
      <c r="AD345" t="s">
        <v>34</v>
      </c>
      <c r="AE345">
        <v>1</v>
      </c>
      <c r="AF345">
        <v>0</v>
      </c>
      <c r="AG345" t="s">
        <v>1680</v>
      </c>
      <c r="AL345" t="s">
        <v>35</v>
      </c>
      <c r="AM345" t="s">
        <v>34</v>
      </c>
    </row>
    <row r="346" spans="1:40" x14ac:dyDescent="0.2">
      <c r="A346" s="2">
        <v>45998.780063078702</v>
      </c>
      <c r="B346" t="s">
        <v>2688</v>
      </c>
      <c r="C346" t="s">
        <v>2483</v>
      </c>
      <c r="D346" t="s">
        <v>2549</v>
      </c>
      <c r="E346" t="s">
        <v>2669</v>
      </c>
      <c r="F346" t="s">
        <v>2689</v>
      </c>
      <c r="G346" t="s">
        <v>2690</v>
      </c>
      <c r="H346" t="s">
        <v>2691</v>
      </c>
      <c r="I346" t="s">
        <v>49</v>
      </c>
      <c r="J346" t="s">
        <v>34</v>
      </c>
      <c r="K346">
        <v>63</v>
      </c>
      <c r="L346">
        <v>31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15</v>
      </c>
      <c r="X346">
        <v>10</v>
      </c>
      <c r="Y346">
        <v>4</v>
      </c>
      <c r="Z346">
        <v>2</v>
      </c>
      <c r="AA346">
        <v>0</v>
      </c>
      <c r="AB346" t="s">
        <v>108</v>
      </c>
      <c r="AC346" t="s">
        <v>35</v>
      </c>
      <c r="AD346" t="s">
        <v>35</v>
      </c>
      <c r="AE346">
        <v>1</v>
      </c>
      <c r="AF346">
        <v>1</v>
      </c>
      <c r="AG346" t="s">
        <v>2692</v>
      </c>
      <c r="AL346" t="s">
        <v>34</v>
      </c>
      <c r="AM346" t="s">
        <v>34</v>
      </c>
      <c r="AN346" t="s">
        <v>2693</v>
      </c>
    </row>
    <row r="347" spans="1:40" x14ac:dyDescent="0.2">
      <c r="A347" s="2">
        <v>45994.471412037034</v>
      </c>
      <c r="B347" t="s">
        <v>1805</v>
      </c>
      <c r="C347" t="s">
        <v>1553</v>
      </c>
      <c r="D347" t="s">
        <v>1587</v>
      </c>
      <c r="E347" t="s">
        <v>1806</v>
      </c>
      <c r="F347" t="s">
        <v>1807</v>
      </c>
      <c r="G347">
        <v>8115121321</v>
      </c>
      <c r="H347" t="s">
        <v>1808</v>
      </c>
      <c r="I347" t="s">
        <v>33</v>
      </c>
      <c r="J347" t="s">
        <v>34</v>
      </c>
      <c r="K347">
        <v>100</v>
      </c>
      <c r="L347">
        <v>16</v>
      </c>
      <c r="M347">
        <v>0</v>
      </c>
      <c r="N347">
        <v>0</v>
      </c>
      <c r="O347">
        <v>3</v>
      </c>
      <c r="P347">
        <v>0</v>
      </c>
      <c r="Q347">
        <v>1</v>
      </c>
      <c r="R347">
        <v>3</v>
      </c>
      <c r="S347">
        <v>4</v>
      </c>
      <c r="T347">
        <v>4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50</v>
      </c>
      <c r="AC347" t="s">
        <v>35</v>
      </c>
      <c r="AD347" t="s">
        <v>34</v>
      </c>
      <c r="AE347">
        <v>1</v>
      </c>
      <c r="AF347">
        <v>0</v>
      </c>
      <c r="AG347" t="s">
        <v>1809</v>
      </c>
      <c r="AL347" t="s">
        <v>35</v>
      </c>
      <c r="AM347" t="s">
        <v>34</v>
      </c>
    </row>
    <row r="348" spans="1:40" x14ac:dyDescent="0.2">
      <c r="A348" s="2">
        <v>45977.692662037043</v>
      </c>
      <c r="B348" t="s">
        <v>1855</v>
      </c>
      <c r="C348" t="s">
        <v>1553</v>
      </c>
      <c r="D348" t="s">
        <v>1587</v>
      </c>
      <c r="E348" t="s">
        <v>1856</v>
      </c>
      <c r="F348" t="s">
        <v>1857</v>
      </c>
      <c r="G348">
        <v>88113421584</v>
      </c>
      <c r="H348" t="s">
        <v>1858</v>
      </c>
      <c r="I348" t="s">
        <v>33</v>
      </c>
      <c r="J348" t="s">
        <v>34</v>
      </c>
      <c r="K348">
        <v>157</v>
      </c>
      <c r="L348">
        <v>56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11</v>
      </c>
      <c r="S348" s="4">
        <v>5</v>
      </c>
      <c r="T348" s="4">
        <v>8</v>
      </c>
      <c r="U348" s="4">
        <v>7</v>
      </c>
      <c r="V348" s="4">
        <v>9</v>
      </c>
      <c r="W348" s="4">
        <v>9</v>
      </c>
      <c r="X348" s="4">
        <v>7</v>
      </c>
      <c r="Y348" s="4">
        <v>0</v>
      </c>
      <c r="Z348" s="4">
        <v>0</v>
      </c>
      <c r="AA348" s="4">
        <v>0</v>
      </c>
      <c r="AB348" t="s">
        <v>189</v>
      </c>
      <c r="AC348" t="s">
        <v>35</v>
      </c>
      <c r="AD348" t="s">
        <v>35</v>
      </c>
      <c r="AE348">
        <v>1</v>
      </c>
      <c r="AF348">
        <v>0</v>
      </c>
      <c r="AG348">
        <v>0</v>
      </c>
      <c r="AL348" t="s">
        <v>34</v>
      </c>
      <c r="AM348" t="s">
        <v>34</v>
      </c>
    </row>
    <row r="349" spans="1:40" x14ac:dyDescent="0.2">
      <c r="A349" s="2">
        <v>45985.44635416667</v>
      </c>
      <c r="B349" t="s">
        <v>1866</v>
      </c>
      <c r="C349" t="s">
        <v>1553</v>
      </c>
      <c r="D349" t="s">
        <v>1587</v>
      </c>
      <c r="E349" t="s">
        <v>1867</v>
      </c>
      <c r="F349" t="s">
        <v>1868</v>
      </c>
      <c r="G349">
        <v>78112540020</v>
      </c>
      <c r="H349" t="s">
        <v>1869</v>
      </c>
      <c r="I349" t="s">
        <v>49</v>
      </c>
      <c r="J349" t="s">
        <v>34</v>
      </c>
      <c r="K349">
        <v>494</v>
      </c>
      <c r="L349">
        <v>24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6</v>
      </c>
      <c r="S349">
        <v>6</v>
      </c>
      <c r="T349">
        <v>5</v>
      </c>
      <c r="U349">
        <v>5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0</v>
      </c>
      <c r="AB349" t="s">
        <v>131</v>
      </c>
      <c r="AC349" t="s">
        <v>34</v>
      </c>
      <c r="AD349" t="s">
        <v>35</v>
      </c>
      <c r="AE349">
        <v>1</v>
      </c>
      <c r="AF349">
        <v>1</v>
      </c>
      <c r="AG349" t="s">
        <v>1870</v>
      </c>
      <c r="AL349" t="s">
        <v>35</v>
      </c>
      <c r="AM349" t="s">
        <v>34</v>
      </c>
    </row>
    <row r="350" spans="1:40" x14ac:dyDescent="0.2">
      <c r="A350" s="2">
        <v>45982.40347222222</v>
      </c>
      <c r="B350" t="s">
        <v>1871</v>
      </c>
      <c r="C350" t="s">
        <v>1553</v>
      </c>
      <c r="D350" t="s">
        <v>1587</v>
      </c>
      <c r="E350" t="s">
        <v>1867</v>
      </c>
      <c r="F350" t="s">
        <v>1872</v>
      </c>
      <c r="G350">
        <v>89112557828</v>
      </c>
      <c r="H350" t="s">
        <v>1873</v>
      </c>
      <c r="I350" t="s">
        <v>689</v>
      </c>
      <c r="J350" t="s">
        <v>34</v>
      </c>
      <c r="K350">
        <v>59</v>
      </c>
      <c r="L350">
        <v>59</v>
      </c>
      <c r="M350">
        <v>0</v>
      </c>
      <c r="N350">
        <v>0</v>
      </c>
      <c r="O350">
        <v>0</v>
      </c>
      <c r="P350">
        <v>0</v>
      </c>
      <c r="Q350">
        <v>2</v>
      </c>
      <c r="R350">
        <v>7</v>
      </c>
      <c r="S350">
        <v>13</v>
      </c>
      <c r="T350">
        <v>3</v>
      </c>
      <c r="U350">
        <v>10</v>
      </c>
      <c r="V350">
        <v>11</v>
      </c>
      <c r="W350">
        <v>9</v>
      </c>
      <c r="X350">
        <v>4</v>
      </c>
      <c r="Y350">
        <v>0</v>
      </c>
      <c r="Z350">
        <v>0</v>
      </c>
      <c r="AA350">
        <v>0</v>
      </c>
      <c r="AB350" t="s">
        <v>1144</v>
      </c>
      <c r="AC350" t="s">
        <v>34</v>
      </c>
      <c r="AD350" t="s">
        <v>35</v>
      </c>
      <c r="AE350">
        <v>1</v>
      </c>
      <c r="AF350">
        <v>1</v>
      </c>
      <c r="AG350" t="s">
        <v>1874</v>
      </c>
      <c r="AL350" t="s">
        <v>34</v>
      </c>
      <c r="AM350" t="s">
        <v>34</v>
      </c>
      <c r="AN350" t="s">
        <v>1875</v>
      </c>
    </row>
    <row r="351" spans="1:40" x14ac:dyDescent="0.2">
      <c r="A351" s="2">
        <v>45981.639814814807</v>
      </c>
      <c r="B351" t="s">
        <v>1876</v>
      </c>
      <c r="C351" t="s">
        <v>1553</v>
      </c>
      <c r="D351" t="s">
        <v>1587</v>
      </c>
      <c r="E351" t="s">
        <v>1877</v>
      </c>
      <c r="F351" t="s">
        <v>1878</v>
      </c>
      <c r="G351" t="s">
        <v>1879</v>
      </c>
      <c r="H351" t="s">
        <v>1880</v>
      </c>
      <c r="I351" t="s">
        <v>49</v>
      </c>
      <c r="J351" t="s">
        <v>114</v>
      </c>
      <c r="K351">
        <v>300</v>
      </c>
      <c r="L351">
        <v>36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6</v>
      </c>
      <c r="S351">
        <v>4</v>
      </c>
      <c r="T351">
        <v>10</v>
      </c>
      <c r="U351">
        <v>5</v>
      </c>
      <c r="V351">
        <v>8</v>
      </c>
      <c r="W351">
        <v>2</v>
      </c>
      <c r="X351">
        <v>0</v>
      </c>
      <c r="Y351">
        <v>0</v>
      </c>
      <c r="Z351">
        <v>0</v>
      </c>
      <c r="AA351">
        <v>0</v>
      </c>
      <c r="AB351" t="s">
        <v>1881</v>
      </c>
      <c r="AC351" t="s">
        <v>34</v>
      </c>
      <c r="AD351" t="s">
        <v>35</v>
      </c>
      <c r="AE351">
        <v>3</v>
      </c>
      <c r="AF351">
        <v>1</v>
      </c>
      <c r="AG351" t="s">
        <v>1882</v>
      </c>
      <c r="AH351">
        <v>2</v>
      </c>
      <c r="AL351" t="s">
        <v>34</v>
      </c>
      <c r="AM351" t="s">
        <v>34</v>
      </c>
    </row>
    <row r="352" spans="1:40" x14ac:dyDescent="0.2">
      <c r="A352" s="2">
        <v>45989.618472222217</v>
      </c>
      <c r="B352" t="s">
        <v>1883</v>
      </c>
      <c r="C352" t="s">
        <v>1553</v>
      </c>
      <c r="D352" t="s">
        <v>1587</v>
      </c>
      <c r="E352" t="s">
        <v>1877</v>
      </c>
      <c r="F352" t="s">
        <v>1884</v>
      </c>
      <c r="G352">
        <v>89113513977</v>
      </c>
      <c r="H352" t="s">
        <v>1885</v>
      </c>
      <c r="I352" t="s">
        <v>1886</v>
      </c>
      <c r="J352" t="s">
        <v>34</v>
      </c>
      <c r="K352">
        <v>102</v>
      </c>
      <c r="L352">
        <v>102</v>
      </c>
      <c r="M352">
        <v>15</v>
      </c>
      <c r="N352">
        <v>1</v>
      </c>
      <c r="O352">
        <v>2</v>
      </c>
      <c r="P352">
        <v>4</v>
      </c>
      <c r="Q352">
        <v>1</v>
      </c>
      <c r="R352">
        <v>2</v>
      </c>
      <c r="S352">
        <v>0</v>
      </c>
      <c r="T352">
        <v>5</v>
      </c>
      <c r="U352">
        <v>5</v>
      </c>
      <c r="V352">
        <v>15</v>
      </c>
      <c r="W352">
        <v>15</v>
      </c>
      <c r="X352">
        <v>12</v>
      </c>
      <c r="Y352">
        <v>10</v>
      </c>
      <c r="Z352">
        <v>8</v>
      </c>
      <c r="AA352">
        <v>7</v>
      </c>
      <c r="AB352" t="s">
        <v>62</v>
      </c>
      <c r="AC352" t="s">
        <v>34</v>
      </c>
      <c r="AD352" t="s">
        <v>35</v>
      </c>
      <c r="AE352">
        <v>5</v>
      </c>
      <c r="AF352">
        <v>2</v>
      </c>
      <c r="AG352" t="s">
        <v>1887</v>
      </c>
      <c r="AH352">
        <v>1</v>
      </c>
      <c r="AL352" t="s">
        <v>34</v>
      </c>
      <c r="AM352" t="s">
        <v>34</v>
      </c>
    </row>
    <row r="353" spans="1:40" x14ac:dyDescent="0.2">
      <c r="A353" s="2">
        <v>45978.427083333343</v>
      </c>
      <c r="B353" t="s">
        <v>1888</v>
      </c>
      <c r="C353" t="s">
        <v>1553</v>
      </c>
      <c r="D353" t="s">
        <v>1587</v>
      </c>
      <c r="E353" t="s">
        <v>1889</v>
      </c>
      <c r="F353" t="s">
        <v>1890</v>
      </c>
      <c r="G353">
        <v>88114221696</v>
      </c>
      <c r="H353" t="s">
        <v>1891</v>
      </c>
      <c r="I353" t="s">
        <v>1892</v>
      </c>
      <c r="J353" t="s">
        <v>34</v>
      </c>
      <c r="K353">
        <v>77</v>
      </c>
      <c r="L353">
        <v>20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1</v>
      </c>
      <c r="S353">
        <v>2</v>
      </c>
      <c r="T353">
        <v>0</v>
      </c>
      <c r="U353">
        <v>2</v>
      </c>
      <c r="V353">
        <v>5</v>
      </c>
      <c r="W353">
        <v>4</v>
      </c>
      <c r="X353">
        <v>0</v>
      </c>
      <c r="Y353">
        <v>4</v>
      </c>
      <c r="Z353">
        <v>1</v>
      </c>
      <c r="AA353">
        <v>0</v>
      </c>
      <c r="AB353" t="s">
        <v>50</v>
      </c>
      <c r="AC353" t="s">
        <v>35</v>
      </c>
      <c r="AD353" t="s">
        <v>35</v>
      </c>
      <c r="AE353">
        <v>2</v>
      </c>
      <c r="AF353">
        <v>0</v>
      </c>
      <c r="AG353" t="s">
        <v>1893</v>
      </c>
      <c r="AL353" t="s">
        <v>35</v>
      </c>
      <c r="AM353" t="s">
        <v>34</v>
      </c>
    </row>
    <row r="354" spans="1:40" x14ac:dyDescent="0.2">
      <c r="A354" s="4"/>
      <c r="B354" s="4" t="s">
        <v>1900</v>
      </c>
      <c r="C354" s="4" t="s">
        <v>1553</v>
      </c>
      <c r="D354" s="4" t="s">
        <v>1587</v>
      </c>
      <c r="E354" s="4" t="s">
        <v>1901</v>
      </c>
      <c r="F354" s="4" t="s">
        <v>1902</v>
      </c>
      <c r="G354" s="4" t="s">
        <v>1903</v>
      </c>
      <c r="H354" s="4" t="s">
        <v>1904</v>
      </c>
      <c r="I354" s="4"/>
      <c r="J354" s="4"/>
      <c r="K354" s="27">
        <v>39</v>
      </c>
      <c r="L354" s="4">
        <v>15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7</v>
      </c>
      <c r="U354">
        <v>8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40" x14ac:dyDescent="0.2">
      <c r="A355" s="2">
        <v>45978.512731481482</v>
      </c>
      <c r="B355" t="s">
        <v>1718</v>
      </c>
      <c r="C355" t="s">
        <v>1553</v>
      </c>
      <c r="D355" t="s">
        <v>1719</v>
      </c>
      <c r="E355" t="s">
        <v>1720</v>
      </c>
      <c r="F355" t="s">
        <v>1721</v>
      </c>
      <c r="G355">
        <v>88145872072</v>
      </c>
      <c r="H355" t="s">
        <v>1722</v>
      </c>
      <c r="I355" t="s">
        <v>49</v>
      </c>
      <c r="J355" t="s">
        <v>34</v>
      </c>
      <c r="K355">
        <v>87</v>
      </c>
      <c r="L355">
        <v>9</v>
      </c>
      <c r="M355">
        <v>0</v>
      </c>
      <c r="N355">
        <v>0</v>
      </c>
      <c r="O355">
        <v>0</v>
      </c>
      <c r="P355">
        <v>0</v>
      </c>
      <c r="Q355">
        <v>4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1</v>
      </c>
      <c r="Y355">
        <v>0</v>
      </c>
      <c r="Z355">
        <v>2</v>
      </c>
      <c r="AA355">
        <v>0</v>
      </c>
      <c r="AC355" t="s">
        <v>35</v>
      </c>
      <c r="AD355" t="s">
        <v>35</v>
      </c>
      <c r="AE355">
        <v>2</v>
      </c>
      <c r="AF355">
        <v>1</v>
      </c>
      <c r="AG355" t="s">
        <v>1723</v>
      </c>
      <c r="AL355" t="s">
        <v>34</v>
      </c>
      <c r="AM355" t="s">
        <v>34</v>
      </c>
    </row>
    <row r="356" spans="1:40" x14ac:dyDescent="0.2">
      <c r="A356" s="2">
        <v>45978.339583333327</v>
      </c>
      <c r="B356" t="s">
        <v>1830</v>
      </c>
      <c r="C356" t="s">
        <v>1553</v>
      </c>
      <c r="D356" t="s">
        <v>1719</v>
      </c>
      <c r="E356" t="s">
        <v>1831</v>
      </c>
      <c r="F356" t="s">
        <v>1832</v>
      </c>
      <c r="G356">
        <v>89602193111</v>
      </c>
      <c r="H356" t="s">
        <v>1833</v>
      </c>
      <c r="I356" t="s">
        <v>33</v>
      </c>
      <c r="J356" t="s">
        <v>34</v>
      </c>
      <c r="K356">
        <v>215</v>
      </c>
      <c r="L356">
        <v>90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15</v>
      </c>
      <c r="S356">
        <v>14</v>
      </c>
      <c r="T356">
        <v>16</v>
      </c>
      <c r="U356">
        <v>0</v>
      </c>
      <c r="V356">
        <v>16</v>
      </c>
      <c r="W356">
        <v>14</v>
      </c>
      <c r="X356">
        <v>8</v>
      </c>
      <c r="Y356">
        <v>7</v>
      </c>
      <c r="Z356">
        <v>0</v>
      </c>
      <c r="AA356">
        <v>0</v>
      </c>
      <c r="AB356" t="s">
        <v>94</v>
      </c>
      <c r="AC356" t="s">
        <v>35</v>
      </c>
      <c r="AD356" t="s">
        <v>35</v>
      </c>
      <c r="AE356">
        <v>2</v>
      </c>
      <c r="AF356">
        <v>1</v>
      </c>
      <c r="AG356">
        <v>0</v>
      </c>
      <c r="AL356" t="s">
        <v>35</v>
      </c>
      <c r="AM356" t="s">
        <v>34</v>
      </c>
    </row>
    <row r="357" spans="1:40" x14ac:dyDescent="0.2">
      <c r="A357" s="2">
        <v>45979.410543981481</v>
      </c>
      <c r="B357" t="s">
        <v>1840</v>
      </c>
      <c r="C357" t="s">
        <v>1553</v>
      </c>
      <c r="D357" t="s">
        <v>1719</v>
      </c>
      <c r="E357" t="s">
        <v>1841</v>
      </c>
      <c r="F357" t="s">
        <v>1842</v>
      </c>
      <c r="G357">
        <v>8142764429</v>
      </c>
      <c r="H357" t="s">
        <v>1843</v>
      </c>
      <c r="I357" t="s">
        <v>49</v>
      </c>
      <c r="J357" t="s">
        <v>114</v>
      </c>
      <c r="K357">
        <v>750</v>
      </c>
      <c r="L357">
        <v>112</v>
      </c>
      <c r="M357" s="4">
        <v>23</v>
      </c>
      <c r="N357" s="4">
        <v>3</v>
      </c>
      <c r="O357" s="4">
        <v>4</v>
      </c>
      <c r="P357" s="4">
        <v>2</v>
      </c>
      <c r="Q357" s="4">
        <v>2</v>
      </c>
      <c r="R357" s="4">
        <v>2</v>
      </c>
      <c r="S357" s="4">
        <v>6</v>
      </c>
      <c r="T357" s="4">
        <v>6</v>
      </c>
      <c r="U357" s="4">
        <v>16</v>
      </c>
      <c r="V357" s="4">
        <v>11</v>
      </c>
      <c r="W357" s="4">
        <v>12</v>
      </c>
      <c r="X357" s="4">
        <v>8</v>
      </c>
      <c r="Y357" s="4">
        <v>5</v>
      </c>
      <c r="Z357" s="4">
        <v>3</v>
      </c>
      <c r="AA357" s="4">
        <v>9</v>
      </c>
      <c r="AB357" t="s">
        <v>1844</v>
      </c>
      <c r="AC357" t="s">
        <v>35</v>
      </c>
      <c r="AD357" t="s">
        <v>35</v>
      </c>
      <c r="AE357">
        <v>4</v>
      </c>
      <c r="AF357">
        <v>2</v>
      </c>
      <c r="AG357" t="s">
        <v>1845</v>
      </c>
      <c r="AH357">
        <v>3</v>
      </c>
      <c r="AL357" t="s">
        <v>35</v>
      </c>
      <c r="AM357" t="s">
        <v>34</v>
      </c>
    </row>
    <row r="358" spans="1:40" x14ac:dyDescent="0.2">
      <c r="A358" s="2">
        <v>46000.049895833326</v>
      </c>
      <c r="B358" t="s">
        <v>2032</v>
      </c>
      <c r="C358" t="s">
        <v>1553</v>
      </c>
      <c r="D358" t="s">
        <v>1719</v>
      </c>
      <c r="E358" t="s">
        <v>2033</v>
      </c>
      <c r="F358" t="s">
        <v>2034</v>
      </c>
      <c r="G358">
        <v>79658175905</v>
      </c>
      <c r="H358" t="s">
        <v>2035</v>
      </c>
      <c r="I358" t="s">
        <v>49</v>
      </c>
      <c r="J358" t="s">
        <v>34</v>
      </c>
      <c r="K358">
        <v>110</v>
      </c>
      <c r="L358">
        <v>13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10</v>
      </c>
      <c r="Y358">
        <v>1</v>
      </c>
      <c r="Z358">
        <v>0</v>
      </c>
      <c r="AA358">
        <v>0</v>
      </c>
      <c r="AB358" t="s">
        <v>94</v>
      </c>
      <c r="AC358" t="s">
        <v>35</v>
      </c>
      <c r="AD358" t="s">
        <v>35</v>
      </c>
      <c r="AE358">
        <v>2</v>
      </c>
      <c r="AF358">
        <v>1</v>
      </c>
      <c r="AG358" t="s">
        <v>2036</v>
      </c>
      <c r="AL358" t="s">
        <v>34</v>
      </c>
      <c r="AM358" t="s">
        <v>34</v>
      </c>
      <c r="AN358" t="s">
        <v>2037</v>
      </c>
    </row>
    <row r="359" spans="1:40" x14ac:dyDescent="0.2">
      <c r="A359" s="2">
        <v>45985.657893518517</v>
      </c>
      <c r="B359" t="s">
        <v>2051</v>
      </c>
      <c r="C359" t="s">
        <v>1553</v>
      </c>
      <c r="D359" t="s">
        <v>1719</v>
      </c>
      <c r="E359" t="s">
        <v>2052</v>
      </c>
      <c r="F359" t="s">
        <v>2053</v>
      </c>
      <c r="G359">
        <v>898140000000</v>
      </c>
      <c r="H359" t="s">
        <v>2054</v>
      </c>
      <c r="I359" t="s">
        <v>49</v>
      </c>
      <c r="J359" t="s">
        <v>34</v>
      </c>
      <c r="K359">
        <v>116</v>
      </c>
      <c r="L359">
        <v>18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1</v>
      </c>
      <c r="S359">
        <v>1</v>
      </c>
      <c r="T359">
        <v>1</v>
      </c>
      <c r="U359">
        <v>5</v>
      </c>
      <c r="V359">
        <v>3</v>
      </c>
      <c r="W359">
        <v>0</v>
      </c>
      <c r="X359">
        <v>4</v>
      </c>
      <c r="Y359">
        <v>1</v>
      </c>
      <c r="Z359">
        <v>0</v>
      </c>
      <c r="AA359">
        <v>1</v>
      </c>
      <c r="AC359" t="s">
        <v>35</v>
      </c>
      <c r="AD359" t="s">
        <v>35</v>
      </c>
      <c r="AE359">
        <v>1</v>
      </c>
      <c r="AF359">
        <v>0</v>
      </c>
      <c r="AG359" t="s">
        <v>2055</v>
      </c>
      <c r="AL359" t="s">
        <v>35</v>
      </c>
      <c r="AM359" t="s">
        <v>34</v>
      </c>
    </row>
    <row r="360" spans="1:40" x14ac:dyDescent="0.2">
      <c r="A360" s="2">
        <v>45978.369641203702</v>
      </c>
      <c r="B360" t="s">
        <v>1681</v>
      </c>
      <c r="C360" t="s">
        <v>1553</v>
      </c>
      <c r="D360" t="s">
        <v>1682</v>
      </c>
      <c r="E360" t="s">
        <v>1683</v>
      </c>
      <c r="F360" t="s">
        <v>1684</v>
      </c>
      <c r="G360">
        <v>88213421359</v>
      </c>
      <c r="H360" t="s">
        <v>1685</v>
      </c>
      <c r="I360" t="s">
        <v>49</v>
      </c>
      <c r="J360" t="s">
        <v>34</v>
      </c>
      <c r="K360">
        <v>160</v>
      </c>
      <c r="L360">
        <v>23</v>
      </c>
      <c r="M360">
        <v>0</v>
      </c>
      <c r="N360">
        <v>0</v>
      </c>
      <c r="O360">
        <v>0</v>
      </c>
      <c r="P360">
        <v>2</v>
      </c>
      <c r="Q360">
        <v>3</v>
      </c>
      <c r="R360">
        <v>0</v>
      </c>
      <c r="S360">
        <v>1</v>
      </c>
      <c r="T360">
        <v>2</v>
      </c>
      <c r="U360">
        <v>4</v>
      </c>
      <c r="V360">
        <v>2</v>
      </c>
      <c r="W360">
        <v>1</v>
      </c>
      <c r="X360">
        <v>6</v>
      </c>
      <c r="Y360">
        <v>2</v>
      </c>
      <c r="Z360">
        <v>0</v>
      </c>
      <c r="AA360">
        <v>0</v>
      </c>
      <c r="AB360" t="s">
        <v>50</v>
      </c>
      <c r="AC360" t="s">
        <v>35</v>
      </c>
      <c r="AD360" t="s">
        <v>35</v>
      </c>
      <c r="AE360">
        <v>3</v>
      </c>
      <c r="AF360">
        <v>0</v>
      </c>
      <c r="AG360" t="s">
        <v>1686</v>
      </c>
      <c r="AL360" t="s">
        <v>35</v>
      </c>
      <c r="AM360" t="s">
        <v>34</v>
      </c>
    </row>
    <row r="361" spans="1:40" x14ac:dyDescent="0.2">
      <c r="A361" s="2">
        <v>45978.536678240736</v>
      </c>
      <c r="B361" t="s">
        <v>1735</v>
      </c>
      <c r="C361" t="s">
        <v>1553</v>
      </c>
      <c r="D361" t="s">
        <v>1682</v>
      </c>
      <c r="E361" t="s">
        <v>1736</v>
      </c>
      <c r="F361" t="s">
        <v>1737</v>
      </c>
      <c r="G361">
        <v>88213699595</v>
      </c>
      <c r="H361" t="s">
        <v>1738</v>
      </c>
      <c r="I361" t="s">
        <v>33</v>
      </c>
      <c r="J361" t="s">
        <v>34</v>
      </c>
      <c r="K361">
        <v>68</v>
      </c>
      <c r="L361">
        <v>26</v>
      </c>
      <c r="M361">
        <v>0</v>
      </c>
      <c r="N361">
        <v>0</v>
      </c>
      <c r="O361">
        <v>0</v>
      </c>
      <c r="P361">
        <v>3</v>
      </c>
      <c r="Q361">
        <v>2</v>
      </c>
      <c r="R361">
        <v>2</v>
      </c>
      <c r="S361">
        <v>5</v>
      </c>
      <c r="T361">
        <v>2</v>
      </c>
      <c r="U361">
        <v>2</v>
      </c>
      <c r="V361">
        <v>1</v>
      </c>
      <c r="W361">
        <v>2</v>
      </c>
      <c r="X361">
        <v>0</v>
      </c>
      <c r="Y361">
        <v>3</v>
      </c>
      <c r="Z361">
        <v>2</v>
      </c>
      <c r="AA361">
        <v>2</v>
      </c>
      <c r="AB361" t="s">
        <v>50</v>
      </c>
      <c r="AC361" t="s">
        <v>35</v>
      </c>
      <c r="AD361" t="s">
        <v>34</v>
      </c>
      <c r="AE361">
        <v>2</v>
      </c>
      <c r="AF361">
        <v>2</v>
      </c>
      <c r="AG361" t="s">
        <v>1739</v>
      </c>
      <c r="AL361" t="s">
        <v>35</v>
      </c>
      <c r="AM361" t="s">
        <v>34</v>
      </c>
      <c r="AN361" t="s">
        <v>1740</v>
      </c>
    </row>
    <row r="362" spans="1:40" x14ac:dyDescent="0.2">
      <c r="A362" s="2">
        <v>45982.680717592593</v>
      </c>
      <c r="B362" t="s">
        <v>2060</v>
      </c>
      <c r="C362" t="s">
        <v>1553</v>
      </c>
      <c r="D362" t="s">
        <v>1682</v>
      </c>
      <c r="E362" t="s">
        <v>2061</v>
      </c>
      <c r="F362" t="s">
        <v>2062</v>
      </c>
      <c r="G362" t="s">
        <v>2063</v>
      </c>
      <c r="H362" t="s">
        <v>2064</v>
      </c>
      <c r="I362" t="s">
        <v>93</v>
      </c>
      <c r="J362" t="s">
        <v>34</v>
      </c>
      <c r="K362">
        <v>176</v>
      </c>
      <c r="L362">
        <v>4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2</v>
      </c>
      <c r="W362">
        <v>0</v>
      </c>
      <c r="X362">
        <v>0</v>
      </c>
      <c r="Y362">
        <v>0</v>
      </c>
      <c r="Z362">
        <v>1</v>
      </c>
      <c r="AA362">
        <v>0</v>
      </c>
      <c r="AB362" t="s">
        <v>50</v>
      </c>
      <c r="AC362" t="s">
        <v>35</v>
      </c>
      <c r="AD362" t="s">
        <v>35</v>
      </c>
      <c r="AE362">
        <v>2</v>
      </c>
      <c r="AF362">
        <v>0</v>
      </c>
      <c r="AG362" t="s">
        <v>2065</v>
      </c>
      <c r="AH362">
        <v>1</v>
      </c>
      <c r="AL362" t="s">
        <v>35</v>
      </c>
      <c r="AM362" t="s">
        <v>34</v>
      </c>
    </row>
    <row r="363" spans="1:40" x14ac:dyDescent="0.2">
      <c r="A363" s="2">
        <v>45982.384548611109</v>
      </c>
      <c r="B363" t="s">
        <v>2066</v>
      </c>
      <c r="C363" t="s">
        <v>1553</v>
      </c>
      <c r="D363" t="s">
        <v>1682</v>
      </c>
      <c r="E363" t="s">
        <v>2067</v>
      </c>
      <c r="F363" t="s">
        <v>2068</v>
      </c>
      <c r="G363">
        <v>88212286460</v>
      </c>
      <c r="H363" t="s">
        <v>2069</v>
      </c>
      <c r="I363" t="s">
        <v>49</v>
      </c>
      <c r="J363" t="s">
        <v>34</v>
      </c>
      <c r="K363">
        <v>611</v>
      </c>
      <c r="L363">
        <v>21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3</v>
      </c>
      <c r="T363" s="4">
        <v>7</v>
      </c>
      <c r="U363" s="4">
        <v>3</v>
      </c>
      <c r="V363" s="4">
        <v>5</v>
      </c>
      <c r="W363" s="4">
        <v>3</v>
      </c>
      <c r="X363" s="4">
        <v>0</v>
      </c>
      <c r="Y363" s="4">
        <v>0</v>
      </c>
      <c r="Z363" s="4">
        <v>0</v>
      </c>
      <c r="AA363" s="4">
        <v>0</v>
      </c>
      <c r="AB363" t="s">
        <v>50</v>
      </c>
      <c r="AC363" t="s">
        <v>34</v>
      </c>
      <c r="AD363" t="s">
        <v>34</v>
      </c>
      <c r="AE363">
        <v>1</v>
      </c>
      <c r="AF363">
        <v>0</v>
      </c>
      <c r="AG363" t="s">
        <v>2070</v>
      </c>
      <c r="AH363">
        <v>1</v>
      </c>
      <c r="AL363" t="s">
        <v>35</v>
      </c>
      <c r="AM363" t="s">
        <v>34</v>
      </c>
    </row>
    <row r="364" spans="1:40" x14ac:dyDescent="0.2">
      <c r="A364" s="2">
        <v>45982.545567129629</v>
      </c>
      <c r="B364" t="s">
        <v>2071</v>
      </c>
      <c r="C364" t="s">
        <v>1553</v>
      </c>
      <c r="D364" t="s">
        <v>1682</v>
      </c>
      <c r="E364" t="s">
        <v>2072</v>
      </c>
      <c r="F364" t="s">
        <v>2073</v>
      </c>
      <c r="G364">
        <v>79222722822</v>
      </c>
      <c r="H364" t="s">
        <v>2074</v>
      </c>
      <c r="I364" t="s">
        <v>49</v>
      </c>
      <c r="J364" t="s">
        <v>34</v>
      </c>
      <c r="K364">
        <v>650</v>
      </c>
      <c r="L364">
        <v>34</v>
      </c>
      <c r="M364">
        <v>0</v>
      </c>
      <c r="N364">
        <v>0</v>
      </c>
      <c r="O364">
        <v>0</v>
      </c>
      <c r="P364">
        <v>0</v>
      </c>
      <c r="Q364">
        <v>2</v>
      </c>
      <c r="R364">
        <v>0</v>
      </c>
      <c r="S364">
        <v>1</v>
      </c>
      <c r="T364">
        <v>0</v>
      </c>
      <c r="U364">
        <v>0</v>
      </c>
      <c r="V364">
        <v>4</v>
      </c>
      <c r="W364">
        <v>6</v>
      </c>
      <c r="X364">
        <v>10</v>
      </c>
      <c r="Y364">
        <v>5</v>
      </c>
      <c r="Z364">
        <v>2</v>
      </c>
      <c r="AA364">
        <v>4</v>
      </c>
      <c r="AB364" t="s">
        <v>50</v>
      </c>
      <c r="AC364" t="s">
        <v>35</v>
      </c>
      <c r="AD364" t="s">
        <v>35</v>
      </c>
      <c r="AE364">
        <v>2</v>
      </c>
      <c r="AF364">
        <v>0</v>
      </c>
      <c r="AG364" t="s">
        <v>34</v>
      </c>
      <c r="AL364" t="s">
        <v>35</v>
      </c>
      <c r="AM364" t="s">
        <v>34</v>
      </c>
    </row>
    <row r="365" spans="1:40" x14ac:dyDescent="0.2">
      <c r="A365" s="2">
        <v>45978.43136574074</v>
      </c>
      <c r="B365" t="s">
        <v>2080</v>
      </c>
      <c r="C365" t="s">
        <v>1553</v>
      </c>
      <c r="D365" t="s">
        <v>1682</v>
      </c>
      <c r="E365" t="s">
        <v>2081</v>
      </c>
      <c r="F365" t="s">
        <v>2082</v>
      </c>
      <c r="G365" t="s">
        <v>2083</v>
      </c>
      <c r="H365" t="s">
        <v>2084</v>
      </c>
      <c r="I365" t="s">
        <v>49</v>
      </c>
      <c r="J365" t="s">
        <v>34</v>
      </c>
      <c r="K365">
        <v>120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2085</v>
      </c>
      <c r="AC365" t="s">
        <v>35</v>
      </c>
      <c r="AD365" t="s">
        <v>35</v>
      </c>
      <c r="AE365">
        <v>0</v>
      </c>
      <c r="AF365">
        <v>0</v>
      </c>
      <c r="AG365">
        <v>0</v>
      </c>
      <c r="AL365" t="s">
        <v>35</v>
      </c>
      <c r="AM365" t="s">
        <v>34</v>
      </c>
    </row>
    <row r="366" spans="1:40" x14ac:dyDescent="0.2">
      <c r="A366" s="2">
        <v>45989.647789351853</v>
      </c>
      <c r="B366" t="s">
        <v>1656</v>
      </c>
      <c r="C366" t="s">
        <v>1553</v>
      </c>
      <c r="D366" t="s">
        <v>1657</v>
      </c>
      <c r="E366" t="s">
        <v>1657</v>
      </c>
      <c r="F366" t="s">
        <v>1658</v>
      </c>
      <c r="G366">
        <v>78123162394</v>
      </c>
      <c r="H366" t="s">
        <v>1659</v>
      </c>
      <c r="I366" t="s">
        <v>835</v>
      </c>
      <c r="J366" t="s">
        <v>34</v>
      </c>
      <c r="K366">
        <v>80</v>
      </c>
      <c r="L366">
        <v>39</v>
      </c>
      <c r="M366">
        <v>5</v>
      </c>
      <c r="N366">
        <v>7</v>
      </c>
      <c r="O366">
        <v>11</v>
      </c>
      <c r="P366">
        <v>13</v>
      </c>
      <c r="Q366">
        <v>2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50</v>
      </c>
      <c r="AC366" t="s">
        <v>34</v>
      </c>
      <c r="AD366" t="s">
        <v>34</v>
      </c>
      <c r="AE366">
        <v>1</v>
      </c>
      <c r="AF366">
        <v>1</v>
      </c>
      <c r="AG366" t="s">
        <v>1660</v>
      </c>
      <c r="AL366" t="s">
        <v>34</v>
      </c>
      <c r="AM366" t="s">
        <v>34</v>
      </c>
    </row>
    <row r="367" spans="1:40" x14ac:dyDescent="0.2">
      <c r="A367" s="2">
        <v>45994.464699074073</v>
      </c>
      <c r="B367" t="s">
        <v>1747</v>
      </c>
      <c r="C367" t="s">
        <v>1553</v>
      </c>
      <c r="D367" t="s">
        <v>1657</v>
      </c>
      <c r="E367" t="s">
        <v>1748</v>
      </c>
      <c r="F367" t="s">
        <v>1749</v>
      </c>
      <c r="G367">
        <v>89818488068</v>
      </c>
      <c r="H367" t="s">
        <v>1750</v>
      </c>
      <c r="I367" t="s">
        <v>49</v>
      </c>
      <c r="J367" t="s">
        <v>34</v>
      </c>
      <c r="K367">
        <v>35</v>
      </c>
      <c r="L367">
        <v>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1</v>
      </c>
      <c r="X367">
        <v>3</v>
      </c>
      <c r="Y367">
        <v>0</v>
      </c>
      <c r="Z367">
        <v>0</v>
      </c>
      <c r="AA367">
        <v>0</v>
      </c>
      <c r="AB367" t="s">
        <v>50</v>
      </c>
      <c r="AC367" t="s">
        <v>35</v>
      </c>
      <c r="AD367" t="s">
        <v>35</v>
      </c>
      <c r="AE367">
        <v>0</v>
      </c>
      <c r="AF367">
        <v>0</v>
      </c>
      <c r="AG367" t="s">
        <v>48</v>
      </c>
      <c r="AL367" t="s">
        <v>35</v>
      </c>
      <c r="AM367" t="s">
        <v>34</v>
      </c>
      <c r="AN367" t="s">
        <v>48</v>
      </c>
    </row>
    <row r="368" spans="1:40" x14ac:dyDescent="0.2">
      <c r="A368" s="2">
        <v>45996.613391203697</v>
      </c>
      <c r="B368" t="s">
        <v>1834</v>
      </c>
      <c r="C368" t="s">
        <v>1553</v>
      </c>
      <c r="D368" t="s">
        <v>1657</v>
      </c>
      <c r="E368" t="s">
        <v>1835</v>
      </c>
      <c r="F368" t="s">
        <v>1836</v>
      </c>
      <c r="G368" t="s">
        <v>1837</v>
      </c>
      <c r="H368" t="s">
        <v>1838</v>
      </c>
      <c r="I368" t="s">
        <v>93</v>
      </c>
      <c r="J368" t="s">
        <v>34</v>
      </c>
      <c r="K368">
        <v>18</v>
      </c>
      <c r="L368">
        <v>9</v>
      </c>
      <c r="M368">
        <v>9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C368" t="s">
        <v>34</v>
      </c>
      <c r="AD368" t="s">
        <v>34</v>
      </c>
      <c r="AE368">
        <v>1</v>
      </c>
      <c r="AF368">
        <v>1</v>
      </c>
      <c r="AG368" t="s">
        <v>1839</v>
      </c>
      <c r="AL368" t="s">
        <v>35</v>
      </c>
      <c r="AM368" t="s">
        <v>35</v>
      </c>
    </row>
    <row r="369" spans="1:40" x14ac:dyDescent="0.2">
      <c r="A369" s="2">
        <v>45979.771215277768</v>
      </c>
      <c r="B369" t="s">
        <v>1894</v>
      </c>
      <c r="C369" t="s">
        <v>1553</v>
      </c>
      <c r="D369" t="s">
        <v>1657</v>
      </c>
      <c r="E369" t="s">
        <v>1895</v>
      </c>
      <c r="F369" t="s">
        <v>1896</v>
      </c>
      <c r="G369">
        <v>79110001193</v>
      </c>
      <c r="H369" t="s">
        <v>1897</v>
      </c>
      <c r="I369" t="s">
        <v>1898</v>
      </c>
      <c r="J369" t="s">
        <v>34</v>
      </c>
      <c r="K369">
        <v>105</v>
      </c>
      <c r="L369">
        <v>105</v>
      </c>
      <c r="M369" s="4">
        <v>15</v>
      </c>
      <c r="N369" s="4">
        <v>6</v>
      </c>
      <c r="O369" s="4">
        <v>11</v>
      </c>
      <c r="P369" s="4">
        <v>11</v>
      </c>
      <c r="Q369" s="4">
        <v>6</v>
      </c>
      <c r="R369" s="4">
        <v>6</v>
      </c>
      <c r="S369" s="4">
        <v>4</v>
      </c>
      <c r="T369" s="4">
        <v>3</v>
      </c>
      <c r="U369" s="4">
        <v>3</v>
      </c>
      <c r="V369" s="4">
        <v>2</v>
      </c>
      <c r="W369" s="4">
        <v>3</v>
      </c>
      <c r="X369" s="4">
        <v>10</v>
      </c>
      <c r="Y369" s="4">
        <v>10</v>
      </c>
      <c r="Z369" s="4">
        <v>10</v>
      </c>
      <c r="AA369" s="4">
        <v>5</v>
      </c>
      <c r="AB369" t="s">
        <v>108</v>
      </c>
      <c r="AC369" t="s">
        <v>34</v>
      </c>
      <c r="AD369" t="s">
        <v>34</v>
      </c>
      <c r="AE369">
        <v>3</v>
      </c>
      <c r="AF369">
        <v>0</v>
      </c>
      <c r="AG369" t="s">
        <v>1899</v>
      </c>
      <c r="AH369">
        <v>1</v>
      </c>
      <c r="AL369" t="s">
        <v>34</v>
      </c>
      <c r="AM369" t="s">
        <v>34</v>
      </c>
    </row>
    <row r="370" spans="1:40" x14ac:dyDescent="0.2">
      <c r="A370" s="2">
        <v>45978.723275462973</v>
      </c>
      <c r="B370" t="s">
        <v>1910</v>
      </c>
      <c r="C370" t="s">
        <v>1553</v>
      </c>
      <c r="D370" t="s">
        <v>1657</v>
      </c>
      <c r="E370" t="s">
        <v>1911</v>
      </c>
      <c r="F370" t="s">
        <v>1912</v>
      </c>
      <c r="G370">
        <v>2468788</v>
      </c>
      <c r="H370" t="s">
        <v>1913</v>
      </c>
      <c r="I370" t="s">
        <v>93</v>
      </c>
      <c r="J370" t="s">
        <v>518</v>
      </c>
      <c r="K370">
        <v>527</v>
      </c>
      <c r="L370">
        <v>38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3</v>
      </c>
      <c r="T370">
        <v>6</v>
      </c>
      <c r="U370">
        <v>7</v>
      </c>
      <c r="V370">
        <v>5</v>
      </c>
      <c r="W370">
        <v>10</v>
      </c>
      <c r="X370">
        <v>7</v>
      </c>
      <c r="Y370">
        <v>0</v>
      </c>
      <c r="Z370">
        <v>0</v>
      </c>
      <c r="AA370">
        <v>0</v>
      </c>
      <c r="AB370" t="s">
        <v>131</v>
      </c>
      <c r="AC370" t="s">
        <v>34</v>
      </c>
      <c r="AD370" t="s">
        <v>34</v>
      </c>
      <c r="AE370">
        <v>2</v>
      </c>
      <c r="AF370">
        <v>2</v>
      </c>
      <c r="AG370" t="s">
        <v>1914</v>
      </c>
      <c r="AH370">
        <v>1</v>
      </c>
      <c r="AL370" t="s">
        <v>35</v>
      </c>
      <c r="AM370" t="s">
        <v>34</v>
      </c>
    </row>
    <row r="371" spans="1:40" x14ac:dyDescent="0.2">
      <c r="A371" s="2">
        <v>45985.522372685176</v>
      </c>
      <c r="B371" t="s">
        <v>1915</v>
      </c>
      <c r="C371" t="s">
        <v>1553</v>
      </c>
      <c r="D371" t="s">
        <v>1657</v>
      </c>
      <c r="E371" t="s">
        <v>1657</v>
      </c>
      <c r="F371" t="s">
        <v>1916</v>
      </c>
      <c r="G371" t="s">
        <v>1917</v>
      </c>
      <c r="H371" t="s">
        <v>1918</v>
      </c>
      <c r="I371" t="s">
        <v>93</v>
      </c>
      <c r="J371" t="s">
        <v>34</v>
      </c>
      <c r="K371">
        <v>641</v>
      </c>
      <c r="L371">
        <v>143</v>
      </c>
      <c r="M371" s="4">
        <v>0</v>
      </c>
      <c r="N371" s="4">
        <v>0</v>
      </c>
      <c r="O371" s="4">
        <v>0</v>
      </c>
      <c r="P371" s="4">
        <v>0</v>
      </c>
      <c r="Q371" s="4">
        <v>9</v>
      </c>
      <c r="R371" s="4">
        <v>7</v>
      </c>
      <c r="S371" s="4">
        <v>9</v>
      </c>
      <c r="T371" s="4">
        <v>23</v>
      </c>
      <c r="U371" s="4">
        <v>15</v>
      </c>
      <c r="V371" s="4">
        <v>30</v>
      </c>
      <c r="W371" s="4">
        <v>23</v>
      </c>
      <c r="X371" s="4">
        <v>14</v>
      </c>
      <c r="Y371" s="4">
        <v>8</v>
      </c>
      <c r="Z371" s="4">
        <v>5</v>
      </c>
      <c r="AA371" s="4">
        <v>0</v>
      </c>
      <c r="AB371" t="s">
        <v>62</v>
      </c>
      <c r="AC371" t="s">
        <v>34</v>
      </c>
      <c r="AD371" t="s">
        <v>35</v>
      </c>
      <c r="AE371">
        <v>4</v>
      </c>
      <c r="AF371">
        <v>2</v>
      </c>
      <c r="AG371" t="s">
        <v>1919</v>
      </c>
      <c r="AH371">
        <v>1</v>
      </c>
      <c r="AI371">
        <v>1</v>
      </c>
      <c r="AL371" t="s">
        <v>35</v>
      </c>
      <c r="AM371" t="s">
        <v>35</v>
      </c>
    </row>
    <row r="372" spans="1:40" x14ac:dyDescent="0.2">
      <c r="A372" s="2">
        <v>45977.653298611112</v>
      </c>
      <c r="B372" t="s">
        <v>1920</v>
      </c>
      <c r="C372" t="s">
        <v>1553</v>
      </c>
      <c r="D372" t="s">
        <v>1657</v>
      </c>
      <c r="E372" t="s">
        <v>1657</v>
      </c>
      <c r="F372" t="s">
        <v>1921</v>
      </c>
      <c r="G372">
        <v>79219322469</v>
      </c>
      <c r="H372" t="s">
        <v>1922</v>
      </c>
      <c r="I372" t="s">
        <v>1886</v>
      </c>
      <c r="J372" t="s">
        <v>114</v>
      </c>
      <c r="K372">
        <v>330</v>
      </c>
      <c r="L372">
        <v>21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</v>
      </c>
      <c r="V372">
        <v>3</v>
      </c>
      <c r="W372">
        <v>1</v>
      </c>
      <c r="X372">
        <v>12</v>
      </c>
      <c r="Y372">
        <v>3</v>
      </c>
      <c r="Z372">
        <v>0</v>
      </c>
      <c r="AA372">
        <v>0</v>
      </c>
      <c r="AC372" t="s">
        <v>35</v>
      </c>
      <c r="AD372" t="s">
        <v>34</v>
      </c>
      <c r="AE372">
        <v>1</v>
      </c>
      <c r="AF372">
        <v>0</v>
      </c>
      <c r="AG372" t="s">
        <v>1923</v>
      </c>
      <c r="AL372" t="s">
        <v>35</v>
      </c>
      <c r="AM372" t="s">
        <v>34</v>
      </c>
    </row>
    <row r="373" spans="1:40" x14ac:dyDescent="0.2">
      <c r="A373" s="2">
        <v>45978.483935185177</v>
      </c>
      <c r="B373" t="s">
        <v>1924</v>
      </c>
      <c r="C373" t="s">
        <v>1553</v>
      </c>
      <c r="D373" t="s">
        <v>1657</v>
      </c>
      <c r="E373" t="s">
        <v>1925</v>
      </c>
      <c r="F373" t="s">
        <v>1926</v>
      </c>
      <c r="G373">
        <v>8124097427</v>
      </c>
      <c r="H373" t="s">
        <v>1927</v>
      </c>
      <c r="I373" t="s">
        <v>49</v>
      </c>
      <c r="J373" t="s">
        <v>34</v>
      </c>
      <c r="K373">
        <v>288</v>
      </c>
      <c r="L373">
        <v>46</v>
      </c>
      <c r="M373">
        <v>16</v>
      </c>
      <c r="N373">
        <v>2</v>
      </c>
      <c r="O373">
        <v>1</v>
      </c>
      <c r="P373">
        <v>3</v>
      </c>
      <c r="Q373">
        <v>4</v>
      </c>
      <c r="R373">
        <v>5</v>
      </c>
      <c r="S373">
        <v>5</v>
      </c>
      <c r="T373">
        <v>6</v>
      </c>
      <c r="U373">
        <v>3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584</v>
      </c>
      <c r="AC373" t="s">
        <v>34</v>
      </c>
      <c r="AD373" t="s">
        <v>34</v>
      </c>
      <c r="AE373">
        <v>3</v>
      </c>
      <c r="AF373">
        <v>0</v>
      </c>
      <c r="AG373" t="s">
        <v>1928</v>
      </c>
      <c r="AH373">
        <v>2</v>
      </c>
      <c r="AL373" t="s">
        <v>35</v>
      </c>
      <c r="AM373" t="s">
        <v>34</v>
      </c>
    </row>
    <row r="374" spans="1:40" x14ac:dyDescent="0.2">
      <c r="A374" s="2">
        <v>45981.760162037041</v>
      </c>
      <c r="B374" t="s">
        <v>1929</v>
      </c>
      <c r="C374" t="s">
        <v>1553</v>
      </c>
      <c r="D374" t="s">
        <v>1657</v>
      </c>
      <c r="E374" t="s">
        <v>1657</v>
      </c>
      <c r="F374" t="s">
        <v>1930</v>
      </c>
      <c r="G374" t="s">
        <v>1931</v>
      </c>
      <c r="H374" t="s">
        <v>1932</v>
      </c>
      <c r="I374" t="s">
        <v>49</v>
      </c>
      <c r="J374" t="s">
        <v>518</v>
      </c>
      <c r="K374">
        <v>467</v>
      </c>
      <c r="L374">
        <v>59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5</v>
      </c>
      <c r="T374">
        <v>6</v>
      </c>
      <c r="U374">
        <v>15</v>
      </c>
      <c r="V374">
        <v>9</v>
      </c>
      <c r="W374">
        <v>8</v>
      </c>
      <c r="X374">
        <v>7</v>
      </c>
      <c r="Y374">
        <v>6</v>
      </c>
      <c r="Z374">
        <v>3</v>
      </c>
      <c r="AA374">
        <v>0</v>
      </c>
      <c r="AB374" t="s">
        <v>189</v>
      </c>
      <c r="AC374" t="s">
        <v>35</v>
      </c>
      <c r="AD374" t="s">
        <v>35</v>
      </c>
      <c r="AE374">
        <v>2</v>
      </c>
      <c r="AF374">
        <v>0</v>
      </c>
      <c r="AG374" t="s">
        <v>1933</v>
      </c>
      <c r="AH374">
        <v>1</v>
      </c>
      <c r="AL374" t="s">
        <v>35</v>
      </c>
      <c r="AM374" t="s">
        <v>35</v>
      </c>
    </row>
    <row r="375" spans="1:40" x14ac:dyDescent="0.2">
      <c r="A375" s="2">
        <v>45992.786157407398</v>
      </c>
      <c r="B375" t="s">
        <v>1934</v>
      </c>
      <c r="C375" t="s">
        <v>1553</v>
      </c>
      <c r="D375" t="s">
        <v>1657</v>
      </c>
      <c r="E375" t="s">
        <v>1657</v>
      </c>
      <c r="F375" t="s">
        <v>1935</v>
      </c>
      <c r="G375">
        <v>89500287103</v>
      </c>
      <c r="H375" t="s">
        <v>1936</v>
      </c>
      <c r="I375" t="s">
        <v>1937</v>
      </c>
      <c r="J375" t="s">
        <v>34</v>
      </c>
      <c r="K375">
        <v>19</v>
      </c>
      <c r="L375">
        <v>19</v>
      </c>
      <c r="M375">
        <v>14</v>
      </c>
      <c r="N375">
        <v>1</v>
      </c>
      <c r="O375">
        <v>2</v>
      </c>
      <c r="P375">
        <v>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50</v>
      </c>
      <c r="AC375" t="s">
        <v>34</v>
      </c>
      <c r="AD375" t="s">
        <v>34</v>
      </c>
      <c r="AE375">
        <v>2</v>
      </c>
      <c r="AF375">
        <v>2</v>
      </c>
      <c r="AG375" t="s">
        <v>1938</v>
      </c>
      <c r="AH375">
        <v>2</v>
      </c>
      <c r="AI375">
        <v>1</v>
      </c>
      <c r="AL375" t="s">
        <v>34</v>
      </c>
      <c r="AM375" t="s">
        <v>34</v>
      </c>
    </row>
    <row r="376" spans="1:40" x14ac:dyDescent="0.2">
      <c r="A376" s="2">
        <v>45978.527118055557</v>
      </c>
      <c r="B376" t="s">
        <v>1942</v>
      </c>
      <c r="C376" t="s">
        <v>1553</v>
      </c>
      <c r="D376" t="s">
        <v>1657</v>
      </c>
      <c r="E376" t="s">
        <v>1657</v>
      </c>
      <c r="F376" t="s">
        <v>1943</v>
      </c>
      <c r="G376" t="s">
        <v>1944</v>
      </c>
      <c r="H376" t="s">
        <v>1945</v>
      </c>
      <c r="I376" t="s">
        <v>93</v>
      </c>
      <c r="J376" t="s">
        <v>34</v>
      </c>
      <c r="K376">
        <v>585</v>
      </c>
      <c r="L376">
        <v>234</v>
      </c>
      <c r="M376" s="4">
        <v>0</v>
      </c>
      <c r="N376" s="4">
        <v>0</v>
      </c>
      <c r="O376" s="4">
        <v>10</v>
      </c>
      <c r="P376" s="4">
        <v>17</v>
      </c>
      <c r="Q376" s="4">
        <v>16</v>
      </c>
      <c r="R376" s="4">
        <v>20</v>
      </c>
      <c r="S376" s="4">
        <v>21</v>
      </c>
      <c r="T376" s="4">
        <v>25</v>
      </c>
      <c r="U376" s="4">
        <v>20</v>
      </c>
      <c r="V376" s="4">
        <v>21</v>
      </c>
      <c r="W376" s="4">
        <v>21</v>
      </c>
      <c r="X376" s="4">
        <v>20</v>
      </c>
      <c r="Y376" s="4">
        <v>33</v>
      </c>
      <c r="Z376" s="4">
        <v>10</v>
      </c>
      <c r="AA376" s="4">
        <v>0</v>
      </c>
      <c r="AB376" t="s">
        <v>50</v>
      </c>
      <c r="AC376" t="s">
        <v>34</v>
      </c>
      <c r="AD376" t="s">
        <v>34</v>
      </c>
      <c r="AE376">
        <v>10</v>
      </c>
      <c r="AF376">
        <v>5</v>
      </c>
      <c r="AG376" t="s">
        <v>1946</v>
      </c>
      <c r="AH376">
        <v>4</v>
      </c>
      <c r="AL376" t="s">
        <v>35</v>
      </c>
      <c r="AM376" t="s">
        <v>35</v>
      </c>
    </row>
    <row r="377" spans="1:40" x14ac:dyDescent="0.2">
      <c r="A377" s="2">
        <v>45978.613217592603</v>
      </c>
      <c r="B377" t="s">
        <v>1951</v>
      </c>
      <c r="C377" t="s">
        <v>1553</v>
      </c>
      <c r="D377" t="s">
        <v>1657</v>
      </c>
      <c r="E377" t="s">
        <v>1657</v>
      </c>
      <c r="F377" t="s">
        <v>1952</v>
      </c>
      <c r="G377">
        <v>79310000654</v>
      </c>
      <c r="H377" t="s">
        <v>1953</v>
      </c>
      <c r="I377" t="s">
        <v>1886</v>
      </c>
      <c r="K377">
        <v>700</v>
      </c>
      <c r="L377">
        <v>250</v>
      </c>
      <c r="M377">
        <v>30</v>
      </c>
      <c r="N377">
        <v>5</v>
      </c>
      <c r="O377">
        <v>8</v>
      </c>
      <c r="P377">
        <v>10</v>
      </c>
      <c r="Q377">
        <v>12</v>
      </c>
      <c r="R377">
        <v>14</v>
      </c>
      <c r="S377">
        <v>16</v>
      </c>
      <c r="T377">
        <v>14</v>
      </c>
      <c r="U377">
        <v>20</v>
      </c>
      <c r="V377">
        <v>10</v>
      </c>
      <c r="W377">
        <v>15</v>
      </c>
      <c r="X377">
        <v>24</v>
      </c>
      <c r="Y377">
        <v>22</v>
      </c>
      <c r="Z377">
        <v>22</v>
      </c>
      <c r="AA377">
        <v>28</v>
      </c>
      <c r="AB377" t="s">
        <v>189</v>
      </c>
      <c r="AC377" t="s">
        <v>35</v>
      </c>
      <c r="AD377" t="s">
        <v>35</v>
      </c>
      <c r="AE377">
        <v>24</v>
      </c>
      <c r="AF377">
        <v>2</v>
      </c>
      <c r="AG377" t="s">
        <v>1954</v>
      </c>
      <c r="AI377">
        <v>10</v>
      </c>
      <c r="AJ377">
        <v>9</v>
      </c>
      <c r="AK377">
        <v>5</v>
      </c>
      <c r="AL377" t="s">
        <v>35</v>
      </c>
      <c r="AM377" t="s">
        <v>34</v>
      </c>
    </row>
    <row r="378" spans="1:40" x14ac:dyDescent="0.2">
      <c r="A378" s="2">
        <v>45999.638009259259</v>
      </c>
      <c r="B378" t="s">
        <v>1955</v>
      </c>
      <c r="C378" t="s">
        <v>1553</v>
      </c>
      <c r="D378" t="s">
        <v>1657</v>
      </c>
      <c r="E378" t="s">
        <v>1657</v>
      </c>
      <c r="F378" t="s">
        <v>1956</v>
      </c>
      <c r="G378">
        <v>78123263163</v>
      </c>
      <c r="H378" t="s">
        <v>1957</v>
      </c>
      <c r="I378" t="s">
        <v>835</v>
      </c>
      <c r="J378" t="s">
        <v>34</v>
      </c>
      <c r="K378">
        <v>60</v>
      </c>
      <c r="L378">
        <v>20</v>
      </c>
      <c r="M378">
        <v>20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t="s">
        <v>50</v>
      </c>
      <c r="AC378" t="s">
        <v>34</v>
      </c>
      <c r="AD378" t="s">
        <v>34</v>
      </c>
      <c r="AE378">
        <v>2</v>
      </c>
      <c r="AF378">
        <v>1</v>
      </c>
      <c r="AG378" t="s">
        <v>48</v>
      </c>
      <c r="AL378" t="s">
        <v>35</v>
      </c>
      <c r="AM378" t="s">
        <v>35</v>
      </c>
    </row>
    <row r="379" spans="1:40" x14ac:dyDescent="0.2">
      <c r="A379" s="2">
        <v>45978.484224537038</v>
      </c>
      <c r="B379" t="s">
        <v>1958</v>
      </c>
      <c r="C379" t="s">
        <v>1553</v>
      </c>
      <c r="D379" t="s">
        <v>1657</v>
      </c>
      <c r="E379" t="s">
        <v>1657</v>
      </c>
      <c r="F379" t="s">
        <v>1959</v>
      </c>
      <c r="G379">
        <v>79531662376</v>
      </c>
      <c r="H379" t="s">
        <v>1960</v>
      </c>
      <c r="I379" t="s">
        <v>1886</v>
      </c>
      <c r="J379" t="s">
        <v>34</v>
      </c>
      <c r="K379">
        <v>12</v>
      </c>
      <c r="L379">
        <v>12</v>
      </c>
      <c r="M379">
        <v>12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t="s">
        <v>642</v>
      </c>
      <c r="AC379" t="s">
        <v>34</v>
      </c>
      <c r="AD379" t="s">
        <v>34</v>
      </c>
      <c r="AE379">
        <v>3</v>
      </c>
      <c r="AF379">
        <v>1</v>
      </c>
      <c r="AG379" t="s">
        <v>1961</v>
      </c>
      <c r="AH379">
        <v>2</v>
      </c>
      <c r="AL379" t="s">
        <v>34</v>
      </c>
      <c r="AM379" t="s">
        <v>34</v>
      </c>
    </row>
    <row r="380" spans="1:40" x14ac:dyDescent="0.2">
      <c r="A380" s="2">
        <v>45996.574664351851</v>
      </c>
      <c r="B380" t="s">
        <v>1962</v>
      </c>
      <c r="C380" t="s">
        <v>1553</v>
      </c>
      <c r="D380" t="s">
        <v>1657</v>
      </c>
      <c r="E380" t="s">
        <v>1657</v>
      </c>
      <c r="F380" t="s">
        <v>1963</v>
      </c>
      <c r="G380" t="s">
        <v>1964</v>
      </c>
      <c r="H380" t="s">
        <v>1965</v>
      </c>
      <c r="I380" t="s">
        <v>1886</v>
      </c>
      <c r="J380" t="s">
        <v>518</v>
      </c>
      <c r="K380">
        <v>600</v>
      </c>
      <c r="L380">
        <v>124</v>
      </c>
      <c r="M380">
        <v>38</v>
      </c>
      <c r="N380">
        <v>2</v>
      </c>
      <c r="O380">
        <v>3</v>
      </c>
      <c r="P380">
        <v>2</v>
      </c>
      <c r="Q380">
        <v>8</v>
      </c>
      <c r="R380">
        <v>11</v>
      </c>
      <c r="S380">
        <v>16</v>
      </c>
      <c r="T380">
        <v>11</v>
      </c>
      <c r="U380">
        <v>11</v>
      </c>
      <c r="V380">
        <v>5</v>
      </c>
      <c r="W380">
        <v>5</v>
      </c>
      <c r="X380">
        <v>6</v>
      </c>
      <c r="Y380">
        <v>3</v>
      </c>
      <c r="Z380">
        <v>2</v>
      </c>
      <c r="AA380">
        <v>1</v>
      </c>
      <c r="AB380" t="s">
        <v>584</v>
      </c>
      <c r="AC380" t="s">
        <v>34</v>
      </c>
      <c r="AD380" t="s">
        <v>34</v>
      </c>
      <c r="AE380">
        <v>5</v>
      </c>
      <c r="AF380">
        <v>4</v>
      </c>
      <c r="AG380" t="s">
        <v>1966</v>
      </c>
      <c r="AH380">
        <v>1</v>
      </c>
      <c r="AL380" t="s">
        <v>35</v>
      </c>
      <c r="AM380" t="s">
        <v>34</v>
      </c>
    </row>
    <row r="381" spans="1:40" x14ac:dyDescent="0.2">
      <c r="A381" s="2">
        <v>45985.48064814815</v>
      </c>
      <c r="B381" t="s">
        <v>1967</v>
      </c>
      <c r="C381" t="s">
        <v>1553</v>
      </c>
      <c r="D381" t="s">
        <v>1657</v>
      </c>
      <c r="E381" t="s">
        <v>1657</v>
      </c>
      <c r="F381" t="s">
        <v>1968</v>
      </c>
      <c r="G381">
        <v>5977264</v>
      </c>
      <c r="H381" t="s">
        <v>1969</v>
      </c>
      <c r="I381" t="s">
        <v>1970</v>
      </c>
      <c r="J381" t="s">
        <v>34</v>
      </c>
      <c r="K381">
        <v>200</v>
      </c>
      <c r="L381">
        <v>23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3</v>
      </c>
      <c r="U381">
        <v>1</v>
      </c>
      <c r="V381">
        <v>7</v>
      </c>
      <c r="W381">
        <v>4</v>
      </c>
      <c r="X381">
        <v>3</v>
      </c>
      <c r="Y381">
        <v>3</v>
      </c>
      <c r="Z381">
        <v>1</v>
      </c>
      <c r="AA381">
        <v>0</v>
      </c>
      <c r="AB381" t="s">
        <v>1971</v>
      </c>
      <c r="AC381" t="s">
        <v>34</v>
      </c>
      <c r="AD381" t="s">
        <v>34</v>
      </c>
      <c r="AE381">
        <v>2</v>
      </c>
      <c r="AF381">
        <v>0</v>
      </c>
      <c r="AG381" t="s">
        <v>1465</v>
      </c>
      <c r="AL381" t="s">
        <v>34</v>
      </c>
      <c r="AM381" t="s">
        <v>34</v>
      </c>
    </row>
    <row r="382" spans="1:40" x14ac:dyDescent="0.2">
      <c r="A382" s="2">
        <v>45989.530555555553</v>
      </c>
      <c r="B382" t="s">
        <v>1972</v>
      </c>
      <c r="C382" t="s">
        <v>1553</v>
      </c>
      <c r="D382" t="s">
        <v>1657</v>
      </c>
      <c r="E382" t="s">
        <v>1657</v>
      </c>
      <c r="F382" t="s">
        <v>1973</v>
      </c>
      <c r="G382" t="s">
        <v>1974</v>
      </c>
      <c r="H382" t="s">
        <v>1975</v>
      </c>
      <c r="I382" t="s">
        <v>1976</v>
      </c>
      <c r="J382" t="s">
        <v>34</v>
      </c>
      <c r="K382">
        <v>150</v>
      </c>
      <c r="L382">
        <v>50</v>
      </c>
      <c r="M382">
        <v>40</v>
      </c>
      <c r="N382">
        <v>5</v>
      </c>
      <c r="O382">
        <v>5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1977</v>
      </c>
      <c r="AC382" t="s">
        <v>35</v>
      </c>
      <c r="AD382" t="s">
        <v>35</v>
      </c>
      <c r="AE382">
        <v>1</v>
      </c>
      <c r="AF382">
        <v>1</v>
      </c>
      <c r="AG382" t="s">
        <v>34</v>
      </c>
      <c r="AL382" t="s">
        <v>35</v>
      </c>
      <c r="AM382" t="s">
        <v>35</v>
      </c>
      <c r="AN382" t="s">
        <v>1978</v>
      </c>
    </row>
    <row r="383" spans="1:40" x14ac:dyDescent="0.2">
      <c r="A383" s="2">
        <v>45978.475092592591</v>
      </c>
      <c r="B383" t="s">
        <v>1979</v>
      </c>
      <c r="C383" t="s">
        <v>1553</v>
      </c>
      <c r="D383" t="s">
        <v>1657</v>
      </c>
      <c r="E383" t="s">
        <v>1657</v>
      </c>
      <c r="F383" t="s">
        <v>1980</v>
      </c>
      <c r="G383">
        <v>79500011224</v>
      </c>
      <c r="H383" t="s">
        <v>1981</v>
      </c>
      <c r="I383" t="s">
        <v>710</v>
      </c>
      <c r="J383" t="s">
        <v>34</v>
      </c>
      <c r="K383">
        <v>24</v>
      </c>
      <c r="L383">
        <v>24</v>
      </c>
      <c r="M383">
        <v>24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533</v>
      </c>
      <c r="AC383" t="s">
        <v>34</v>
      </c>
      <c r="AD383" t="s">
        <v>34</v>
      </c>
      <c r="AE383">
        <v>1</v>
      </c>
      <c r="AF383">
        <v>0</v>
      </c>
      <c r="AG383" t="s">
        <v>1982</v>
      </c>
      <c r="AH383">
        <v>1</v>
      </c>
      <c r="AL383" t="s">
        <v>34</v>
      </c>
      <c r="AM383" t="s">
        <v>34</v>
      </c>
    </row>
    <row r="384" spans="1:40" x14ac:dyDescent="0.2">
      <c r="A384" s="2">
        <v>45988.684710648151</v>
      </c>
      <c r="B384" t="s">
        <v>1986</v>
      </c>
      <c r="C384" t="s">
        <v>1553</v>
      </c>
      <c r="D384" t="s">
        <v>1657</v>
      </c>
      <c r="E384" t="s">
        <v>1987</v>
      </c>
      <c r="F384" t="s">
        <v>1988</v>
      </c>
      <c r="G384">
        <v>78126303336</v>
      </c>
      <c r="H384" t="s">
        <v>1989</v>
      </c>
      <c r="I384" t="s">
        <v>49</v>
      </c>
      <c r="J384" t="s">
        <v>518</v>
      </c>
      <c r="K384">
        <v>378</v>
      </c>
      <c r="L384">
        <v>45</v>
      </c>
      <c r="M384">
        <v>0</v>
      </c>
      <c r="N384">
        <v>0</v>
      </c>
      <c r="O384">
        <v>0</v>
      </c>
      <c r="P384">
        <v>0</v>
      </c>
      <c r="Q384">
        <v>2</v>
      </c>
      <c r="R384">
        <v>10</v>
      </c>
      <c r="S384">
        <v>9</v>
      </c>
      <c r="T384">
        <v>7</v>
      </c>
      <c r="U384">
        <v>3</v>
      </c>
      <c r="V384">
        <v>8</v>
      </c>
      <c r="W384">
        <v>2</v>
      </c>
      <c r="X384">
        <v>4</v>
      </c>
      <c r="Y384">
        <v>0</v>
      </c>
      <c r="Z384">
        <v>0</v>
      </c>
      <c r="AA384">
        <v>0</v>
      </c>
      <c r="AB384" t="s">
        <v>1990</v>
      </c>
      <c r="AC384" t="s">
        <v>34</v>
      </c>
      <c r="AD384" t="s">
        <v>34</v>
      </c>
      <c r="AE384">
        <v>1</v>
      </c>
      <c r="AF384">
        <v>1</v>
      </c>
      <c r="AG384" t="s">
        <v>1991</v>
      </c>
      <c r="AH384">
        <v>1</v>
      </c>
      <c r="AL384" t="s">
        <v>35</v>
      </c>
      <c r="AM384" t="s">
        <v>35</v>
      </c>
    </row>
    <row r="385" spans="1:40" x14ac:dyDescent="0.2">
      <c r="A385" s="2">
        <v>45990.823136574072</v>
      </c>
      <c r="B385" t="s">
        <v>1992</v>
      </c>
      <c r="C385" t="s">
        <v>1553</v>
      </c>
      <c r="D385" t="s">
        <v>1657</v>
      </c>
      <c r="E385" t="s">
        <v>1987</v>
      </c>
      <c r="F385" t="s">
        <v>1993</v>
      </c>
      <c r="G385" t="s">
        <v>1994</v>
      </c>
      <c r="H385" t="s">
        <v>1995</v>
      </c>
      <c r="I385" t="s">
        <v>835</v>
      </c>
      <c r="J385" t="s">
        <v>34</v>
      </c>
      <c r="K385">
        <v>60</v>
      </c>
      <c r="L385">
        <v>25</v>
      </c>
      <c r="M385">
        <v>25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1996</v>
      </c>
      <c r="AC385" t="s">
        <v>34</v>
      </c>
      <c r="AD385" t="s">
        <v>34</v>
      </c>
      <c r="AE385">
        <v>2</v>
      </c>
      <c r="AF385">
        <v>0</v>
      </c>
      <c r="AG385" t="s">
        <v>34</v>
      </c>
      <c r="AL385" t="s">
        <v>34</v>
      </c>
      <c r="AM385" t="s">
        <v>34</v>
      </c>
    </row>
    <row r="386" spans="1:40" x14ac:dyDescent="0.2">
      <c r="A386" s="2">
        <v>45978.771562499998</v>
      </c>
      <c r="B386" t="s">
        <v>1997</v>
      </c>
      <c r="C386" t="s">
        <v>1553</v>
      </c>
      <c r="D386" t="s">
        <v>1657</v>
      </c>
      <c r="E386" t="s">
        <v>1987</v>
      </c>
      <c r="F386" t="s">
        <v>34</v>
      </c>
      <c r="G386" t="s">
        <v>34</v>
      </c>
      <c r="H386" t="s">
        <v>34</v>
      </c>
      <c r="I386" t="s">
        <v>1886</v>
      </c>
      <c r="J386" t="s">
        <v>34</v>
      </c>
      <c r="K386">
        <v>20</v>
      </c>
      <c r="L386">
        <v>20</v>
      </c>
      <c r="M386">
        <v>20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50</v>
      </c>
      <c r="AC386" t="s">
        <v>34</v>
      </c>
      <c r="AD386" t="s">
        <v>34</v>
      </c>
      <c r="AE386">
        <v>2</v>
      </c>
      <c r="AF386">
        <v>1</v>
      </c>
      <c r="AG386" t="s">
        <v>34</v>
      </c>
      <c r="AL386" t="s">
        <v>34</v>
      </c>
      <c r="AM386" t="s">
        <v>34</v>
      </c>
    </row>
    <row r="387" spans="1:40" x14ac:dyDescent="0.2">
      <c r="A387" s="2">
        <v>45986.343680555547</v>
      </c>
      <c r="B387" t="s">
        <v>1998</v>
      </c>
      <c r="C387" t="s">
        <v>1553</v>
      </c>
      <c r="D387" t="s">
        <v>1657</v>
      </c>
      <c r="E387" t="s">
        <v>1987</v>
      </c>
      <c r="F387" t="s">
        <v>1999</v>
      </c>
      <c r="G387" t="s">
        <v>2000</v>
      </c>
      <c r="H387" t="s">
        <v>2001</v>
      </c>
      <c r="I387" t="s">
        <v>835</v>
      </c>
      <c r="J387" t="s">
        <v>34</v>
      </c>
      <c r="K387">
        <v>30</v>
      </c>
      <c r="L387">
        <v>15</v>
      </c>
      <c r="M387">
        <v>0</v>
      </c>
      <c r="N387">
        <v>5</v>
      </c>
      <c r="O387">
        <v>3</v>
      </c>
      <c r="P387">
        <v>6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50</v>
      </c>
      <c r="AC387" t="s">
        <v>34</v>
      </c>
      <c r="AD387" t="s">
        <v>35</v>
      </c>
      <c r="AE387">
        <v>1</v>
      </c>
      <c r="AF387">
        <v>1</v>
      </c>
      <c r="AG387" t="s">
        <v>2002</v>
      </c>
      <c r="AL387" t="s">
        <v>35</v>
      </c>
      <c r="AM387" t="s">
        <v>34</v>
      </c>
      <c r="AN387" t="s">
        <v>2003</v>
      </c>
    </row>
    <row r="388" spans="1:40" x14ac:dyDescent="0.2">
      <c r="A388" s="2">
        <v>45980.605462962973</v>
      </c>
      <c r="B388" t="s">
        <v>2006</v>
      </c>
      <c r="C388" t="s">
        <v>1553</v>
      </c>
      <c r="D388" t="s">
        <v>1657</v>
      </c>
      <c r="E388" t="s">
        <v>1987</v>
      </c>
      <c r="F388" t="s">
        <v>2007</v>
      </c>
      <c r="G388">
        <v>88124098492</v>
      </c>
      <c r="H388" t="s">
        <v>2008</v>
      </c>
      <c r="I388" t="s">
        <v>2009</v>
      </c>
      <c r="J388" t="s">
        <v>518</v>
      </c>
      <c r="K388">
        <v>467</v>
      </c>
      <c r="L388">
        <v>59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5</v>
      </c>
      <c r="T388">
        <v>6</v>
      </c>
      <c r="U388">
        <v>14</v>
      </c>
      <c r="V388">
        <v>8</v>
      </c>
      <c r="W388">
        <v>10</v>
      </c>
      <c r="X388">
        <v>7</v>
      </c>
      <c r="Y388">
        <v>6</v>
      </c>
      <c r="Z388">
        <v>3</v>
      </c>
      <c r="AA388">
        <v>0</v>
      </c>
      <c r="AB388" t="s">
        <v>62</v>
      </c>
      <c r="AC388" t="s">
        <v>34</v>
      </c>
      <c r="AD388" t="s">
        <v>35</v>
      </c>
      <c r="AE388">
        <v>2</v>
      </c>
      <c r="AF388">
        <v>0</v>
      </c>
      <c r="AG388" t="s">
        <v>2010</v>
      </c>
      <c r="AH388">
        <v>1</v>
      </c>
      <c r="AL388" t="s">
        <v>35</v>
      </c>
      <c r="AM388" t="s">
        <v>35</v>
      </c>
    </row>
    <row r="389" spans="1:40" x14ac:dyDescent="0.2">
      <c r="A389" s="2">
        <v>45993.496145833327</v>
      </c>
      <c r="B389" t="s">
        <v>2038</v>
      </c>
      <c r="C389" t="s">
        <v>1553</v>
      </c>
      <c r="D389" t="s">
        <v>1657</v>
      </c>
      <c r="E389" t="s">
        <v>2039</v>
      </c>
      <c r="F389" t="s">
        <v>2040</v>
      </c>
      <c r="G389">
        <v>4373816</v>
      </c>
      <c r="H389" t="s">
        <v>2041</v>
      </c>
      <c r="I389" t="s">
        <v>93</v>
      </c>
      <c r="J389" t="s">
        <v>34</v>
      </c>
      <c r="K389">
        <v>260</v>
      </c>
      <c r="L389">
        <v>44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5</v>
      </c>
      <c r="T389" s="4">
        <v>10</v>
      </c>
      <c r="U389" s="4">
        <v>5</v>
      </c>
      <c r="V389" s="4">
        <v>5</v>
      </c>
      <c r="W389" s="4">
        <v>5</v>
      </c>
      <c r="X389" s="4">
        <v>5</v>
      </c>
      <c r="Y389" s="4">
        <v>2</v>
      </c>
      <c r="Z389" s="4">
        <v>3</v>
      </c>
      <c r="AA389" s="4">
        <v>4</v>
      </c>
      <c r="AB389" t="s">
        <v>2042</v>
      </c>
      <c r="AC389" t="s">
        <v>34</v>
      </c>
      <c r="AD389" t="s">
        <v>34</v>
      </c>
      <c r="AE389">
        <v>1</v>
      </c>
      <c r="AF389">
        <v>0</v>
      </c>
      <c r="AG389" t="s">
        <v>2043</v>
      </c>
      <c r="AI389">
        <v>1</v>
      </c>
      <c r="AL389" t="s">
        <v>35</v>
      </c>
      <c r="AM389" t="s">
        <v>35</v>
      </c>
      <c r="AN389" t="s">
        <v>34</v>
      </c>
    </row>
    <row r="390" spans="1:40" x14ac:dyDescent="0.2">
      <c r="A390" s="4"/>
      <c r="B390" s="4" t="s">
        <v>1939</v>
      </c>
      <c r="C390" s="4" t="s">
        <v>1553</v>
      </c>
      <c r="D390" s="4" t="s">
        <v>1657</v>
      </c>
      <c r="E390" s="4" t="s">
        <v>1657</v>
      </c>
      <c r="F390" s="4" t="s">
        <v>1940</v>
      </c>
      <c r="G390" s="4">
        <v>88124273496</v>
      </c>
      <c r="H390" s="4" t="s">
        <v>1941</v>
      </c>
      <c r="I390" s="4"/>
      <c r="J390" s="4"/>
      <c r="K390" s="27">
        <v>46.800000000000004</v>
      </c>
      <c r="L390" s="4">
        <v>18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5</v>
      </c>
      <c r="S390">
        <v>6</v>
      </c>
      <c r="T390">
        <v>2</v>
      </c>
      <c r="U390">
        <v>3</v>
      </c>
      <c r="V390">
        <v>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40" x14ac:dyDescent="0.2">
      <c r="A391" s="4"/>
      <c r="B391" s="4" t="s">
        <v>1947</v>
      </c>
      <c r="C391" s="4" t="s">
        <v>1553</v>
      </c>
      <c r="D391" s="4" t="s">
        <v>1657</v>
      </c>
      <c r="E391" s="4" t="s">
        <v>1657</v>
      </c>
      <c r="F391" s="4" t="s">
        <v>1948</v>
      </c>
      <c r="G391" s="4" t="s">
        <v>1949</v>
      </c>
      <c r="H391" s="4" t="s">
        <v>1950</v>
      </c>
      <c r="I391" s="4"/>
      <c r="J391" s="4"/>
      <c r="K391" s="27">
        <v>104</v>
      </c>
      <c r="L391" s="4">
        <v>40</v>
      </c>
      <c r="M391">
        <v>0</v>
      </c>
      <c r="N391">
        <v>0</v>
      </c>
      <c r="O391">
        <v>0</v>
      </c>
      <c r="P391">
        <v>0</v>
      </c>
      <c r="Q391">
        <v>4</v>
      </c>
      <c r="R391">
        <v>6</v>
      </c>
      <c r="S391">
        <v>5</v>
      </c>
      <c r="T391">
        <v>15</v>
      </c>
      <c r="U391">
        <v>0</v>
      </c>
      <c r="V391">
        <v>4</v>
      </c>
      <c r="W391">
        <v>0</v>
      </c>
      <c r="X391">
        <v>6</v>
      </c>
      <c r="Y391">
        <v>0</v>
      </c>
      <c r="Z391">
        <v>0</v>
      </c>
      <c r="AA391">
        <v>0</v>
      </c>
    </row>
    <row r="392" spans="1:40" x14ac:dyDescent="0.2">
      <c r="A392" s="4"/>
      <c r="B392" s="4" t="s">
        <v>1983</v>
      </c>
      <c r="C392" s="4" t="s">
        <v>1553</v>
      </c>
      <c r="D392" s="4" t="s">
        <v>1657</v>
      </c>
      <c r="E392" s="4" t="s">
        <v>1657</v>
      </c>
      <c r="F392" s="4" t="s">
        <v>1984</v>
      </c>
      <c r="G392" s="4">
        <v>-1362</v>
      </c>
      <c r="H392" s="4" t="s">
        <v>1985</v>
      </c>
      <c r="I392" s="4"/>
      <c r="J392" s="4"/>
      <c r="K392" s="27">
        <v>49.4</v>
      </c>
      <c r="L392" s="4">
        <v>19</v>
      </c>
      <c r="M392">
        <v>5</v>
      </c>
      <c r="N392">
        <v>4</v>
      </c>
      <c r="O392">
        <v>4</v>
      </c>
      <c r="P392">
        <v>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40" x14ac:dyDescent="0.2">
      <c r="A393" s="4"/>
      <c r="B393" s="4" t="s">
        <v>2004</v>
      </c>
      <c r="C393" s="4" t="s">
        <v>1553</v>
      </c>
      <c r="D393" s="4" t="s">
        <v>1657</v>
      </c>
      <c r="E393" s="4" t="s">
        <v>1987</v>
      </c>
      <c r="F393" s="4" t="s">
        <v>1987</v>
      </c>
      <c r="G393" s="4">
        <v>89052228602</v>
      </c>
      <c r="H393" s="4" t="s">
        <v>2005</v>
      </c>
      <c r="I393" s="4"/>
      <c r="J393" s="4"/>
      <c r="K393" s="27">
        <v>78</v>
      </c>
      <c r="L393" s="4">
        <v>30</v>
      </c>
      <c r="M393">
        <v>30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40" x14ac:dyDescent="0.2">
      <c r="A394" s="2">
        <v>45986.458356481482</v>
      </c>
      <c r="B394" t="s">
        <v>2140</v>
      </c>
      <c r="C394" t="s">
        <v>2096</v>
      </c>
      <c r="D394" t="s">
        <v>2141</v>
      </c>
      <c r="E394" t="s">
        <v>2137</v>
      </c>
      <c r="F394" t="s">
        <v>2142</v>
      </c>
      <c r="G394">
        <v>83852538493</v>
      </c>
      <c r="H394" t="s">
        <v>2143</v>
      </c>
      <c r="I394" t="s">
        <v>49</v>
      </c>
      <c r="J394" t="s">
        <v>114</v>
      </c>
      <c r="K394">
        <v>835</v>
      </c>
      <c r="L394">
        <v>23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1</v>
      </c>
      <c r="X394">
        <v>3</v>
      </c>
      <c r="Y394">
        <v>4</v>
      </c>
      <c r="Z394">
        <v>1</v>
      </c>
      <c r="AA394">
        <v>13</v>
      </c>
      <c r="AB394" t="s">
        <v>108</v>
      </c>
      <c r="AC394" t="s">
        <v>35</v>
      </c>
      <c r="AD394" t="s">
        <v>35</v>
      </c>
      <c r="AE394">
        <v>2</v>
      </c>
      <c r="AF394">
        <v>0</v>
      </c>
      <c r="AG394">
        <v>1</v>
      </c>
      <c r="AL394" t="s">
        <v>35</v>
      </c>
      <c r="AM394" t="s">
        <v>34</v>
      </c>
    </row>
    <row r="395" spans="1:40" x14ac:dyDescent="0.2">
      <c r="A395" s="2">
        <v>45993.45</v>
      </c>
      <c r="B395" t="s">
        <v>2144</v>
      </c>
      <c r="C395" t="s">
        <v>2096</v>
      </c>
      <c r="D395" t="s">
        <v>2141</v>
      </c>
      <c r="E395" t="s">
        <v>2137</v>
      </c>
      <c r="F395" t="s">
        <v>2145</v>
      </c>
      <c r="G395" t="s">
        <v>2146</v>
      </c>
      <c r="H395" t="s">
        <v>2147</v>
      </c>
      <c r="I395" t="s">
        <v>49</v>
      </c>
      <c r="J395" t="s">
        <v>34</v>
      </c>
      <c r="K395">
        <v>385</v>
      </c>
      <c r="L395">
        <v>19</v>
      </c>
      <c r="M395">
        <v>8</v>
      </c>
      <c r="N395">
        <v>1</v>
      </c>
      <c r="O395">
        <v>0</v>
      </c>
      <c r="P395">
        <v>2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1</v>
      </c>
      <c r="W395">
        <v>1</v>
      </c>
      <c r="X395">
        <v>3</v>
      </c>
      <c r="Y395">
        <v>2</v>
      </c>
      <c r="Z395">
        <v>0</v>
      </c>
      <c r="AA395">
        <v>0</v>
      </c>
      <c r="AB395" t="s">
        <v>50</v>
      </c>
      <c r="AC395" t="s">
        <v>35</v>
      </c>
      <c r="AD395" t="s">
        <v>35</v>
      </c>
      <c r="AE395">
        <v>4</v>
      </c>
      <c r="AF395">
        <v>0</v>
      </c>
      <c r="AG395" t="s">
        <v>2148</v>
      </c>
      <c r="AL395" t="s">
        <v>35</v>
      </c>
      <c r="AM395" t="s">
        <v>35</v>
      </c>
    </row>
    <row r="396" spans="1:40" x14ac:dyDescent="0.2">
      <c r="A396" s="2">
        <v>45995.312615740739</v>
      </c>
      <c r="B396" t="s">
        <v>2149</v>
      </c>
      <c r="C396" t="s">
        <v>2096</v>
      </c>
      <c r="D396" t="s">
        <v>2141</v>
      </c>
      <c r="E396" t="s">
        <v>2137</v>
      </c>
      <c r="F396" t="s">
        <v>2150</v>
      </c>
      <c r="G396" t="s">
        <v>2151</v>
      </c>
      <c r="H396" t="s">
        <v>2152</v>
      </c>
      <c r="I396" t="s">
        <v>93</v>
      </c>
      <c r="J396" t="s">
        <v>518</v>
      </c>
      <c r="K396">
        <v>655</v>
      </c>
      <c r="L396">
        <v>127</v>
      </c>
      <c r="M396">
        <v>0</v>
      </c>
      <c r="N396">
        <v>0</v>
      </c>
      <c r="O396">
        <v>0</v>
      </c>
      <c r="P396">
        <v>0</v>
      </c>
      <c r="Q396">
        <v>3</v>
      </c>
      <c r="R396">
        <v>11</v>
      </c>
      <c r="S396">
        <v>13</v>
      </c>
      <c r="T396">
        <v>22</v>
      </c>
      <c r="U396">
        <v>17</v>
      </c>
      <c r="V396">
        <v>17</v>
      </c>
      <c r="W396">
        <v>24</v>
      </c>
      <c r="X396">
        <v>8</v>
      </c>
      <c r="Y396">
        <v>8</v>
      </c>
      <c r="Z396">
        <v>2</v>
      </c>
      <c r="AA396">
        <v>2</v>
      </c>
      <c r="AB396" t="s">
        <v>50</v>
      </c>
      <c r="AC396" t="s">
        <v>35</v>
      </c>
      <c r="AD396" t="s">
        <v>35</v>
      </c>
      <c r="AE396">
        <v>3</v>
      </c>
      <c r="AF396">
        <v>1</v>
      </c>
      <c r="AG396" t="s">
        <v>2153</v>
      </c>
      <c r="AH396">
        <v>2</v>
      </c>
      <c r="AI396">
        <v>1</v>
      </c>
      <c r="AL396" t="s">
        <v>35</v>
      </c>
      <c r="AM396" t="s">
        <v>34</v>
      </c>
      <c r="AN396" t="s">
        <v>2154</v>
      </c>
    </row>
    <row r="397" spans="1:40" x14ac:dyDescent="0.2">
      <c r="A397" s="2">
        <v>45985.325636574067</v>
      </c>
      <c r="B397" t="s">
        <v>2163</v>
      </c>
      <c r="C397" t="s">
        <v>2096</v>
      </c>
      <c r="D397" t="s">
        <v>2141</v>
      </c>
      <c r="E397" t="s">
        <v>2164</v>
      </c>
      <c r="F397" t="s">
        <v>2165</v>
      </c>
      <c r="G397" t="s">
        <v>2166</v>
      </c>
      <c r="H397" t="s">
        <v>2167</v>
      </c>
      <c r="I397" t="s">
        <v>49</v>
      </c>
      <c r="J397" t="s">
        <v>114</v>
      </c>
      <c r="K397">
        <v>200</v>
      </c>
      <c r="L397">
        <v>30</v>
      </c>
      <c r="M397">
        <v>0</v>
      </c>
      <c r="N397">
        <v>0</v>
      </c>
      <c r="O397">
        <v>2</v>
      </c>
      <c r="P397">
        <v>1</v>
      </c>
      <c r="Q397">
        <v>1</v>
      </c>
      <c r="R397">
        <v>1</v>
      </c>
      <c r="S397">
        <v>10</v>
      </c>
      <c r="T397">
        <v>7</v>
      </c>
      <c r="U397">
        <v>7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824</v>
      </c>
      <c r="AC397" t="s">
        <v>35</v>
      </c>
      <c r="AD397" t="s">
        <v>34</v>
      </c>
      <c r="AE397">
        <v>1</v>
      </c>
      <c r="AF397">
        <v>0</v>
      </c>
      <c r="AG397" t="s">
        <v>2168</v>
      </c>
      <c r="AL397" t="s">
        <v>35</v>
      </c>
      <c r="AM397" t="s">
        <v>34</v>
      </c>
    </row>
    <row r="398" spans="1:40" x14ac:dyDescent="0.2">
      <c r="A398" s="2">
        <v>45999.600590277783</v>
      </c>
      <c r="B398" t="s">
        <v>2329</v>
      </c>
      <c r="C398" t="s">
        <v>2096</v>
      </c>
      <c r="D398" t="s">
        <v>2141</v>
      </c>
      <c r="E398" t="s">
        <v>2330</v>
      </c>
      <c r="F398" t="s">
        <v>2331</v>
      </c>
      <c r="G398">
        <v>83853922111</v>
      </c>
      <c r="H398" t="s">
        <v>2332</v>
      </c>
      <c r="I398" t="s">
        <v>49</v>
      </c>
      <c r="J398" t="s">
        <v>34</v>
      </c>
      <c r="K398">
        <v>45</v>
      </c>
      <c r="L398">
        <v>15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</v>
      </c>
      <c r="S398">
        <v>6</v>
      </c>
      <c r="T398">
        <v>2</v>
      </c>
      <c r="U398">
        <v>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50</v>
      </c>
      <c r="AC398" t="s">
        <v>35</v>
      </c>
      <c r="AD398" t="s">
        <v>35</v>
      </c>
      <c r="AE398">
        <v>1</v>
      </c>
      <c r="AF398">
        <v>0</v>
      </c>
      <c r="AG398" t="s">
        <v>34</v>
      </c>
      <c r="AL398" t="s">
        <v>34</v>
      </c>
      <c r="AM398" t="s">
        <v>34</v>
      </c>
    </row>
    <row r="399" spans="1:40" x14ac:dyDescent="0.2">
      <c r="A399" s="2">
        <v>45995.220439814817</v>
      </c>
      <c r="B399" t="s">
        <v>2377</v>
      </c>
      <c r="C399" t="s">
        <v>2096</v>
      </c>
      <c r="D399" t="s">
        <v>2141</v>
      </c>
      <c r="E399" t="s">
        <v>2378</v>
      </c>
      <c r="F399" t="s">
        <v>2379</v>
      </c>
      <c r="G399" t="s">
        <v>2380</v>
      </c>
      <c r="H399" t="s">
        <v>2381</v>
      </c>
      <c r="I399" t="s">
        <v>49</v>
      </c>
      <c r="J399" t="s">
        <v>114</v>
      </c>
      <c r="K399">
        <v>580</v>
      </c>
      <c r="L399">
        <v>39</v>
      </c>
      <c r="M399">
        <v>0</v>
      </c>
      <c r="N399">
        <v>0</v>
      </c>
      <c r="O399">
        <v>1</v>
      </c>
      <c r="P399">
        <v>4</v>
      </c>
      <c r="Q399">
        <v>5</v>
      </c>
      <c r="R399">
        <v>9</v>
      </c>
      <c r="S399">
        <v>4</v>
      </c>
      <c r="T399">
        <v>6</v>
      </c>
      <c r="U399">
        <v>4</v>
      </c>
      <c r="V399">
        <v>5</v>
      </c>
      <c r="W399">
        <v>0</v>
      </c>
      <c r="X399">
        <v>1</v>
      </c>
      <c r="Y399">
        <v>0</v>
      </c>
      <c r="Z399">
        <v>0</v>
      </c>
      <c r="AA399">
        <v>0</v>
      </c>
      <c r="AB399" t="s">
        <v>62</v>
      </c>
      <c r="AC399" t="s">
        <v>35</v>
      </c>
      <c r="AD399" t="s">
        <v>35</v>
      </c>
      <c r="AE399">
        <v>1</v>
      </c>
      <c r="AF399">
        <v>0</v>
      </c>
      <c r="AG399">
        <v>0</v>
      </c>
      <c r="AL399" t="s">
        <v>35</v>
      </c>
      <c r="AM399" t="s">
        <v>35</v>
      </c>
    </row>
    <row r="400" spans="1:40" x14ac:dyDescent="0.2">
      <c r="A400" s="4"/>
      <c r="B400" s="4" t="s">
        <v>2136</v>
      </c>
      <c r="C400" s="4" t="s">
        <v>2096</v>
      </c>
      <c r="D400" s="4" t="s">
        <v>2141</v>
      </c>
      <c r="E400" s="4" t="s">
        <v>2137</v>
      </c>
      <c r="F400" s="4" t="s">
        <v>2138</v>
      </c>
      <c r="G400" s="4">
        <v>89166593934</v>
      </c>
      <c r="H400" s="4" t="s">
        <v>2139</v>
      </c>
      <c r="I400" s="4"/>
      <c r="J400" s="4"/>
      <c r="K400" s="27">
        <v>127.4</v>
      </c>
      <c r="L400" s="4">
        <v>49</v>
      </c>
      <c r="M400">
        <v>0</v>
      </c>
      <c r="N400">
        <v>0</v>
      </c>
      <c r="O400">
        <v>0</v>
      </c>
      <c r="P400">
        <v>6</v>
      </c>
      <c r="Q400">
        <v>7</v>
      </c>
      <c r="R400">
        <v>11</v>
      </c>
      <c r="S400">
        <v>12</v>
      </c>
      <c r="T400">
        <v>7</v>
      </c>
      <c r="U400">
        <v>2</v>
      </c>
      <c r="V400">
        <v>3</v>
      </c>
      <c r="W400">
        <v>1</v>
      </c>
      <c r="X400">
        <v>0</v>
      </c>
      <c r="Y400">
        <v>0</v>
      </c>
      <c r="Z400">
        <v>0</v>
      </c>
      <c r="AA400">
        <v>0</v>
      </c>
    </row>
    <row r="401" spans="1:40" x14ac:dyDescent="0.2">
      <c r="A401" s="4"/>
      <c r="B401" s="4" t="s">
        <v>2373</v>
      </c>
      <c r="C401" s="4" t="s">
        <v>2096</v>
      </c>
      <c r="D401" s="4" t="s">
        <v>2141</v>
      </c>
      <c r="E401" s="4" t="s">
        <v>2374</v>
      </c>
      <c r="F401" s="4" t="s">
        <v>2375</v>
      </c>
      <c r="G401" s="4">
        <v>83858221488</v>
      </c>
      <c r="H401" s="4" t="s">
        <v>2376</v>
      </c>
      <c r="I401" s="4"/>
      <c r="J401" s="4"/>
      <c r="K401" s="27">
        <v>62.400000000000006</v>
      </c>
      <c r="L401" s="4">
        <v>24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3</v>
      </c>
      <c r="S401">
        <v>2</v>
      </c>
      <c r="T401">
        <v>1</v>
      </c>
      <c r="U401">
        <v>4</v>
      </c>
      <c r="V401">
        <v>6</v>
      </c>
      <c r="W401">
        <v>5</v>
      </c>
      <c r="X401">
        <v>2</v>
      </c>
      <c r="Y401">
        <v>1</v>
      </c>
      <c r="Z401">
        <v>0</v>
      </c>
      <c r="AA401">
        <v>0</v>
      </c>
    </row>
    <row r="402" spans="1:40" x14ac:dyDescent="0.2">
      <c r="A402" s="4"/>
      <c r="B402" s="4" t="s">
        <v>2466</v>
      </c>
      <c r="C402" s="4" t="s">
        <v>2096</v>
      </c>
      <c r="D402" s="4" t="s">
        <v>2141</v>
      </c>
      <c r="E402" s="4" t="s">
        <v>2467</v>
      </c>
      <c r="F402" s="4" t="s">
        <v>2468</v>
      </c>
      <c r="G402" s="4" t="s">
        <v>2469</v>
      </c>
      <c r="H402" s="4" t="s">
        <v>2470</v>
      </c>
      <c r="I402" s="4"/>
      <c r="J402" s="4"/>
      <c r="K402" s="27">
        <v>111.8</v>
      </c>
      <c r="L402" s="4">
        <v>43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7</v>
      </c>
      <c r="T402">
        <v>11</v>
      </c>
      <c r="U402">
        <v>6</v>
      </c>
      <c r="V402">
        <v>5</v>
      </c>
      <c r="W402">
        <v>5</v>
      </c>
      <c r="X402">
        <v>5</v>
      </c>
      <c r="Y402">
        <v>3</v>
      </c>
      <c r="Z402">
        <v>0</v>
      </c>
      <c r="AA402">
        <v>0</v>
      </c>
    </row>
    <row r="403" spans="1:40" x14ac:dyDescent="0.2">
      <c r="A403" s="2">
        <v>46000.286111111112</v>
      </c>
      <c r="B403" t="s">
        <v>2442</v>
      </c>
      <c r="C403" t="s">
        <v>2096</v>
      </c>
      <c r="D403" t="s">
        <v>2324</v>
      </c>
      <c r="E403" t="s">
        <v>2443</v>
      </c>
      <c r="F403" t="s">
        <v>2444</v>
      </c>
      <c r="G403">
        <v>89144721265</v>
      </c>
      <c r="H403" t="s">
        <v>2445</v>
      </c>
      <c r="I403" t="s">
        <v>49</v>
      </c>
      <c r="J403" t="s">
        <v>34</v>
      </c>
      <c r="K403">
        <v>588</v>
      </c>
      <c r="L403">
        <v>63</v>
      </c>
      <c r="M403" s="4">
        <v>0</v>
      </c>
      <c r="N403" s="4">
        <v>0</v>
      </c>
      <c r="O403" s="4">
        <v>0</v>
      </c>
      <c r="P403" s="4">
        <v>0</v>
      </c>
      <c r="Q403" s="4">
        <v>2</v>
      </c>
      <c r="R403" s="4">
        <v>2</v>
      </c>
      <c r="S403" s="4">
        <v>0</v>
      </c>
      <c r="T403" s="4">
        <v>11</v>
      </c>
      <c r="U403" s="4">
        <v>17</v>
      </c>
      <c r="V403" s="4">
        <v>15</v>
      </c>
      <c r="W403" s="4">
        <v>10</v>
      </c>
      <c r="X403" s="4">
        <v>2</v>
      </c>
      <c r="Y403" s="4">
        <v>1</v>
      </c>
      <c r="Z403" s="4">
        <v>3</v>
      </c>
      <c r="AA403" s="4">
        <v>0</v>
      </c>
      <c r="AC403" t="s">
        <v>35</v>
      </c>
      <c r="AD403" t="s">
        <v>34</v>
      </c>
      <c r="AE403">
        <v>4</v>
      </c>
      <c r="AF403">
        <v>1</v>
      </c>
      <c r="AG403" t="s">
        <v>48</v>
      </c>
      <c r="AL403" t="s">
        <v>35</v>
      </c>
      <c r="AM403" t="s">
        <v>34</v>
      </c>
    </row>
    <row r="404" spans="1:40" x14ac:dyDescent="0.2">
      <c r="A404" s="2">
        <v>46000.204317129632</v>
      </c>
      <c r="B404" t="s">
        <v>2446</v>
      </c>
      <c r="C404" t="s">
        <v>2096</v>
      </c>
      <c r="D404" t="s">
        <v>2324</v>
      </c>
      <c r="E404" t="s">
        <v>2443</v>
      </c>
      <c r="F404" t="s">
        <v>2447</v>
      </c>
      <c r="G404">
        <v>89144715005</v>
      </c>
      <c r="H404" t="s">
        <v>2448</v>
      </c>
      <c r="I404" t="s">
        <v>49</v>
      </c>
      <c r="J404" t="s">
        <v>114</v>
      </c>
      <c r="K404">
        <v>298</v>
      </c>
      <c r="L404">
        <v>50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6</v>
      </c>
      <c r="S404">
        <v>8</v>
      </c>
      <c r="T404">
        <v>9</v>
      </c>
      <c r="U404">
        <v>5</v>
      </c>
      <c r="V404">
        <v>2</v>
      </c>
      <c r="W404">
        <v>10</v>
      </c>
      <c r="X404">
        <v>10</v>
      </c>
      <c r="Y404">
        <v>0</v>
      </c>
      <c r="Z404">
        <v>0</v>
      </c>
      <c r="AA404">
        <v>0</v>
      </c>
      <c r="AB404" t="s">
        <v>696</v>
      </c>
      <c r="AC404" t="s">
        <v>35</v>
      </c>
      <c r="AD404" t="s">
        <v>35</v>
      </c>
      <c r="AE404">
        <v>2</v>
      </c>
      <c r="AF404">
        <v>2</v>
      </c>
      <c r="AG404" t="s">
        <v>2449</v>
      </c>
      <c r="AL404" t="s">
        <v>35</v>
      </c>
      <c r="AM404" t="s">
        <v>34</v>
      </c>
    </row>
    <row r="405" spans="1:40" x14ac:dyDescent="0.2">
      <c r="A405" s="2">
        <v>46001.22997685185</v>
      </c>
      <c r="B405" t="s">
        <v>2450</v>
      </c>
      <c r="C405" t="s">
        <v>2096</v>
      </c>
      <c r="D405" t="s">
        <v>2324</v>
      </c>
      <c r="E405" t="s">
        <v>2443</v>
      </c>
      <c r="F405" t="s">
        <v>2451</v>
      </c>
      <c r="G405" t="s">
        <v>2452</v>
      </c>
      <c r="H405" t="s">
        <v>2453</v>
      </c>
      <c r="I405" t="s">
        <v>49</v>
      </c>
      <c r="J405" t="s">
        <v>34</v>
      </c>
      <c r="K405">
        <v>91</v>
      </c>
      <c r="L405">
        <v>36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1</v>
      </c>
      <c r="S405">
        <v>2</v>
      </c>
      <c r="T405">
        <v>0</v>
      </c>
      <c r="U405">
        <v>0</v>
      </c>
      <c r="V405">
        <v>12</v>
      </c>
      <c r="W405">
        <v>11</v>
      </c>
      <c r="X405">
        <v>0</v>
      </c>
      <c r="Y405">
        <v>0</v>
      </c>
      <c r="Z405">
        <v>0</v>
      </c>
      <c r="AA405">
        <v>9</v>
      </c>
      <c r="AB405" t="s">
        <v>94</v>
      </c>
      <c r="AC405" t="s">
        <v>35</v>
      </c>
      <c r="AD405" t="s">
        <v>35</v>
      </c>
      <c r="AE405">
        <v>2</v>
      </c>
      <c r="AF405">
        <v>2</v>
      </c>
      <c r="AG405" t="s">
        <v>1465</v>
      </c>
      <c r="AL405" t="s">
        <v>35</v>
      </c>
      <c r="AM405" t="s">
        <v>34</v>
      </c>
    </row>
    <row r="406" spans="1:40" x14ac:dyDescent="0.2">
      <c r="A406" s="2">
        <v>46000.134409722217</v>
      </c>
      <c r="B406" t="s">
        <v>2454</v>
      </c>
      <c r="C406" t="s">
        <v>2096</v>
      </c>
      <c r="D406" t="s">
        <v>2324</v>
      </c>
      <c r="E406" t="s">
        <v>2455</v>
      </c>
      <c r="F406" t="s">
        <v>2456</v>
      </c>
      <c r="G406" t="s">
        <v>2457</v>
      </c>
      <c r="H406" t="s">
        <v>2458</v>
      </c>
      <c r="I406" t="s">
        <v>49</v>
      </c>
      <c r="J406" t="s">
        <v>34</v>
      </c>
      <c r="K406">
        <v>250</v>
      </c>
      <c r="L406">
        <v>150</v>
      </c>
      <c r="M406">
        <v>0</v>
      </c>
      <c r="N406">
        <v>0</v>
      </c>
      <c r="O406">
        <v>1</v>
      </c>
      <c r="P406">
        <v>2</v>
      </c>
      <c r="Q406">
        <v>5</v>
      </c>
      <c r="R406">
        <v>3</v>
      </c>
      <c r="S406">
        <v>17</v>
      </c>
      <c r="T406">
        <v>25</v>
      </c>
      <c r="U406">
        <v>25</v>
      </c>
      <c r="V406">
        <v>25</v>
      </c>
      <c r="W406">
        <v>25</v>
      </c>
      <c r="X406">
        <v>11</v>
      </c>
      <c r="Y406">
        <v>11</v>
      </c>
      <c r="Z406">
        <v>0</v>
      </c>
      <c r="AA406">
        <v>0</v>
      </c>
      <c r="AB406" t="s">
        <v>317</v>
      </c>
      <c r="AC406" t="s">
        <v>35</v>
      </c>
      <c r="AD406" t="s">
        <v>35</v>
      </c>
      <c r="AE406">
        <v>5</v>
      </c>
      <c r="AF406">
        <v>3</v>
      </c>
      <c r="AG406" t="s">
        <v>2459</v>
      </c>
      <c r="AH406">
        <v>4</v>
      </c>
      <c r="AL406" t="s">
        <v>35</v>
      </c>
      <c r="AM406" t="s">
        <v>34</v>
      </c>
      <c r="AN406" t="s">
        <v>2460</v>
      </c>
    </row>
    <row r="407" spans="1:40" x14ac:dyDescent="0.2">
      <c r="A407" s="2">
        <v>46000.222222222219</v>
      </c>
      <c r="B407" t="s">
        <v>2476</v>
      </c>
      <c r="C407" t="s">
        <v>2096</v>
      </c>
      <c r="D407" t="s">
        <v>2324</v>
      </c>
      <c r="E407" t="s">
        <v>2477</v>
      </c>
      <c r="F407" t="s">
        <v>2478</v>
      </c>
      <c r="G407">
        <v>79144745254</v>
      </c>
      <c r="H407" t="s">
        <v>2479</v>
      </c>
      <c r="I407" t="s">
        <v>2480</v>
      </c>
      <c r="J407" t="s">
        <v>114</v>
      </c>
      <c r="K407">
        <v>41</v>
      </c>
      <c r="L407">
        <v>21</v>
      </c>
      <c r="M407">
        <v>0</v>
      </c>
      <c r="N407">
        <v>1</v>
      </c>
      <c r="O407">
        <v>5</v>
      </c>
      <c r="P407">
        <v>1</v>
      </c>
      <c r="Q407">
        <v>0</v>
      </c>
      <c r="R407">
        <v>0</v>
      </c>
      <c r="S407">
        <v>2</v>
      </c>
      <c r="T407">
        <v>1</v>
      </c>
      <c r="U407">
        <v>2</v>
      </c>
      <c r="V407">
        <v>5</v>
      </c>
      <c r="W407">
        <v>3</v>
      </c>
      <c r="X407">
        <v>1</v>
      </c>
      <c r="Y407">
        <v>0</v>
      </c>
      <c r="Z407">
        <v>0</v>
      </c>
      <c r="AA407">
        <v>0</v>
      </c>
      <c r="AB407" t="s">
        <v>50</v>
      </c>
      <c r="AC407" t="s">
        <v>35</v>
      </c>
      <c r="AD407" t="s">
        <v>35</v>
      </c>
      <c r="AE407">
        <v>1</v>
      </c>
      <c r="AF407">
        <v>0</v>
      </c>
      <c r="AG407" t="s">
        <v>2481</v>
      </c>
      <c r="AL407" t="s">
        <v>34</v>
      </c>
      <c r="AM407" t="s">
        <v>34</v>
      </c>
    </row>
    <row r="408" spans="1:40" x14ac:dyDescent="0.2">
      <c r="A408" s="4"/>
      <c r="B408" s="4" t="s">
        <v>2254</v>
      </c>
      <c r="C408" s="4" t="s">
        <v>2096</v>
      </c>
      <c r="D408" s="4" t="s">
        <v>2324</v>
      </c>
      <c r="E408" s="4" t="s">
        <v>2255</v>
      </c>
      <c r="F408" s="4" t="s">
        <v>2256</v>
      </c>
      <c r="G408" s="4">
        <v>89141253456</v>
      </c>
      <c r="H408" s="4" t="s">
        <v>2257</v>
      </c>
      <c r="I408" s="4"/>
      <c r="J408" s="4"/>
      <c r="K408" s="27">
        <v>124.80000000000001</v>
      </c>
      <c r="L408" s="4">
        <v>48</v>
      </c>
      <c r="M408">
        <v>0</v>
      </c>
      <c r="N408">
        <v>0</v>
      </c>
      <c r="O408">
        <v>6</v>
      </c>
      <c r="P408">
        <v>7</v>
      </c>
      <c r="Q408">
        <v>4</v>
      </c>
      <c r="R408">
        <v>8</v>
      </c>
      <c r="S408">
        <v>11</v>
      </c>
      <c r="T408">
        <v>7</v>
      </c>
      <c r="U408">
        <v>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40" x14ac:dyDescent="0.2">
      <c r="A409" s="4"/>
      <c r="B409" s="4" t="s">
        <v>2382</v>
      </c>
      <c r="C409" s="4" t="s">
        <v>2096</v>
      </c>
      <c r="D409" s="4" t="s">
        <v>2324</v>
      </c>
      <c r="E409" s="4" t="s">
        <v>2383</v>
      </c>
      <c r="F409" s="4" t="s">
        <v>2384</v>
      </c>
      <c r="G409" s="4">
        <v>89144417900</v>
      </c>
      <c r="H409" s="4" t="s">
        <v>2385</v>
      </c>
      <c r="I409" s="4"/>
      <c r="J409" s="4"/>
      <c r="K409" s="27">
        <v>101.4</v>
      </c>
      <c r="L409" s="4">
        <v>39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11</v>
      </c>
      <c r="X409">
        <v>12</v>
      </c>
      <c r="Y409">
        <v>16</v>
      </c>
      <c r="Z409">
        <v>0</v>
      </c>
      <c r="AA409">
        <v>0</v>
      </c>
    </row>
    <row r="410" spans="1:40" x14ac:dyDescent="0.2">
      <c r="A410" s="4"/>
      <c r="B410" s="4" t="s">
        <v>2386</v>
      </c>
      <c r="C410" s="4" t="s">
        <v>2096</v>
      </c>
      <c r="D410" s="4" t="s">
        <v>2324</v>
      </c>
      <c r="E410" s="4" t="s">
        <v>2387</v>
      </c>
      <c r="F410" s="4" t="s">
        <v>2388</v>
      </c>
      <c r="G410" s="4" t="s">
        <v>2389</v>
      </c>
      <c r="H410" s="4" t="s">
        <v>2390</v>
      </c>
      <c r="I410" s="4"/>
      <c r="J410" s="4"/>
      <c r="K410" s="27">
        <v>26</v>
      </c>
      <c r="L410" s="4">
        <v>10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4</v>
      </c>
      <c r="W410">
        <v>2</v>
      </c>
      <c r="X410">
        <v>2</v>
      </c>
      <c r="Y410">
        <v>2</v>
      </c>
      <c r="Z410">
        <v>0</v>
      </c>
      <c r="AA410">
        <v>0</v>
      </c>
    </row>
    <row r="411" spans="1:40" x14ac:dyDescent="0.2">
      <c r="A411" s="2">
        <v>45985.217268518521</v>
      </c>
      <c r="B411" t="s">
        <v>2131</v>
      </c>
      <c r="C411" t="s">
        <v>2096</v>
      </c>
      <c r="D411" t="s">
        <v>2324</v>
      </c>
      <c r="E411" t="s">
        <v>2132</v>
      </c>
      <c r="F411" t="s">
        <v>2133</v>
      </c>
      <c r="G411">
        <v>83023251265</v>
      </c>
      <c r="H411" t="s">
        <v>2134</v>
      </c>
      <c r="I411" t="s">
        <v>33</v>
      </c>
      <c r="J411" t="s">
        <v>34</v>
      </c>
      <c r="K411">
        <v>49</v>
      </c>
      <c r="L411">
        <v>8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4</v>
      </c>
      <c r="W411">
        <v>0</v>
      </c>
      <c r="X411">
        <v>2</v>
      </c>
      <c r="Y411">
        <v>1</v>
      </c>
      <c r="Z411">
        <v>0</v>
      </c>
      <c r="AA411">
        <v>0</v>
      </c>
      <c r="AB411" t="s">
        <v>255</v>
      </c>
      <c r="AC411" t="s">
        <v>35</v>
      </c>
      <c r="AD411" t="s">
        <v>34</v>
      </c>
      <c r="AE411">
        <v>1</v>
      </c>
      <c r="AF411">
        <v>0</v>
      </c>
      <c r="AG411" t="s">
        <v>2135</v>
      </c>
      <c r="AL411" t="s">
        <v>35</v>
      </c>
      <c r="AM411" t="s">
        <v>34</v>
      </c>
    </row>
    <row r="412" spans="1:40" x14ac:dyDescent="0.2">
      <c r="A412" s="2">
        <v>45982.581134259257</v>
      </c>
      <c r="B412" t="s">
        <v>2196</v>
      </c>
      <c r="C412" t="s">
        <v>2096</v>
      </c>
      <c r="D412" t="s">
        <v>2174</v>
      </c>
      <c r="E412" t="s">
        <v>2197</v>
      </c>
      <c r="F412" t="s">
        <v>2198</v>
      </c>
      <c r="G412" t="s">
        <v>2199</v>
      </c>
      <c r="H412" t="s">
        <v>2200</v>
      </c>
      <c r="I412" t="s">
        <v>49</v>
      </c>
      <c r="J412" t="s">
        <v>34</v>
      </c>
      <c r="K412">
        <v>65</v>
      </c>
      <c r="L412">
        <v>65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2</v>
      </c>
      <c r="T412" s="4">
        <v>8</v>
      </c>
      <c r="U412" s="4">
        <v>14</v>
      </c>
      <c r="V412" s="4">
        <v>13</v>
      </c>
      <c r="W412" s="4">
        <v>8</v>
      </c>
      <c r="X412" s="4">
        <v>7</v>
      </c>
      <c r="Y412" s="4">
        <v>10</v>
      </c>
      <c r="Z412" s="4">
        <v>3</v>
      </c>
      <c r="AA412" s="4">
        <v>0</v>
      </c>
      <c r="AB412" t="s">
        <v>2201</v>
      </c>
      <c r="AC412" t="s">
        <v>34</v>
      </c>
      <c r="AD412" t="s">
        <v>35</v>
      </c>
      <c r="AE412">
        <v>2</v>
      </c>
      <c r="AF412">
        <v>0</v>
      </c>
      <c r="AG412" t="s">
        <v>34</v>
      </c>
      <c r="AL412" t="s">
        <v>35</v>
      </c>
      <c r="AM412" t="s">
        <v>34</v>
      </c>
      <c r="AN412" t="s">
        <v>2202</v>
      </c>
    </row>
    <row r="413" spans="1:40" x14ac:dyDescent="0.2">
      <c r="A413" s="2">
        <v>45986.260995370372</v>
      </c>
      <c r="B413" t="s">
        <v>2203</v>
      </c>
      <c r="C413" t="s">
        <v>2096</v>
      </c>
      <c r="D413" t="s">
        <v>2174</v>
      </c>
      <c r="E413" t="s">
        <v>2204</v>
      </c>
      <c r="F413" t="s">
        <v>2205</v>
      </c>
      <c r="G413" t="s">
        <v>2206</v>
      </c>
      <c r="H413" t="s">
        <v>2207</v>
      </c>
      <c r="I413" t="s">
        <v>49</v>
      </c>
      <c r="J413" t="s">
        <v>114</v>
      </c>
      <c r="K413">
        <v>952</v>
      </c>
      <c r="L413">
        <v>107</v>
      </c>
      <c r="M413">
        <v>3</v>
      </c>
      <c r="N413">
        <v>2</v>
      </c>
      <c r="O413">
        <v>4</v>
      </c>
      <c r="P413">
        <v>4</v>
      </c>
      <c r="Q413">
        <v>12</v>
      </c>
      <c r="R413">
        <v>8</v>
      </c>
      <c r="S413">
        <v>14</v>
      </c>
      <c r="T413">
        <v>13</v>
      </c>
      <c r="U413">
        <v>18</v>
      </c>
      <c r="V413">
        <v>12</v>
      </c>
      <c r="W413">
        <v>4</v>
      </c>
      <c r="X413">
        <v>6</v>
      </c>
      <c r="Y413">
        <v>5</v>
      </c>
      <c r="Z413">
        <v>2</v>
      </c>
      <c r="AA413">
        <v>0</v>
      </c>
      <c r="AB413" t="s">
        <v>50</v>
      </c>
      <c r="AC413" t="s">
        <v>34</v>
      </c>
      <c r="AD413" t="s">
        <v>35</v>
      </c>
      <c r="AE413">
        <v>4</v>
      </c>
      <c r="AF413">
        <v>2</v>
      </c>
      <c r="AG413" t="s">
        <v>2208</v>
      </c>
      <c r="AH413">
        <v>3</v>
      </c>
      <c r="AL413" t="s">
        <v>35</v>
      </c>
      <c r="AM413" t="s">
        <v>35</v>
      </c>
    </row>
    <row r="414" spans="1:40" x14ac:dyDescent="0.2">
      <c r="A414" s="4"/>
      <c r="B414" s="4" t="s">
        <v>2258</v>
      </c>
      <c r="C414" s="4" t="s">
        <v>2096</v>
      </c>
      <c r="D414" s="4" t="s">
        <v>2174</v>
      </c>
      <c r="E414" s="4" t="s">
        <v>2259</v>
      </c>
      <c r="F414" s="4" t="s">
        <v>2260</v>
      </c>
      <c r="G414" s="4">
        <v>89025425095</v>
      </c>
      <c r="H414" s="4" t="s">
        <v>2261</v>
      </c>
      <c r="I414" s="4"/>
      <c r="J414" s="4"/>
      <c r="K414" s="27">
        <v>96.2</v>
      </c>
      <c r="L414" s="4">
        <v>37</v>
      </c>
      <c r="M414">
        <v>0</v>
      </c>
      <c r="N414">
        <v>0</v>
      </c>
      <c r="O414">
        <v>0</v>
      </c>
      <c r="P414">
        <v>1</v>
      </c>
      <c r="Q414">
        <v>1</v>
      </c>
      <c r="R414">
        <v>3</v>
      </c>
      <c r="S414">
        <v>5</v>
      </c>
      <c r="T414">
        <v>8</v>
      </c>
      <c r="U414">
        <v>10</v>
      </c>
      <c r="V414">
        <v>3</v>
      </c>
      <c r="W414">
        <v>1</v>
      </c>
      <c r="X414">
        <v>4</v>
      </c>
      <c r="Y414">
        <v>1</v>
      </c>
      <c r="Z414">
        <v>0</v>
      </c>
      <c r="AA414">
        <v>0</v>
      </c>
    </row>
    <row r="415" spans="1:40" x14ac:dyDescent="0.2">
      <c r="A415" s="2">
        <v>45985.289004629631</v>
      </c>
      <c r="B415" t="s">
        <v>2223</v>
      </c>
      <c r="C415" t="s">
        <v>2096</v>
      </c>
      <c r="D415" t="s">
        <v>2107</v>
      </c>
      <c r="E415" t="s">
        <v>2224</v>
      </c>
      <c r="F415" t="s">
        <v>2225</v>
      </c>
      <c r="G415">
        <v>83846420656</v>
      </c>
      <c r="H415" t="s">
        <v>2226</v>
      </c>
      <c r="I415" t="s">
        <v>49</v>
      </c>
      <c r="J415" t="s">
        <v>34</v>
      </c>
      <c r="K415">
        <v>200</v>
      </c>
      <c r="L415">
        <v>10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2</v>
      </c>
      <c r="U415">
        <v>4</v>
      </c>
      <c r="V415">
        <v>1</v>
      </c>
      <c r="W415">
        <v>1</v>
      </c>
      <c r="X415">
        <v>2</v>
      </c>
      <c r="Y415">
        <v>0</v>
      </c>
      <c r="Z415">
        <v>0</v>
      </c>
      <c r="AA415">
        <v>0</v>
      </c>
      <c r="AB415" t="s">
        <v>255</v>
      </c>
      <c r="AC415" t="s">
        <v>35</v>
      </c>
      <c r="AD415" t="s">
        <v>34</v>
      </c>
      <c r="AE415">
        <v>1</v>
      </c>
      <c r="AF415">
        <v>0</v>
      </c>
      <c r="AG415" t="s">
        <v>2227</v>
      </c>
      <c r="AL415" t="s">
        <v>35</v>
      </c>
      <c r="AM415" t="s">
        <v>34</v>
      </c>
    </row>
    <row r="416" spans="1:40" x14ac:dyDescent="0.2">
      <c r="A416" s="2">
        <v>45985.312442129631</v>
      </c>
      <c r="B416" t="s">
        <v>2281</v>
      </c>
      <c r="C416" t="s">
        <v>2096</v>
      </c>
      <c r="D416" t="s">
        <v>2107</v>
      </c>
      <c r="E416" t="s">
        <v>2282</v>
      </c>
      <c r="F416" t="s">
        <v>2283</v>
      </c>
      <c r="G416">
        <v>83845628073</v>
      </c>
      <c r="H416" t="s">
        <v>2284</v>
      </c>
      <c r="I416" t="s">
        <v>49</v>
      </c>
      <c r="J416" t="s">
        <v>34</v>
      </c>
      <c r="K416">
        <v>331</v>
      </c>
      <c r="L416">
        <v>32</v>
      </c>
      <c r="M416" s="4">
        <v>0</v>
      </c>
      <c r="N416" s="4">
        <v>0</v>
      </c>
      <c r="O416" s="4">
        <v>0</v>
      </c>
      <c r="P416" s="4">
        <v>1</v>
      </c>
      <c r="Q416" s="4">
        <v>1</v>
      </c>
      <c r="R416" s="4">
        <v>3</v>
      </c>
      <c r="S416" s="4">
        <v>4</v>
      </c>
      <c r="T416" s="4">
        <v>6</v>
      </c>
      <c r="U416" s="4">
        <v>6</v>
      </c>
      <c r="V416" s="4">
        <v>6</v>
      </c>
      <c r="W416" s="4">
        <v>2</v>
      </c>
      <c r="X416" s="4">
        <v>2</v>
      </c>
      <c r="Y416" s="4">
        <v>1</v>
      </c>
      <c r="Z416" s="4">
        <v>0</v>
      </c>
      <c r="AA416" s="4">
        <v>0</v>
      </c>
      <c r="AB416" t="s">
        <v>299</v>
      </c>
      <c r="AC416" t="s">
        <v>34</v>
      </c>
      <c r="AD416" t="s">
        <v>34</v>
      </c>
      <c r="AE416">
        <v>1</v>
      </c>
      <c r="AF416">
        <v>0</v>
      </c>
      <c r="AG416" t="s">
        <v>48</v>
      </c>
      <c r="AL416" t="s">
        <v>35</v>
      </c>
      <c r="AM416" t="s">
        <v>34</v>
      </c>
      <c r="AN416" t="s">
        <v>2285</v>
      </c>
    </row>
    <row r="417" spans="1:40" x14ac:dyDescent="0.2">
      <c r="A417" s="2">
        <v>45985.319953703707</v>
      </c>
      <c r="B417" t="s">
        <v>2106</v>
      </c>
      <c r="C417" t="s">
        <v>2096</v>
      </c>
      <c r="D417" t="s">
        <v>2107</v>
      </c>
      <c r="E417" t="s">
        <v>2108</v>
      </c>
      <c r="F417" t="s">
        <v>2108</v>
      </c>
      <c r="G417">
        <v>83845367055</v>
      </c>
      <c r="H417" t="s">
        <v>2109</v>
      </c>
      <c r="I417" t="s">
        <v>49</v>
      </c>
      <c r="J417" t="s">
        <v>34</v>
      </c>
      <c r="K417">
        <v>151</v>
      </c>
      <c r="L417">
        <v>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C417" t="s">
        <v>35</v>
      </c>
      <c r="AD417" t="s">
        <v>35</v>
      </c>
      <c r="AE417">
        <v>2</v>
      </c>
      <c r="AF417">
        <v>0</v>
      </c>
      <c r="AG417">
        <v>0</v>
      </c>
      <c r="AL417" t="s">
        <v>35</v>
      </c>
      <c r="AM417" t="s">
        <v>34</v>
      </c>
    </row>
    <row r="418" spans="1:40" x14ac:dyDescent="0.2">
      <c r="A418" s="2">
        <v>46001.351747685178</v>
      </c>
      <c r="B418" t="s">
        <v>2175</v>
      </c>
      <c r="C418" t="s">
        <v>2096</v>
      </c>
      <c r="D418" t="s">
        <v>2107</v>
      </c>
      <c r="E418" t="s">
        <v>2176</v>
      </c>
      <c r="F418" t="s">
        <v>2177</v>
      </c>
      <c r="G418">
        <v>89236086754</v>
      </c>
      <c r="H418" t="s">
        <v>2178</v>
      </c>
      <c r="I418" t="s">
        <v>471</v>
      </c>
      <c r="J418" t="s">
        <v>34</v>
      </c>
      <c r="K418">
        <v>1500</v>
      </c>
      <c r="L418">
        <v>200</v>
      </c>
      <c r="M418">
        <v>0</v>
      </c>
      <c r="N418">
        <v>0</v>
      </c>
      <c r="O418">
        <v>0</v>
      </c>
      <c r="P418">
        <v>0</v>
      </c>
      <c r="Q418">
        <v>3</v>
      </c>
      <c r="R418">
        <v>3</v>
      </c>
      <c r="S418">
        <v>4</v>
      </c>
      <c r="T418">
        <v>5</v>
      </c>
      <c r="U418">
        <v>5</v>
      </c>
      <c r="V418">
        <v>10</v>
      </c>
      <c r="W418">
        <v>10</v>
      </c>
      <c r="X418">
        <v>20</v>
      </c>
      <c r="Y418">
        <v>20</v>
      </c>
      <c r="Z418">
        <v>30</v>
      </c>
      <c r="AA418">
        <v>90</v>
      </c>
      <c r="AB418" t="s">
        <v>131</v>
      </c>
      <c r="AC418" t="s">
        <v>35</v>
      </c>
      <c r="AD418" t="s">
        <v>35</v>
      </c>
      <c r="AE418">
        <v>7</v>
      </c>
      <c r="AF418">
        <v>0</v>
      </c>
      <c r="AG418" t="s">
        <v>2179</v>
      </c>
      <c r="AH418">
        <v>5</v>
      </c>
      <c r="AI418">
        <v>2</v>
      </c>
      <c r="AL418" t="s">
        <v>34</v>
      </c>
      <c r="AM418" t="s">
        <v>34</v>
      </c>
      <c r="AN418" t="s">
        <v>2180</v>
      </c>
    </row>
    <row r="419" spans="1:40" x14ac:dyDescent="0.2">
      <c r="A419" s="2">
        <v>45985.459918981483</v>
      </c>
      <c r="B419" t="s">
        <v>2217</v>
      </c>
      <c r="C419" t="s">
        <v>2096</v>
      </c>
      <c r="D419" t="s">
        <v>2107</v>
      </c>
      <c r="E419" t="s">
        <v>2218</v>
      </c>
      <c r="F419" t="s">
        <v>2219</v>
      </c>
      <c r="G419">
        <v>89234886519</v>
      </c>
      <c r="H419" t="s">
        <v>2220</v>
      </c>
      <c r="I419" t="s">
        <v>93</v>
      </c>
      <c r="J419" t="s">
        <v>114</v>
      </c>
      <c r="K419">
        <v>515</v>
      </c>
      <c r="L419">
        <v>97</v>
      </c>
      <c r="M419">
        <v>4</v>
      </c>
      <c r="N419">
        <v>2</v>
      </c>
      <c r="O419">
        <v>16</v>
      </c>
      <c r="P419">
        <v>0</v>
      </c>
      <c r="Q419">
        <v>0</v>
      </c>
      <c r="R419">
        <v>0</v>
      </c>
      <c r="S419">
        <v>6</v>
      </c>
      <c r="T419">
        <v>9</v>
      </c>
      <c r="U419">
        <v>14</v>
      </c>
      <c r="V419">
        <v>24</v>
      </c>
      <c r="W419">
        <v>10</v>
      </c>
      <c r="X419">
        <v>5</v>
      </c>
      <c r="Y419">
        <v>0</v>
      </c>
      <c r="Z419">
        <v>6</v>
      </c>
      <c r="AA419">
        <v>1</v>
      </c>
      <c r="AB419" t="s">
        <v>50</v>
      </c>
      <c r="AC419" t="s">
        <v>35</v>
      </c>
      <c r="AD419" t="s">
        <v>35</v>
      </c>
      <c r="AE419">
        <v>2</v>
      </c>
      <c r="AF419">
        <v>2</v>
      </c>
      <c r="AG419" t="s">
        <v>2221</v>
      </c>
      <c r="AH419">
        <v>1</v>
      </c>
      <c r="AL419" t="s">
        <v>35</v>
      </c>
      <c r="AM419" t="s">
        <v>34</v>
      </c>
      <c r="AN419" t="s">
        <v>2222</v>
      </c>
    </row>
    <row r="420" spans="1:40" x14ac:dyDescent="0.2">
      <c r="A420" s="2">
        <v>45986.52134259259</v>
      </c>
      <c r="B420" t="s">
        <v>2286</v>
      </c>
      <c r="C420" t="s">
        <v>2096</v>
      </c>
      <c r="D420" t="s">
        <v>2107</v>
      </c>
      <c r="E420" t="s">
        <v>2287</v>
      </c>
      <c r="F420" t="s">
        <v>2288</v>
      </c>
      <c r="G420" t="s">
        <v>2289</v>
      </c>
      <c r="H420" t="s">
        <v>2290</v>
      </c>
      <c r="I420" t="s">
        <v>2291</v>
      </c>
      <c r="J420" t="s">
        <v>34</v>
      </c>
      <c r="K420">
        <v>389</v>
      </c>
      <c r="L420">
        <v>112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10</v>
      </c>
      <c r="S420">
        <v>12</v>
      </c>
      <c r="T420">
        <v>12</v>
      </c>
      <c r="U420">
        <v>13</v>
      </c>
      <c r="V420">
        <v>15</v>
      </c>
      <c r="W420">
        <v>15</v>
      </c>
      <c r="X420">
        <v>14</v>
      </c>
      <c r="Y420">
        <v>9</v>
      </c>
      <c r="Z420">
        <v>8</v>
      </c>
      <c r="AA420">
        <v>4</v>
      </c>
      <c r="AB420" t="s">
        <v>189</v>
      </c>
      <c r="AC420" t="s">
        <v>35</v>
      </c>
      <c r="AD420" t="s">
        <v>35</v>
      </c>
      <c r="AE420">
        <v>4</v>
      </c>
      <c r="AF420">
        <v>0</v>
      </c>
      <c r="AG420" t="s">
        <v>2292</v>
      </c>
      <c r="AL420" t="s">
        <v>34</v>
      </c>
      <c r="AM420" t="s">
        <v>34</v>
      </c>
      <c r="AN420" t="s">
        <v>2293</v>
      </c>
    </row>
    <row r="421" spans="1:40" x14ac:dyDescent="0.2">
      <c r="A421" s="2">
        <v>45985.269004629627</v>
      </c>
      <c r="B421" t="s">
        <v>2294</v>
      </c>
      <c r="C421" t="s">
        <v>2096</v>
      </c>
      <c r="D421" t="s">
        <v>2107</v>
      </c>
      <c r="E421" t="s">
        <v>2295</v>
      </c>
      <c r="F421" t="s">
        <v>2296</v>
      </c>
      <c r="G421" t="s">
        <v>2297</v>
      </c>
      <c r="H421" t="s">
        <v>2298</v>
      </c>
      <c r="I421" t="s">
        <v>49</v>
      </c>
      <c r="J421" t="s">
        <v>34</v>
      </c>
      <c r="K421">
        <v>203</v>
      </c>
      <c r="L421">
        <v>32</v>
      </c>
      <c r="M421">
        <v>0</v>
      </c>
      <c r="N421">
        <v>0</v>
      </c>
      <c r="O421">
        <v>0</v>
      </c>
      <c r="P421">
        <v>0</v>
      </c>
      <c r="Q421">
        <v>7</v>
      </c>
      <c r="R421">
        <v>4</v>
      </c>
      <c r="S421">
        <v>2</v>
      </c>
      <c r="T421">
        <v>7</v>
      </c>
      <c r="U421">
        <v>8</v>
      </c>
      <c r="V421">
        <v>2</v>
      </c>
      <c r="W421">
        <v>2</v>
      </c>
      <c r="X421">
        <v>0</v>
      </c>
      <c r="Y421">
        <v>0</v>
      </c>
      <c r="Z421">
        <v>0</v>
      </c>
      <c r="AA421">
        <v>0</v>
      </c>
      <c r="AB421" t="s">
        <v>50</v>
      </c>
      <c r="AC421" t="s">
        <v>34</v>
      </c>
      <c r="AD421" t="s">
        <v>34</v>
      </c>
      <c r="AE421">
        <v>1</v>
      </c>
      <c r="AF421">
        <v>0</v>
      </c>
      <c r="AG421" t="s">
        <v>56</v>
      </c>
      <c r="AL421" t="s">
        <v>35</v>
      </c>
      <c r="AM421" t="s">
        <v>35</v>
      </c>
    </row>
    <row r="422" spans="1:40" x14ac:dyDescent="0.2">
      <c r="A422" s="2">
        <v>45994.490451388891</v>
      </c>
      <c r="B422" t="s">
        <v>2299</v>
      </c>
      <c r="C422" t="s">
        <v>2096</v>
      </c>
      <c r="D422" t="s">
        <v>2107</v>
      </c>
      <c r="E422" t="s">
        <v>2300</v>
      </c>
      <c r="F422" t="s">
        <v>2301</v>
      </c>
      <c r="G422" t="s">
        <v>2302</v>
      </c>
      <c r="H422" t="s">
        <v>2303</v>
      </c>
      <c r="I422" t="s">
        <v>49</v>
      </c>
      <c r="J422" t="s">
        <v>114</v>
      </c>
      <c r="K422">
        <v>524</v>
      </c>
      <c r="L422">
        <v>22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7</v>
      </c>
      <c r="U422">
        <v>7</v>
      </c>
      <c r="V422">
        <v>5</v>
      </c>
      <c r="W422">
        <v>1</v>
      </c>
      <c r="X422">
        <v>1</v>
      </c>
      <c r="Y422">
        <v>0</v>
      </c>
      <c r="Z422">
        <v>0</v>
      </c>
      <c r="AA422">
        <v>0</v>
      </c>
      <c r="AB422" t="s">
        <v>50</v>
      </c>
      <c r="AC422" t="s">
        <v>34</v>
      </c>
      <c r="AD422" t="s">
        <v>35</v>
      </c>
      <c r="AE422">
        <v>1</v>
      </c>
      <c r="AF422">
        <v>0</v>
      </c>
      <c r="AG422" t="s">
        <v>2304</v>
      </c>
      <c r="AH422">
        <v>1</v>
      </c>
      <c r="AL422" t="s">
        <v>35</v>
      </c>
      <c r="AM422" t="s">
        <v>35</v>
      </c>
    </row>
    <row r="423" spans="1:40" x14ac:dyDescent="0.2">
      <c r="A423" s="2">
        <v>45985.198900462958</v>
      </c>
      <c r="B423" t="s">
        <v>2333</v>
      </c>
      <c r="C423" t="s">
        <v>2096</v>
      </c>
      <c r="D423" t="s">
        <v>2107</v>
      </c>
      <c r="E423" t="s">
        <v>2334</v>
      </c>
      <c r="F423" t="s">
        <v>2335</v>
      </c>
      <c r="G423">
        <v>73843324088</v>
      </c>
      <c r="H423" t="s">
        <v>2336</v>
      </c>
      <c r="I423" t="s">
        <v>49</v>
      </c>
      <c r="J423" t="s">
        <v>114</v>
      </c>
      <c r="K423">
        <v>743</v>
      </c>
      <c r="L423">
        <v>70</v>
      </c>
      <c r="M423">
        <v>0</v>
      </c>
      <c r="N423">
        <v>0</v>
      </c>
      <c r="O423">
        <v>0</v>
      </c>
      <c r="P423">
        <v>3</v>
      </c>
      <c r="Q423">
        <v>0</v>
      </c>
      <c r="R423">
        <v>5</v>
      </c>
      <c r="S423">
        <v>10</v>
      </c>
      <c r="T423">
        <v>14</v>
      </c>
      <c r="U423">
        <v>13</v>
      </c>
      <c r="V423">
        <v>7</v>
      </c>
      <c r="W423">
        <v>8</v>
      </c>
      <c r="X423">
        <v>1</v>
      </c>
      <c r="Y423">
        <v>6</v>
      </c>
      <c r="Z423">
        <v>3</v>
      </c>
      <c r="AA423">
        <v>0</v>
      </c>
      <c r="AB423" t="s">
        <v>50</v>
      </c>
      <c r="AC423" t="s">
        <v>34</v>
      </c>
      <c r="AD423" t="s">
        <v>34</v>
      </c>
      <c r="AE423">
        <v>2</v>
      </c>
      <c r="AF423">
        <v>1</v>
      </c>
      <c r="AG423" t="s">
        <v>48</v>
      </c>
      <c r="AL423" t="s">
        <v>35</v>
      </c>
      <c r="AM423" t="s">
        <v>34</v>
      </c>
    </row>
    <row r="424" spans="1:40" x14ac:dyDescent="0.2">
      <c r="A424" s="2">
        <v>45985.226261574076</v>
      </c>
      <c r="B424" t="s">
        <v>2368</v>
      </c>
      <c r="C424" t="s">
        <v>2096</v>
      </c>
      <c r="D424" t="s">
        <v>2107</v>
      </c>
      <c r="E424" t="s">
        <v>2369</v>
      </c>
      <c r="F424" t="s">
        <v>2370</v>
      </c>
      <c r="G424">
        <v>83846625054</v>
      </c>
      <c r="H424" t="s">
        <v>2371</v>
      </c>
      <c r="I424" t="s">
        <v>49</v>
      </c>
      <c r="J424" t="s">
        <v>34</v>
      </c>
      <c r="K424">
        <v>72</v>
      </c>
      <c r="L424">
        <v>80</v>
      </c>
      <c r="M424">
        <v>0</v>
      </c>
      <c r="N424">
        <v>10</v>
      </c>
      <c r="O424">
        <v>10</v>
      </c>
      <c r="P424">
        <v>3</v>
      </c>
      <c r="Q424">
        <v>4</v>
      </c>
      <c r="R424">
        <v>7</v>
      </c>
      <c r="S424">
        <v>10</v>
      </c>
      <c r="T424">
        <v>18</v>
      </c>
      <c r="U424">
        <v>6</v>
      </c>
      <c r="V424">
        <v>9</v>
      </c>
      <c r="W424">
        <v>3</v>
      </c>
      <c r="X424">
        <v>0</v>
      </c>
      <c r="Y424">
        <v>0</v>
      </c>
      <c r="Z424">
        <v>0</v>
      </c>
      <c r="AA424">
        <v>0</v>
      </c>
      <c r="AB424" t="s">
        <v>939</v>
      </c>
      <c r="AC424" t="s">
        <v>34</v>
      </c>
      <c r="AD424" t="s">
        <v>34</v>
      </c>
      <c r="AE424">
        <v>1</v>
      </c>
      <c r="AF424">
        <v>0</v>
      </c>
      <c r="AG424" t="s">
        <v>48</v>
      </c>
      <c r="AL424" t="s">
        <v>35</v>
      </c>
      <c r="AM424" t="s">
        <v>34</v>
      </c>
      <c r="AN424" t="s">
        <v>2372</v>
      </c>
    </row>
    <row r="425" spans="1:40" x14ac:dyDescent="0.2">
      <c r="A425" s="2">
        <v>45995.197604166657</v>
      </c>
      <c r="B425" t="s">
        <v>2410</v>
      </c>
      <c r="C425" t="s">
        <v>2096</v>
      </c>
      <c r="D425" t="s">
        <v>2107</v>
      </c>
      <c r="E425" t="s">
        <v>2411</v>
      </c>
      <c r="F425" t="s">
        <v>2412</v>
      </c>
      <c r="G425" t="s">
        <v>2413</v>
      </c>
      <c r="H425" t="s">
        <v>2414</v>
      </c>
      <c r="I425" t="s">
        <v>33</v>
      </c>
      <c r="J425" t="s">
        <v>34</v>
      </c>
      <c r="K425">
        <v>72</v>
      </c>
      <c r="L425">
        <v>5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1</v>
      </c>
      <c r="V425" s="4">
        <v>2</v>
      </c>
      <c r="W425" s="4">
        <v>2</v>
      </c>
      <c r="X425" s="4">
        <v>0</v>
      </c>
      <c r="Y425" s="4">
        <v>0</v>
      </c>
      <c r="Z425" s="4">
        <v>0</v>
      </c>
      <c r="AA425" s="4">
        <v>0</v>
      </c>
      <c r="AC425" t="s">
        <v>35</v>
      </c>
      <c r="AD425" t="s">
        <v>34</v>
      </c>
      <c r="AE425">
        <v>1</v>
      </c>
      <c r="AF425">
        <v>0</v>
      </c>
      <c r="AG425" t="s">
        <v>48</v>
      </c>
      <c r="AL425" t="s">
        <v>35</v>
      </c>
      <c r="AM425" t="s">
        <v>34</v>
      </c>
    </row>
    <row r="426" spans="1:40" x14ac:dyDescent="0.2">
      <c r="A426" s="2">
        <v>45985.238391203697</v>
      </c>
      <c r="B426" t="s">
        <v>2471</v>
      </c>
      <c r="C426" t="s">
        <v>2096</v>
      </c>
      <c r="D426" t="s">
        <v>2107</v>
      </c>
      <c r="E426" t="s">
        <v>2472</v>
      </c>
      <c r="F426" t="s">
        <v>2473</v>
      </c>
      <c r="G426" t="s">
        <v>2474</v>
      </c>
      <c r="H426" t="s">
        <v>2475</v>
      </c>
      <c r="I426" t="s">
        <v>33</v>
      </c>
      <c r="J426" t="s">
        <v>34</v>
      </c>
      <c r="K426">
        <v>118</v>
      </c>
      <c r="L426">
        <v>22</v>
      </c>
      <c r="M426">
        <v>0</v>
      </c>
      <c r="N426">
        <v>0</v>
      </c>
      <c r="O426">
        <v>0</v>
      </c>
      <c r="P426">
        <v>1</v>
      </c>
      <c r="Q426">
        <v>4</v>
      </c>
      <c r="R426">
        <v>2</v>
      </c>
      <c r="S426">
        <v>5</v>
      </c>
      <c r="T426">
        <v>3</v>
      </c>
      <c r="U426">
        <v>0</v>
      </c>
      <c r="V426">
        <v>4</v>
      </c>
      <c r="W426">
        <v>0</v>
      </c>
      <c r="X426">
        <v>1</v>
      </c>
      <c r="Y426">
        <v>1</v>
      </c>
      <c r="Z426">
        <v>1</v>
      </c>
      <c r="AA426">
        <v>0</v>
      </c>
      <c r="AB426" t="s">
        <v>108</v>
      </c>
      <c r="AC426" t="s">
        <v>35</v>
      </c>
      <c r="AD426" t="s">
        <v>35</v>
      </c>
      <c r="AE426">
        <v>4</v>
      </c>
      <c r="AF426">
        <v>1</v>
      </c>
      <c r="AG426" t="s">
        <v>48</v>
      </c>
      <c r="AL426" t="s">
        <v>35</v>
      </c>
      <c r="AM426" t="s">
        <v>34</v>
      </c>
    </row>
    <row r="427" spans="1:40" x14ac:dyDescent="0.2">
      <c r="A427" s="2">
        <v>46000.421446759261</v>
      </c>
      <c r="B427" t="s">
        <v>2250</v>
      </c>
      <c r="C427" t="s">
        <v>2096</v>
      </c>
      <c r="D427" t="s">
        <v>447</v>
      </c>
      <c r="E427" t="s">
        <v>2251</v>
      </c>
      <c r="F427" t="s">
        <v>2252</v>
      </c>
      <c r="G427">
        <v>73912148389</v>
      </c>
      <c r="H427" t="s">
        <v>2253</v>
      </c>
      <c r="I427" t="s">
        <v>49</v>
      </c>
      <c r="J427" t="s">
        <v>34</v>
      </c>
      <c r="K427">
        <v>1500</v>
      </c>
      <c r="L427">
        <v>97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2</v>
      </c>
      <c r="W427">
        <v>0</v>
      </c>
      <c r="X427">
        <v>5</v>
      </c>
      <c r="Y427">
        <v>3</v>
      </c>
      <c r="Z427">
        <v>4</v>
      </c>
      <c r="AA427">
        <v>82</v>
      </c>
      <c r="AB427" t="s">
        <v>50</v>
      </c>
      <c r="AC427" t="s">
        <v>35</v>
      </c>
      <c r="AD427" t="s">
        <v>35</v>
      </c>
      <c r="AE427">
        <v>20</v>
      </c>
      <c r="AF427">
        <v>3</v>
      </c>
      <c r="AG427" t="s">
        <v>56</v>
      </c>
      <c r="AL427" t="s">
        <v>35</v>
      </c>
      <c r="AM427" t="s">
        <v>35</v>
      </c>
    </row>
    <row r="428" spans="1:40" x14ac:dyDescent="0.2">
      <c r="A428" s="2">
        <v>45985.298402777778</v>
      </c>
      <c r="B428" t="s">
        <v>2190</v>
      </c>
      <c r="C428" t="s">
        <v>2096</v>
      </c>
      <c r="D428" t="s">
        <v>447</v>
      </c>
      <c r="E428" t="s">
        <v>2191</v>
      </c>
      <c r="F428" t="s">
        <v>2192</v>
      </c>
      <c r="G428" t="s">
        <v>2193</v>
      </c>
      <c r="H428" t="s">
        <v>2194</v>
      </c>
      <c r="I428" t="s">
        <v>49</v>
      </c>
      <c r="J428" t="s">
        <v>34</v>
      </c>
      <c r="K428">
        <v>307</v>
      </c>
      <c r="L428">
        <v>63</v>
      </c>
      <c r="M428" s="4">
        <v>0</v>
      </c>
      <c r="N428" s="4">
        <v>0</v>
      </c>
      <c r="O428" s="4">
        <v>0</v>
      </c>
      <c r="P428" s="4">
        <v>5</v>
      </c>
      <c r="Q428" s="4">
        <v>5</v>
      </c>
      <c r="R428" s="4">
        <v>6</v>
      </c>
      <c r="S428" s="4">
        <v>8</v>
      </c>
      <c r="T428" s="4">
        <v>10</v>
      </c>
      <c r="U428" s="4">
        <v>9</v>
      </c>
      <c r="V428" s="4">
        <v>13</v>
      </c>
      <c r="W428" s="4">
        <v>7</v>
      </c>
      <c r="X428" s="4">
        <v>0</v>
      </c>
      <c r="Y428" s="4">
        <v>0</v>
      </c>
      <c r="Z428" s="4">
        <v>0</v>
      </c>
      <c r="AA428" s="4">
        <v>0</v>
      </c>
      <c r="AB428" t="s">
        <v>50</v>
      </c>
      <c r="AC428" t="s">
        <v>35</v>
      </c>
      <c r="AD428" t="s">
        <v>35</v>
      </c>
      <c r="AE428">
        <v>2</v>
      </c>
      <c r="AF428">
        <v>0</v>
      </c>
      <c r="AG428" t="s">
        <v>2195</v>
      </c>
      <c r="AL428" t="s">
        <v>35</v>
      </c>
      <c r="AM428" t="s">
        <v>35</v>
      </c>
      <c r="AN428" t="s">
        <v>56</v>
      </c>
    </row>
    <row r="429" spans="1:40" x14ac:dyDescent="0.2">
      <c r="A429" s="2">
        <v>45986.507013888891</v>
      </c>
      <c r="B429" t="s">
        <v>2120</v>
      </c>
      <c r="C429" t="s">
        <v>2096</v>
      </c>
      <c r="D429" t="s">
        <v>447</v>
      </c>
      <c r="E429" t="s">
        <v>2121</v>
      </c>
      <c r="F429" t="s">
        <v>2122</v>
      </c>
      <c r="G429">
        <v>83915162006</v>
      </c>
      <c r="H429" t="s">
        <v>2123</v>
      </c>
      <c r="I429" t="s">
        <v>33</v>
      </c>
      <c r="J429" t="s">
        <v>34</v>
      </c>
      <c r="K429">
        <v>246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50</v>
      </c>
      <c r="AC429" t="s">
        <v>35</v>
      </c>
      <c r="AD429" t="s">
        <v>34</v>
      </c>
      <c r="AE429">
        <v>1</v>
      </c>
      <c r="AF429">
        <v>0</v>
      </c>
      <c r="AG429" t="s">
        <v>2124</v>
      </c>
      <c r="AI429">
        <v>1</v>
      </c>
      <c r="AL429" t="s">
        <v>35</v>
      </c>
      <c r="AM429" t="s">
        <v>34</v>
      </c>
      <c r="AN429" t="s">
        <v>56</v>
      </c>
    </row>
    <row r="430" spans="1:40" x14ac:dyDescent="0.2">
      <c r="A430" s="2">
        <v>46001.22078703704</v>
      </c>
      <c r="B430" t="s">
        <v>2125</v>
      </c>
      <c r="C430" t="s">
        <v>2096</v>
      </c>
      <c r="D430" t="s">
        <v>447</v>
      </c>
      <c r="E430" t="s">
        <v>2126</v>
      </c>
      <c r="F430" t="s">
        <v>2127</v>
      </c>
      <c r="G430" t="s">
        <v>2128</v>
      </c>
      <c r="H430" t="s">
        <v>2129</v>
      </c>
      <c r="I430" t="s">
        <v>570</v>
      </c>
      <c r="J430" t="s">
        <v>34</v>
      </c>
      <c r="K430">
        <v>110</v>
      </c>
      <c r="L430">
        <v>11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4</v>
      </c>
      <c r="W430">
        <v>0</v>
      </c>
      <c r="X430">
        <v>2</v>
      </c>
      <c r="Y430">
        <v>0</v>
      </c>
      <c r="Z430">
        <v>0</v>
      </c>
      <c r="AA430">
        <v>5</v>
      </c>
      <c r="AB430" t="s">
        <v>108</v>
      </c>
      <c r="AC430" t="s">
        <v>35</v>
      </c>
      <c r="AD430" t="s">
        <v>35</v>
      </c>
      <c r="AE430">
        <v>2</v>
      </c>
      <c r="AF430">
        <v>0</v>
      </c>
      <c r="AG430" t="s">
        <v>56</v>
      </c>
      <c r="AL430" t="s">
        <v>35</v>
      </c>
      <c r="AM430" t="s">
        <v>35</v>
      </c>
      <c r="AN430" t="s">
        <v>2130</v>
      </c>
    </row>
    <row r="431" spans="1:40" x14ac:dyDescent="0.2">
      <c r="A431" s="2">
        <v>45994.503194444442</v>
      </c>
      <c r="B431" t="s">
        <v>2169</v>
      </c>
      <c r="C431" t="s">
        <v>2096</v>
      </c>
      <c r="D431" t="s">
        <v>447</v>
      </c>
      <c r="E431" t="s">
        <v>2170</v>
      </c>
      <c r="F431" t="s">
        <v>2171</v>
      </c>
      <c r="G431" t="s">
        <v>2172</v>
      </c>
      <c r="H431" t="s">
        <v>2173</v>
      </c>
      <c r="I431" t="s">
        <v>49</v>
      </c>
      <c r="J431" t="s">
        <v>34</v>
      </c>
      <c r="K431">
        <v>58</v>
      </c>
      <c r="L431">
        <v>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2</v>
      </c>
      <c r="U431">
        <v>0</v>
      </c>
      <c r="V431">
        <v>2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80</v>
      </c>
      <c r="AC431" t="s">
        <v>35</v>
      </c>
      <c r="AD431" t="s">
        <v>35</v>
      </c>
      <c r="AE431">
        <v>1</v>
      </c>
      <c r="AF431">
        <v>0</v>
      </c>
      <c r="AG431">
        <v>0</v>
      </c>
      <c r="AL431" t="s">
        <v>34</v>
      </c>
      <c r="AM431" t="s">
        <v>34</v>
      </c>
    </row>
    <row r="432" spans="1:40" x14ac:dyDescent="0.2">
      <c r="A432" s="2">
        <v>45985.289965277778</v>
      </c>
      <c r="B432" t="s">
        <v>2242</v>
      </c>
      <c r="C432" t="s">
        <v>2096</v>
      </c>
      <c r="D432" t="s">
        <v>447</v>
      </c>
      <c r="E432" t="s">
        <v>2238</v>
      </c>
      <c r="F432" t="s">
        <v>2243</v>
      </c>
      <c r="G432">
        <v>83912228240</v>
      </c>
      <c r="H432" t="s">
        <v>2244</v>
      </c>
      <c r="I432" t="s">
        <v>93</v>
      </c>
      <c r="J432" t="s">
        <v>188</v>
      </c>
      <c r="K432">
        <v>470</v>
      </c>
      <c r="L432">
        <v>170</v>
      </c>
      <c r="M432">
        <v>1</v>
      </c>
      <c r="N432">
        <v>3</v>
      </c>
      <c r="O432">
        <v>5</v>
      </c>
      <c r="P432">
        <v>2</v>
      </c>
      <c r="Q432">
        <v>14</v>
      </c>
      <c r="R432">
        <v>4</v>
      </c>
      <c r="S432">
        <v>10</v>
      </c>
      <c r="T432">
        <v>11</v>
      </c>
      <c r="U432">
        <v>14</v>
      </c>
      <c r="V432">
        <v>14</v>
      </c>
      <c r="W432">
        <v>23</v>
      </c>
      <c r="X432">
        <v>13</v>
      </c>
      <c r="Y432">
        <v>24</v>
      </c>
      <c r="Z432">
        <v>32</v>
      </c>
      <c r="AA432">
        <v>0</v>
      </c>
      <c r="AB432" t="s">
        <v>131</v>
      </c>
      <c r="AC432" t="s">
        <v>35</v>
      </c>
      <c r="AD432" t="s">
        <v>35</v>
      </c>
      <c r="AE432">
        <v>6</v>
      </c>
      <c r="AF432">
        <v>2</v>
      </c>
      <c r="AG432" t="s">
        <v>2245</v>
      </c>
      <c r="AH432">
        <v>4</v>
      </c>
      <c r="AI432">
        <v>1</v>
      </c>
      <c r="AJ432">
        <v>1</v>
      </c>
      <c r="AL432" t="s">
        <v>35</v>
      </c>
      <c r="AM432" t="s">
        <v>35</v>
      </c>
    </row>
    <row r="433" spans="1:40" x14ac:dyDescent="0.2">
      <c r="A433" s="2">
        <v>45989.255694444437</v>
      </c>
      <c r="B433" t="s">
        <v>2246</v>
      </c>
      <c r="C433" t="s">
        <v>2096</v>
      </c>
      <c r="D433" t="s">
        <v>447</v>
      </c>
      <c r="E433" t="s">
        <v>2238</v>
      </c>
      <c r="F433" t="s">
        <v>2247</v>
      </c>
      <c r="G433">
        <v>2228292</v>
      </c>
      <c r="H433" t="s">
        <v>2248</v>
      </c>
      <c r="I433" t="s">
        <v>471</v>
      </c>
      <c r="J433" t="s">
        <v>34</v>
      </c>
      <c r="K433">
        <v>100</v>
      </c>
      <c r="L433">
        <v>28</v>
      </c>
      <c r="M433">
        <v>19</v>
      </c>
      <c r="N433">
        <v>4</v>
      </c>
      <c r="O433">
        <v>5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50</v>
      </c>
      <c r="AC433" t="s">
        <v>34</v>
      </c>
      <c r="AD433" t="s">
        <v>34</v>
      </c>
      <c r="AE433">
        <v>3</v>
      </c>
      <c r="AF433">
        <v>0</v>
      </c>
      <c r="AG433" t="s">
        <v>2249</v>
      </c>
      <c r="AI433">
        <v>1</v>
      </c>
      <c r="AJ433">
        <v>1</v>
      </c>
      <c r="AL433" t="s">
        <v>34</v>
      </c>
      <c r="AM433" t="s">
        <v>34</v>
      </c>
    </row>
    <row r="434" spans="1:40" x14ac:dyDescent="0.2">
      <c r="A434" s="2">
        <v>45995.176712962973</v>
      </c>
      <c r="B434" t="s">
        <v>2305</v>
      </c>
      <c r="C434" t="s">
        <v>2096</v>
      </c>
      <c r="D434" t="s">
        <v>447</v>
      </c>
      <c r="E434" t="s">
        <v>2306</v>
      </c>
      <c r="F434" t="s">
        <v>2307</v>
      </c>
      <c r="G434">
        <v>3913225300</v>
      </c>
      <c r="H434" t="s">
        <v>2308</v>
      </c>
      <c r="I434" t="s">
        <v>93</v>
      </c>
      <c r="J434" t="s">
        <v>34</v>
      </c>
      <c r="K434">
        <v>150</v>
      </c>
      <c r="L434">
        <v>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</v>
      </c>
      <c r="X434">
        <v>0</v>
      </c>
      <c r="Y434">
        <v>0</v>
      </c>
      <c r="Z434">
        <v>0</v>
      </c>
      <c r="AA434">
        <v>0</v>
      </c>
      <c r="AB434" t="s">
        <v>2309</v>
      </c>
      <c r="AC434" t="s">
        <v>35</v>
      </c>
      <c r="AD434" t="s">
        <v>34</v>
      </c>
      <c r="AE434">
        <v>1</v>
      </c>
      <c r="AF434">
        <v>0</v>
      </c>
      <c r="AG434" t="s">
        <v>48</v>
      </c>
      <c r="AL434" t="s">
        <v>35</v>
      </c>
      <c r="AM434" t="s">
        <v>34</v>
      </c>
    </row>
    <row r="435" spans="1:40" x14ac:dyDescent="0.2">
      <c r="A435" s="2">
        <v>46001.505706018521</v>
      </c>
      <c r="B435" t="s">
        <v>2325</v>
      </c>
      <c r="C435" t="s">
        <v>2096</v>
      </c>
      <c r="D435" t="s">
        <v>447</v>
      </c>
      <c r="E435" t="s">
        <v>2326</v>
      </c>
      <c r="F435" t="s">
        <v>2327</v>
      </c>
      <c r="G435">
        <v>3917121540</v>
      </c>
      <c r="H435" t="s">
        <v>2328</v>
      </c>
      <c r="I435" t="s">
        <v>33</v>
      </c>
      <c r="J435" t="s">
        <v>34</v>
      </c>
      <c r="K435">
        <v>75</v>
      </c>
      <c r="L435">
        <v>15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5</v>
      </c>
      <c r="S435">
        <v>8</v>
      </c>
      <c r="T435">
        <v>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299</v>
      </c>
      <c r="AC435" t="s">
        <v>34</v>
      </c>
      <c r="AD435" t="s">
        <v>35</v>
      </c>
      <c r="AE435">
        <v>1</v>
      </c>
      <c r="AF435">
        <v>0</v>
      </c>
      <c r="AG435" t="s">
        <v>56</v>
      </c>
      <c r="AL435" t="s">
        <v>34</v>
      </c>
      <c r="AM435" t="s">
        <v>34</v>
      </c>
    </row>
    <row r="436" spans="1:40" x14ac:dyDescent="0.2">
      <c r="A436" s="2">
        <v>45985.215543981481</v>
      </c>
      <c r="B436" t="s">
        <v>2398</v>
      </c>
      <c r="C436" t="s">
        <v>2096</v>
      </c>
      <c r="D436" t="s">
        <v>447</v>
      </c>
      <c r="E436" t="s">
        <v>2399</v>
      </c>
      <c r="F436" t="s">
        <v>2400</v>
      </c>
      <c r="G436">
        <v>83919921744</v>
      </c>
      <c r="H436" t="s">
        <v>2401</v>
      </c>
      <c r="I436" t="s">
        <v>49</v>
      </c>
      <c r="J436" t="s">
        <v>34</v>
      </c>
      <c r="K436">
        <v>115</v>
      </c>
      <c r="L436">
        <v>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255</v>
      </c>
      <c r="AC436" t="s">
        <v>35</v>
      </c>
      <c r="AD436" t="s">
        <v>35</v>
      </c>
      <c r="AE436">
        <v>1</v>
      </c>
      <c r="AF436">
        <v>0</v>
      </c>
      <c r="AG436" t="s">
        <v>2402</v>
      </c>
      <c r="AL436" t="s">
        <v>35</v>
      </c>
      <c r="AM436" t="s">
        <v>34</v>
      </c>
    </row>
    <row r="437" spans="1:40" x14ac:dyDescent="0.2">
      <c r="A437" s="2">
        <v>45995.226643518523</v>
      </c>
      <c r="B437" t="s">
        <v>2461</v>
      </c>
      <c r="C437" t="s">
        <v>2096</v>
      </c>
      <c r="D437" t="s">
        <v>447</v>
      </c>
      <c r="E437" t="s">
        <v>2462</v>
      </c>
      <c r="F437" t="s">
        <v>2463</v>
      </c>
      <c r="G437" t="s">
        <v>2464</v>
      </c>
      <c r="H437" t="s">
        <v>2465</v>
      </c>
      <c r="I437" t="s">
        <v>49</v>
      </c>
      <c r="J437" t="s">
        <v>34</v>
      </c>
      <c r="K437">
        <v>248</v>
      </c>
      <c r="L437">
        <v>21</v>
      </c>
      <c r="M437">
        <v>0</v>
      </c>
      <c r="N437">
        <v>0</v>
      </c>
      <c r="O437">
        <v>0</v>
      </c>
      <c r="P437">
        <v>5</v>
      </c>
      <c r="Q437">
        <v>3</v>
      </c>
      <c r="R437">
        <v>7</v>
      </c>
      <c r="S437">
        <v>3</v>
      </c>
      <c r="T437">
        <v>1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 t="s">
        <v>939</v>
      </c>
      <c r="AC437" t="s">
        <v>35</v>
      </c>
      <c r="AD437" t="s">
        <v>34</v>
      </c>
      <c r="AE437">
        <v>1</v>
      </c>
      <c r="AF437">
        <v>0</v>
      </c>
      <c r="AG437" t="s">
        <v>48</v>
      </c>
      <c r="AL437" t="s">
        <v>35</v>
      </c>
      <c r="AM437" t="s">
        <v>34</v>
      </c>
    </row>
    <row r="438" spans="1:40" x14ac:dyDescent="0.2">
      <c r="A438" s="4"/>
      <c r="B438" s="4" t="s">
        <v>2237</v>
      </c>
      <c r="C438" s="4" t="s">
        <v>2096</v>
      </c>
      <c r="D438" s="4" t="s">
        <v>447</v>
      </c>
      <c r="E438" s="4" t="s">
        <v>2238</v>
      </c>
      <c r="F438" s="4" t="s">
        <v>2239</v>
      </c>
      <c r="G438" s="4" t="s">
        <v>2240</v>
      </c>
      <c r="H438" s="4" t="s">
        <v>2241</v>
      </c>
      <c r="I438" s="4"/>
      <c r="J438" s="4"/>
      <c r="K438" s="27">
        <v>344</v>
      </c>
      <c r="L438" s="4">
        <v>215</v>
      </c>
      <c r="M438">
        <v>30</v>
      </c>
      <c r="N438">
        <v>12</v>
      </c>
      <c r="O438">
        <v>13</v>
      </c>
      <c r="P438">
        <v>5</v>
      </c>
      <c r="Q438">
        <v>7</v>
      </c>
      <c r="R438">
        <v>34</v>
      </c>
      <c r="S438">
        <v>12</v>
      </c>
      <c r="T438">
        <v>13</v>
      </c>
      <c r="U438">
        <v>33</v>
      </c>
      <c r="V438">
        <v>19</v>
      </c>
      <c r="W438">
        <v>18</v>
      </c>
      <c r="X438">
        <v>16</v>
      </c>
      <c r="Y438">
        <v>3</v>
      </c>
      <c r="Z438">
        <v>0</v>
      </c>
      <c r="AA438">
        <v>0</v>
      </c>
    </row>
    <row r="439" spans="1:40" x14ac:dyDescent="0.2">
      <c r="A439" s="4"/>
      <c r="B439" s="4" t="s">
        <v>2319</v>
      </c>
      <c r="C439" s="4" t="s">
        <v>2096</v>
      </c>
      <c r="D439" s="4" t="s">
        <v>447</v>
      </c>
      <c r="E439" s="4" t="s">
        <v>2320</v>
      </c>
      <c r="F439" s="4" t="s">
        <v>2321</v>
      </c>
      <c r="G439" s="4" t="s">
        <v>2322</v>
      </c>
      <c r="H439" s="4" t="s">
        <v>2323</v>
      </c>
      <c r="I439" s="4"/>
      <c r="J439" s="4"/>
      <c r="K439" s="27">
        <v>41.6</v>
      </c>
      <c r="L439" s="4">
        <v>16</v>
      </c>
      <c r="M439">
        <v>0</v>
      </c>
      <c r="N439">
        <v>0</v>
      </c>
      <c r="O439">
        <v>5</v>
      </c>
      <c r="P439">
        <v>2</v>
      </c>
      <c r="Q439">
        <v>0</v>
      </c>
      <c r="R439">
        <v>0</v>
      </c>
      <c r="S439">
        <v>1</v>
      </c>
      <c r="T439">
        <v>1</v>
      </c>
      <c r="U439">
        <v>1</v>
      </c>
      <c r="V439">
        <v>1</v>
      </c>
      <c r="W439">
        <v>0</v>
      </c>
      <c r="X439">
        <v>0</v>
      </c>
      <c r="Y439">
        <v>5</v>
      </c>
      <c r="Z439">
        <v>0</v>
      </c>
      <c r="AA439">
        <v>0</v>
      </c>
    </row>
    <row r="440" spans="1:40" x14ac:dyDescent="0.2">
      <c r="A440" s="4"/>
      <c r="B440" s="4" t="s">
        <v>2314</v>
      </c>
      <c r="C440" s="4" t="s">
        <v>2096</v>
      </c>
      <c r="D440" s="4" t="s">
        <v>447</v>
      </c>
      <c r="E440" s="4" t="s">
        <v>2315</v>
      </c>
      <c r="F440" s="4" t="s">
        <v>2316</v>
      </c>
      <c r="G440" s="4" t="s">
        <v>2317</v>
      </c>
      <c r="H440" s="4" t="s">
        <v>2318</v>
      </c>
      <c r="I440" s="4"/>
      <c r="J440" s="4"/>
      <c r="K440" s="27">
        <v>111.8</v>
      </c>
      <c r="L440" s="4">
        <v>43</v>
      </c>
      <c r="M440">
        <v>0</v>
      </c>
      <c r="N440">
        <v>0</v>
      </c>
      <c r="O440">
        <v>0</v>
      </c>
      <c r="P440">
        <v>1</v>
      </c>
      <c r="Q440">
        <v>5</v>
      </c>
      <c r="R440">
        <v>9</v>
      </c>
      <c r="S440">
        <v>8</v>
      </c>
      <c r="T440">
        <v>6</v>
      </c>
      <c r="U440">
        <v>1</v>
      </c>
      <c r="V440">
        <v>4</v>
      </c>
      <c r="W440">
        <v>8</v>
      </c>
      <c r="X440">
        <v>1</v>
      </c>
      <c r="Y440">
        <v>0</v>
      </c>
      <c r="Z440">
        <v>0</v>
      </c>
      <c r="AA440">
        <v>0</v>
      </c>
    </row>
    <row r="441" spans="1:40" x14ac:dyDescent="0.2">
      <c r="A441" s="2">
        <v>45984.63177083333</v>
      </c>
      <c r="B441" t="s">
        <v>2209</v>
      </c>
      <c r="C441" t="s">
        <v>2096</v>
      </c>
      <c r="D441" t="s">
        <v>463</v>
      </c>
      <c r="E441" t="s">
        <v>2210</v>
      </c>
      <c r="F441" t="s">
        <v>2211</v>
      </c>
      <c r="G441">
        <v>3834327200</v>
      </c>
      <c r="H441" t="s">
        <v>2212</v>
      </c>
      <c r="I441" t="s">
        <v>33</v>
      </c>
      <c r="J441" t="s">
        <v>34</v>
      </c>
      <c r="K441">
        <v>1280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131</v>
      </c>
      <c r="AC441" t="s">
        <v>35</v>
      </c>
      <c r="AD441" t="s">
        <v>35</v>
      </c>
      <c r="AE441">
        <v>1</v>
      </c>
      <c r="AF441">
        <v>0</v>
      </c>
      <c r="AG441" t="s">
        <v>48</v>
      </c>
      <c r="AL441" t="s">
        <v>35</v>
      </c>
      <c r="AM441" t="s">
        <v>34</v>
      </c>
    </row>
    <row r="442" spans="1:40" x14ac:dyDescent="0.2">
      <c r="A442" s="2">
        <v>45985.347071759257</v>
      </c>
      <c r="B442" t="s">
        <v>2213</v>
      </c>
      <c r="C442" t="s">
        <v>2096</v>
      </c>
      <c r="D442" t="s">
        <v>463</v>
      </c>
      <c r="E442" t="s">
        <v>2214</v>
      </c>
      <c r="F442" t="s">
        <v>2215</v>
      </c>
      <c r="G442">
        <v>83836522248</v>
      </c>
      <c r="H442" t="s">
        <v>2216</v>
      </c>
      <c r="I442" t="s">
        <v>33</v>
      </c>
      <c r="J442" t="s">
        <v>34</v>
      </c>
      <c r="K442">
        <v>120</v>
      </c>
      <c r="L442">
        <v>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3</v>
      </c>
      <c r="V442">
        <v>0</v>
      </c>
      <c r="W442">
        <v>0</v>
      </c>
      <c r="X442">
        <v>0</v>
      </c>
      <c r="Y442">
        <v>0</v>
      </c>
      <c r="Z442">
        <v>3</v>
      </c>
      <c r="AA442">
        <v>0</v>
      </c>
      <c r="AB442" t="s">
        <v>50</v>
      </c>
      <c r="AC442" t="s">
        <v>35</v>
      </c>
      <c r="AD442" t="s">
        <v>35</v>
      </c>
      <c r="AE442">
        <v>0</v>
      </c>
      <c r="AF442">
        <v>0</v>
      </c>
      <c r="AG442">
        <v>0</v>
      </c>
      <c r="AL442" t="s">
        <v>35</v>
      </c>
      <c r="AM442" t="s">
        <v>34</v>
      </c>
    </row>
    <row r="443" spans="1:40" x14ac:dyDescent="0.2">
      <c r="A443" s="2">
        <v>45985.280891203707</v>
      </c>
      <c r="B443" t="s">
        <v>2337</v>
      </c>
      <c r="C443" t="s">
        <v>2096</v>
      </c>
      <c r="D443" t="s">
        <v>463</v>
      </c>
      <c r="E443" t="s">
        <v>2338</v>
      </c>
      <c r="F443" t="s">
        <v>2339</v>
      </c>
      <c r="G443" t="s">
        <v>2340</v>
      </c>
      <c r="H443" t="s">
        <v>2341</v>
      </c>
      <c r="I443" t="s">
        <v>49</v>
      </c>
      <c r="J443" t="s">
        <v>114</v>
      </c>
      <c r="K443">
        <v>1595</v>
      </c>
      <c r="L443">
        <v>61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14</v>
      </c>
      <c r="T443">
        <v>5</v>
      </c>
      <c r="U443">
        <v>10</v>
      </c>
      <c r="V443">
        <v>10</v>
      </c>
      <c r="W443">
        <v>7</v>
      </c>
      <c r="X443">
        <v>8</v>
      </c>
      <c r="Y443">
        <v>4</v>
      </c>
      <c r="Z443">
        <v>2</v>
      </c>
      <c r="AA443">
        <v>0</v>
      </c>
      <c r="AB443" t="s">
        <v>1144</v>
      </c>
      <c r="AC443" t="s">
        <v>35</v>
      </c>
      <c r="AD443" t="s">
        <v>34</v>
      </c>
      <c r="AE443">
        <v>2</v>
      </c>
      <c r="AF443">
        <v>0</v>
      </c>
      <c r="AG443" t="s">
        <v>2342</v>
      </c>
      <c r="AH443">
        <v>1</v>
      </c>
      <c r="AL443" t="s">
        <v>35</v>
      </c>
      <c r="AM443" t="s">
        <v>35</v>
      </c>
    </row>
    <row r="444" spans="1:40" x14ac:dyDescent="0.2">
      <c r="A444" s="2">
        <v>45994.259548611109</v>
      </c>
      <c r="B444" t="s">
        <v>2343</v>
      </c>
      <c r="C444" t="s">
        <v>2096</v>
      </c>
      <c r="D444" t="s">
        <v>463</v>
      </c>
      <c r="E444" t="s">
        <v>2338</v>
      </c>
      <c r="F444" t="s">
        <v>2344</v>
      </c>
      <c r="G444" t="s">
        <v>2345</v>
      </c>
      <c r="H444" t="s">
        <v>2346</v>
      </c>
      <c r="I444" t="s">
        <v>49</v>
      </c>
      <c r="J444" t="s">
        <v>34</v>
      </c>
      <c r="K444">
        <v>466</v>
      </c>
      <c r="L444">
        <v>52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2</v>
      </c>
      <c r="U444">
        <v>5</v>
      </c>
      <c r="V444">
        <v>18</v>
      </c>
      <c r="W444">
        <v>9</v>
      </c>
      <c r="X444">
        <v>13</v>
      </c>
      <c r="Y444">
        <v>2</v>
      </c>
      <c r="Z444">
        <v>2</v>
      </c>
      <c r="AA444">
        <v>0</v>
      </c>
      <c r="AB444" t="s">
        <v>94</v>
      </c>
      <c r="AC444" t="s">
        <v>34</v>
      </c>
      <c r="AD444" t="s">
        <v>35</v>
      </c>
      <c r="AE444">
        <v>2</v>
      </c>
      <c r="AF444">
        <v>2</v>
      </c>
      <c r="AG444" t="s">
        <v>2347</v>
      </c>
      <c r="AH444">
        <v>1</v>
      </c>
      <c r="AL444" t="s">
        <v>35</v>
      </c>
      <c r="AM444" t="s">
        <v>35</v>
      </c>
    </row>
    <row r="445" spans="1:40" x14ac:dyDescent="0.2">
      <c r="A445" s="2">
        <v>46003.306481481479</v>
      </c>
      <c r="B445" t="s">
        <v>2348</v>
      </c>
      <c r="C445" t="s">
        <v>2096</v>
      </c>
      <c r="D445" t="s">
        <v>463</v>
      </c>
      <c r="E445" t="s">
        <v>2338</v>
      </c>
      <c r="F445" t="s">
        <v>2349</v>
      </c>
      <c r="G445">
        <v>79134738850</v>
      </c>
      <c r="H445" t="s">
        <v>2350</v>
      </c>
      <c r="I445" t="s">
        <v>316</v>
      </c>
      <c r="J445" t="s">
        <v>34</v>
      </c>
      <c r="K445">
        <v>2000</v>
      </c>
      <c r="L445">
        <v>56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2</v>
      </c>
      <c r="T445" s="4">
        <v>2</v>
      </c>
      <c r="U445" s="4">
        <v>2</v>
      </c>
      <c r="V445" s="4">
        <v>3</v>
      </c>
      <c r="W445" s="4">
        <v>7</v>
      </c>
      <c r="X445" s="4">
        <v>6</v>
      </c>
      <c r="Y445" s="4">
        <v>1</v>
      </c>
      <c r="Z445" s="4">
        <v>11</v>
      </c>
      <c r="AA445" s="4">
        <v>22</v>
      </c>
      <c r="AB445" t="s">
        <v>62</v>
      </c>
      <c r="AC445" t="s">
        <v>35</v>
      </c>
      <c r="AD445" t="s">
        <v>35</v>
      </c>
      <c r="AE445">
        <v>1</v>
      </c>
      <c r="AF445">
        <v>1</v>
      </c>
      <c r="AG445" t="s">
        <v>2351</v>
      </c>
      <c r="AL445" t="s">
        <v>34</v>
      </c>
      <c r="AM445" t="s">
        <v>34</v>
      </c>
    </row>
    <row r="446" spans="1:40" x14ac:dyDescent="0.2">
      <c r="A446" s="2">
        <v>45988.451967592591</v>
      </c>
      <c r="B446" t="s">
        <v>2352</v>
      </c>
      <c r="C446" t="s">
        <v>2096</v>
      </c>
      <c r="D446" t="s">
        <v>463</v>
      </c>
      <c r="E446" t="s">
        <v>2353</v>
      </c>
      <c r="F446" t="s">
        <v>2354</v>
      </c>
      <c r="G446" t="s">
        <v>2355</v>
      </c>
      <c r="H446" t="s">
        <v>2356</v>
      </c>
      <c r="I446" t="s">
        <v>188</v>
      </c>
      <c r="J446" t="s">
        <v>518</v>
      </c>
      <c r="K446">
        <v>497</v>
      </c>
      <c r="L446">
        <v>78</v>
      </c>
      <c r="M446">
        <v>0</v>
      </c>
      <c r="N446">
        <v>0</v>
      </c>
      <c r="O446">
        <v>0</v>
      </c>
      <c r="P446">
        <v>0</v>
      </c>
      <c r="Q446">
        <v>2</v>
      </c>
      <c r="R446">
        <v>7</v>
      </c>
      <c r="S446">
        <v>1</v>
      </c>
      <c r="T446">
        <v>7</v>
      </c>
      <c r="U446">
        <v>25</v>
      </c>
      <c r="V446">
        <v>19</v>
      </c>
      <c r="W446">
        <v>8</v>
      </c>
      <c r="X446">
        <v>3</v>
      </c>
      <c r="Y446">
        <v>4</v>
      </c>
      <c r="Z446">
        <v>1</v>
      </c>
      <c r="AA446">
        <v>1</v>
      </c>
      <c r="AB446" t="s">
        <v>50</v>
      </c>
      <c r="AC446" t="s">
        <v>35</v>
      </c>
      <c r="AD446" t="s">
        <v>34</v>
      </c>
      <c r="AE446">
        <v>3</v>
      </c>
      <c r="AF446">
        <v>2</v>
      </c>
      <c r="AG446" t="s">
        <v>2357</v>
      </c>
      <c r="AH446">
        <v>3</v>
      </c>
      <c r="AL446" t="s">
        <v>35</v>
      </c>
      <c r="AM446" t="s">
        <v>34</v>
      </c>
    </row>
    <row r="447" spans="1:40" x14ac:dyDescent="0.2">
      <c r="A447" s="2">
        <v>45985.40966435185</v>
      </c>
      <c r="B447" t="s">
        <v>2358</v>
      </c>
      <c r="C447" t="s">
        <v>2096</v>
      </c>
      <c r="D447" t="s">
        <v>463</v>
      </c>
      <c r="E447" t="s">
        <v>2359</v>
      </c>
      <c r="F447" t="s">
        <v>2360</v>
      </c>
      <c r="G447" t="s">
        <v>2361</v>
      </c>
      <c r="H447" t="s">
        <v>2362</v>
      </c>
      <c r="I447" t="s">
        <v>33</v>
      </c>
      <c r="J447" t="s">
        <v>34</v>
      </c>
      <c r="K447">
        <v>27</v>
      </c>
      <c r="L447">
        <v>13</v>
      </c>
      <c r="M447">
        <v>0</v>
      </c>
      <c r="N447">
        <v>0</v>
      </c>
      <c r="O447">
        <v>0</v>
      </c>
      <c r="P447">
        <v>1</v>
      </c>
      <c r="Q447">
        <v>1</v>
      </c>
      <c r="R447">
        <v>0</v>
      </c>
      <c r="S447">
        <v>2</v>
      </c>
      <c r="T447">
        <v>2</v>
      </c>
      <c r="U447">
        <v>4</v>
      </c>
      <c r="V447">
        <v>2</v>
      </c>
      <c r="W447">
        <v>1</v>
      </c>
      <c r="X447">
        <v>0</v>
      </c>
      <c r="Y447">
        <v>0</v>
      </c>
      <c r="Z447">
        <v>0</v>
      </c>
      <c r="AA447">
        <v>0</v>
      </c>
      <c r="AB447" t="s">
        <v>1144</v>
      </c>
      <c r="AC447" t="s">
        <v>35</v>
      </c>
      <c r="AD447" t="s">
        <v>35</v>
      </c>
      <c r="AE447">
        <v>1</v>
      </c>
      <c r="AF447">
        <v>0</v>
      </c>
      <c r="AG447">
        <v>0</v>
      </c>
      <c r="AL447" t="s">
        <v>35</v>
      </c>
      <c r="AM447" t="s">
        <v>34</v>
      </c>
      <c r="AN447" t="s">
        <v>48</v>
      </c>
    </row>
    <row r="448" spans="1:40" x14ac:dyDescent="0.2">
      <c r="A448" s="4"/>
      <c r="B448" s="4" t="s">
        <v>2155</v>
      </c>
      <c r="C448" s="4" t="s">
        <v>2096</v>
      </c>
      <c r="D448" s="4" t="s">
        <v>463</v>
      </c>
      <c r="E448" s="4" t="s">
        <v>2156</v>
      </c>
      <c r="F448" s="4" t="s">
        <v>2157</v>
      </c>
      <c r="G448" s="4">
        <v>83834124794</v>
      </c>
      <c r="H448" s="4" t="s">
        <v>2158</v>
      </c>
      <c r="I448" s="4"/>
      <c r="J448" s="4"/>
      <c r="K448" s="27">
        <v>46.800000000000004</v>
      </c>
      <c r="L448" s="4">
        <v>18</v>
      </c>
      <c r="M448">
        <v>0</v>
      </c>
      <c r="N448">
        <v>1</v>
      </c>
      <c r="O448">
        <v>2</v>
      </c>
      <c r="P448">
        <v>4</v>
      </c>
      <c r="Q448">
        <v>6</v>
      </c>
      <c r="R448">
        <v>2</v>
      </c>
      <c r="S448">
        <v>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40" x14ac:dyDescent="0.2">
      <c r="A449" s="2">
        <v>45985.470856481479</v>
      </c>
      <c r="B449" t="s">
        <v>2181</v>
      </c>
      <c r="C449" t="s">
        <v>2096</v>
      </c>
      <c r="D449" t="s">
        <v>2182</v>
      </c>
      <c r="E449" t="s">
        <v>2183</v>
      </c>
      <c r="F449" t="s">
        <v>2184</v>
      </c>
      <c r="G449">
        <v>83014544365</v>
      </c>
      <c r="H449" t="s">
        <v>2185</v>
      </c>
      <c r="I449" t="s">
        <v>93</v>
      </c>
      <c r="J449" t="s">
        <v>34</v>
      </c>
      <c r="K449">
        <v>187</v>
      </c>
      <c r="L449">
        <v>53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2</v>
      </c>
      <c r="S449">
        <v>5</v>
      </c>
      <c r="T449">
        <v>2</v>
      </c>
      <c r="U449">
        <v>7</v>
      </c>
      <c r="V449">
        <v>6</v>
      </c>
      <c r="W449">
        <v>0</v>
      </c>
      <c r="X449">
        <v>10</v>
      </c>
      <c r="Y449">
        <v>10</v>
      </c>
      <c r="Z449">
        <v>6</v>
      </c>
      <c r="AA449">
        <v>4</v>
      </c>
      <c r="AB449" t="s">
        <v>50</v>
      </c>
      <c r="AC449" t="s">
        <v>35</v>
      </c>
      <c r="AD449" t="s">
        <v>34</v>
      </c>
      <c r="AE449">
        <v>3</v>
      </c>
      <c r="AF449">
        <v>1</v>
      </c>
      <c r="AG449" t="s">
        <v>48</v>
      </c>
      <c r="AL449" t="s">
        <v>35</v>
      </c>
      <c r="AM449" t="s">
        <v>34</v>
      </c>
    </row>
    <row r="450" spans="1:40" x14ac:dyDescent="0.2">
      <c r="A450" s="2">
        <v>46000.528310185182</v>
      </c>
      <c r="B450" t="s">
        <v>2186</v>
      </c>
      <c r="C450" t="s">
        <v>2096</v>
      </c>
      <c r="D450" t="s">
        <v>2182</v>
      </c>
      <c r="E450" t="s">
        <v>2183</v>
      </c>
      <c r="F450" t="s">
        <v>2187</v>
      </c>
      <c r="G450">
        <v>89246516787</v>
      </c>
      <c r="H450" t="s">
        <v>2188</v>
      </c>
      <c r="I450" t="s">
        <v>93</v>
      </c>
      <c r="J450" t="s">
        <v>34</v>
      </c>
      <c r="K450">
        <v>200</v>
      </c>
      <c r="L450">
        <v>60</v>
      </c>
      <c r="M450">
        <v>0</v>
      </c>
      <c r="N450">
        <v>0</v>
      </c>
      <c r="O450">
        <v>4</v>
      </c>
      <c r="P450">
        <v>24</v>
      </c>
      <c r="Q450">
        <v>5</v>
      </c>
      <c r="R450">
        <v>5</v>
      </c>
      <c r="S450">
        <v>0</v>
      </c>
      <c r="T450">
        <v>6</v>
      </c>
      <c r="U450">
        <v>6</v>
      </c>
      <c r="V450">
        <v>10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2189</v>
      </c>
      <c r="AC450" t="s">
        <v>35</v>
      </c>
      <c r="AD450" t="s">
        <v>35</v>
      </c>
      <c r="AE450">
        <v>2</v>
      </c>
      <c r="AF450">
        <v>0</v>
      </c>
      <c r="AG450" t="s">
        <v>56</v>
      </c>
      <c r="AL450" t="s">
        <v>35</v>
      </c>
      <c r="AM450" t="s">
        <v>34</v>
      </c>
    </row>
    <row r="451" spans="1:40" x14ac:dyDescent="0.2">
      <c r="A451" s="2">
        <v>45995.204097222217</v>
      </c>
      <c r="B451" t="s">
        <v>2431</v>
      </c>
      <c r="C451" t="s">
        <v>2096</v>
      </c>
      <c r="D451" t="s">
        <v>2182</v>
      </c>
      <c r="E451" t="s">
        <v>2432</v>
      </c>
      <c r="F451" t="s">
        <v>2433</v>
      </c>
      <c r="G451">
        <v>83012455025</v>
      </c>
      <c r="H451" t="s">
        <v>2434</v>
      </c>
      <c r="I451" t="s">
        <v>49</v>
      </c>
      <c r="J451" t="s">
        <v>114</v>
      </c>
      <c r="K451">
        <v>622</v>
      </c>
      <c r="L451">
        <v>86</v>
      </c>
      <c r="M451" s="4">
        <v>0</v>
      </c>
      <c r="N451" s="4">
        <v>0</v>
      </c>
      <c r="O451" s="4">
        <v>0</v>
      </c>
      <c r="P451" s="4">
        <v>0</v>
      </c>
      <c r="Q451" s="4">
        <v>2</v>
      </c>
      <c r="R451" s="4">
        <v>4</v>
      </c>
      <c r="S451" s="4">
        <v>11</v>
      </c>
      <c r="T451" s="4">
        <v>16</v>
      </c>
      <c r="U451" s="4">
        <v>12</v>
      </c>
      <c r="V451" s="4">
        <v>16</v>
      </c>
      <c r="W451" s="4">
        <v>13</v>
      </c>
      <c r="X451" s="4">
        <v>10</v>
      </c>
      <c r="Y451" s="4">
        <v>0</v>
      </c>
      <c r="Z451" s="4">
        <v>2</v>
      </c>
      <c r="AA451" s="4">
        <v>0</v>
      </c>
      <c r="AB451" t="s">
        <v>2435</v>
      </c>
      <c r="AC451" t="s">
        <v>35</v>
      </c>
      <c r="AD451" t="s">
        <v>34</v>
      </c>
      <c r="AE451">
        <v>4</v>
      </c>
      <c r="AF451">
        <v>2</v>
      </c>
      <c r="AG451" t="s">
        <v>2436</v>
      </c>
      <c r="AH451">
        <v>1</v>
      </c>
      <c r="AL451" t="s">
        <v>35</v>
      </c>
      <c r="AM451" t="s">
        <v>35</v>
      </c>
      <c r="AN451" t="s">
        <v>2437</v>
      </c>
    </row>
    <row r="452" spans="1:40" x14ac:dyDescent="0.2">
      <c r="A452" s="4"/>
      <c r="B452" s="4" t="s">
        <v>2277</v>
      </c>
      <c r="C452" s="4" t="s">
        <v>2096</v>
      </c>
      <c r="D452" s="4" t="s">
        <v>2182</v>
      </c>
      <c r="E452" s="4" t="s">
        <v>2278</v>
      </c>
      <c r="F452" s="4" t="s">
        <v>2279</v>
      </c>
      <c r="G452" s="4">
        <v>83014291513</v>
      </c>
      <c r="H452" s="4" t="s">
        <v>2280</v>
      </c>
      <c r="I452" s="4"/>
      <c r="J452" s="4"/>
      <c r="K452" s="27">
        <v>124.80000000000001</v>
      </c>
      <c r="L452" s="4">
        <v>48</v>
      </c>
      <c r="M452">
        <v>0</v>
      </c>
      <c r="N452">
        <v>0</v>
      </c>
      <c r="O452">
        <v>0</v>
      </c>
      <c r="P452">
        <v>2</v>
      </c>
      <c r="Q452">
        <v>5</v>
      </c>
      <c r="R452">
        <v>1</v>
      </c>
      <c r="S452">
        <v>7</v>
      </c>
      <c r="T452">
        <v>6</v>
      </c>
      <c r="U452">
        <v>7</v>
      </c>
      <c r="V452">
        <v>6</v>
      </c>
      <c r="W452">
        <v>5</v>
      </c>
      <c r="X452">
        <v>5</v>
      </c>
      <c r="Y452">
        <v>3</v>
      </c>
      <c r="Z452">
        <v>1</v>
      </c>
      <c r="AA452">
        <v>0</v>
      </c>
    </row>
    <row r="453" spans="1:40" x14ac:dyDescent="0.2">
      <c r="A453" s="2">
        <v>45994.474606481483</v>
      </c>
      <c r="B453" t="s">
        <v>2262</v>
      </c>
      <c r="C453" t="s">
        <v>2096</v>
      </c>
      <c r="D453" t="s">
        <v>2263</v>
      </c>
      <c r="E453" t="s">
        <v>2264</v>
      </c>
      <c r="F453" t="s">
        <v>2265</v>
      </c>
      <c r="G453">
        <v>89959646931</v>
      </c>
      <c r="H453" t="s">
        <v>2266</v>
      </c>
      <c r="I453" t="s">
        <v>2267</v>
      </c>
      <c r="J453" t="s">
        <v>34</v>
      </c>
      <c r="K453">
        <v>140</v>
      </c>
      <c r="L453">
        <v>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1</v>
      </c>
      <c r="AB453" t="s">
        <v>62</v>
      </c>
      <c r="AC453" t="s">
        <v>35</v>
      </c>
      <c r="AD453" t="s">
        <v>35</v>
      </c>
      <c r="AE453">
        <v>1</v>
      </c>
      <c r="AF453">
        <v>0</v>
      </c>
      <c r="AG453" t="s">
        <v>2268</v>
      </c>
      <c r="AH453">
        <v>1</v>
      </c>
      <c r="AL453" t="s">
        <v>34</v>
      </c>
      <c r="AM453" t="s">
        <v>34</v>
      </c>
    </row>
    <row r="454" spans="1:40" x14ac:dyDescent="0.2">
      <c r="A454" s="2">
        <v>45982.653657407413</v>
      </c>
      <c r="B454" t="s">
        <v>2269</v>
      </c>
      <c r="C454" t="s">
        <v>2096</v>
      </c>
      <c r="D454" t="s">
        <v>2263</v>
      </c>
      <c r="E454" t="s">
        <v>2264</v>
      </c>
      <c r="F454" t="s">
        <v>2270</v>
      </c>
      <c r="G454">
        <v>89059202734</v>
      </c>
      <c r="H454" t="s">
        <v>2271</v>
      </c>
      <c r="I454" t="s">
        <v>2272</v>
      </c>
      <c r="J454" t="s">
        <v>34</v>
      </c>
      <c r="K454">
        <v>135</v>
      </c>
      <c r="L454">
        <v>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1</v>
      </c>
      <c r="Y454">
        <v>0</v>
      </c>
      <c r="Z454">
        <v>0</v>
      </c>
      <c r="AA454">
        <v>0</v>
      </c>
      <c r="AB454" t="s">
        <v>62</v>
      </c>
      <c r="AC454" t="s">
        <v>35</v>
      </c>
      <c r="AD454" t="s">
        <v>34</v>
      </c>
      <c r="AE454">
        <v>2</v>
      </c>
      <c r="AF454">
        <v>0</v>
      </c>
      <c r="AG454" t="s">
        <v>56</v>
      </c>
      <c r="AL454" t="s">
        <v>34</v>
      </c>
      <c r="AM454" t="s">
        <v>34</v>
      </c>
    </row>
    <row r="455" spans="1:40" x14ac:dyDescent="0.2">
      <c r="A455" s="4"/>
      <c r="B455" s="4" t="s">
        <v>2273</v>
      </c>
      <c r="C455" s="4" t="s">
        <v>2096</v>
      </c>
      <c r="D455" s="4" t="s">
        <v>2263</v>
      </c>
      <c r="E455" s="4" t="s">
        <v>2274</v>
      </c>
      <c r="F455" s="4" t="s">
        <v>2275</v>
      </c>
      <c r="G455" s="4">
        <v>83944121022</v>
      </c>
      <c r="H455" s="4" t="s">
        <v>2276</v>
      </c>
      <c r="I455" s="4"/>
      <c r="J455" s="4"/>
      <c r="K455" s="27">
        <v>72.8</v>
      </c>
      <c r="L455" s="4">
        <v>28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10</v>
      </c>
      <c r="V455">
        <v>14</v>
      </c>
      <c r="W455">
        <v>4</v>
      </c>
      <c r="X455">
        <v>0</v>
      </c>
      <c r="Y455">
        <v>0</v>
      </c>
      <c r="Z455">
        <v>0</v>
      </c>
      <c r="AA455">
        <v>0</v>
      </c>
    </row>
    <row r="456" spans="1:40" x14ac:dyDescent="0.2">
      <c r="A456" s="4"/>
      <c r="B456" s="4" t="s">
        <v>2310</v>
      </c>
      <c r="C456" s="4" t="s">
        <v>2096</v>
      </c>
      <c r="D456" s="4" t="s">
        <v>2263</v>
      </c>
      <c r="E456" s="4" t="s">
        <v>2311</v>
      </c>
      <c r="F456" s="4" t="s">
        <v>2312</v>
      </c>
      <c r="G456" s="4">
        <v>89133403932</v>
      </c>
      <c r="H456" s="4" t="s">
        <v>2313</v>
      </c>
      <c r="I456" s="4"/>
      <c r="J456" s="4"/>
      <c r="K456" s="27">
        <v>49.4</v>
      </c>
      <c r="L456" s="4">
        <v>19</v>
      </c>
      <c r="M456">
        <v>0</v>
      </c>
      <c r="N456">
        <v>0</v>
      </c>
      <c r="O456">
        <v>3</v>
      </c>
      <c r="P456">
        <v>3</v>
      </c>
      <c r="Q456">
        <v>3</v>
      </c>
      <c r="R456">
        <v>4</v>
      </c>
      <c r="S456">
        <v>3</v>
      </c>
      <c r="T456">
        <v>2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40" x14ac:dyDescent="0.2">
      <c r="A457" s="2">
        <v>45996.454560185193</v>
      </c>
      <c r="B457" t="s">
        <v>2095</v>
      </c>
      <c r="C457" t="s">
        <v>2096</v>
      </c>
      <c r="D457" t="s">
        <v>2097</v>
      </c>
      <c r="E457" t="s">
        <v>2098</v>
      </c>
      <c r="F457" t="s">
        <v>2099</v>
      </c>
      <c r="G457">
        <v>73904725777</v>
      </c>
      <c r="H457" t="s">
        <v>2100</v>
      </c>
      <c r="I457" t="s">
        <v>49</v>
      </c>
      <c r="J457" t="s">
        <v>34</v>
      </c>
      <c r="K457">
        <v>126</v>
      </c>
      <c r="L457">
        <v>31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</v>
      </c>
      <c r="S457">
        <v>7</v>
      </c>
      <c r="T457">
        <v>8</v>
      </c>
      <c r="U457">
        <v>4</v>
      </c>
      <c r="V457">
        <v>4</v>
      </c>
      <c r="W457">
        <v>0</v>
      </c>
      <c r="X457">
        <v>2</v>
      </c>
      <c r="Y457">
        <v>2</v>
      </c>
      <c r="Z457">
        <v>2</v>
      </c>
      <c r="AA457">
        <v>0</v>
      </c>
      <c r="AB457" t="s">
        <v>207</v>
      </c>
      <c r="AC457" t="s">
        <v>35</v>
      </c>
      <c r="AD457" t="s">
        <v>34</v>
      </c>
      <c r="AE457">
        <v>2</v>
      </c>
      <c r="AF457">
        <v>0</v>
      </c>
      <c r="AG457" t="s">
        <v>56</v>
      </c>
      <c r="AL457" t="s">
        <v>35</v>
      </c>
      <c r="AM457" t="s">
        <v>35</v>
      </c>
    </row>
    <row r="458" spans="1:40" x14ac:dyDescent="0.2">
      <c r="A458" s="2">
        <v>45996.519849537042</v>
      </c>
      <c r="B458" t="s">
        <v>2101</v>
      </c>
      <c r="C458" t="s">
        <v>2096</v>
      </c>
      <c r="D458" t="s">
        <v>2097</v>
      </c>
      <c r="E458" t="s">
        <v>2102</v>
      </c>
      <c r="F458" t="s">
        <v>2103</v>
      </c>
      <c r="G458" t="s">
        <v>2104</v>
      </c>
      <c r="H458" t="s">
        <v>2105</v>
      </c>
      <c r="I458" t="s">
        <v>49</v>
      </c>
      <c r="J458" t="s">
        <v>34</v>
      </c>
      <c r="K458">
        <v>392</v>
      </c>
      <c r="L458">
        <v>88</v>
      </c>
      <c r="M458" s="4">
        <v>19</v>
      </c>
      <c r="N458" s="4">
        <v>2</v>
      </c>
      <c r="O458" s="4">
        <v>1</v>
      </c>
      <c r="P458" s="4">
        <v>3</v>
      </c>
      <c r="Q458" s="4">
        <v>6</v>
      </c>
      <c r="R458" s="4">
        <v>7</v>
      </c>
      <c r="S458" s="4">
        <v>12</v>
      </c>
      <c r="T458" s="4">
        <v>8</v>
      </c>
      <c r="U458" s="4">
        <v>5</v>
      </c>
      <c r="V458" s="4">
        <v>7</v>
      </c>
      <c r="W458" s="4">
        <v>2</v>
      </c>
      <c r="X458" s="4">
        <v>2</v>
      </c>
      <c r="Y458" s="4">
        <v>2</v>
      </c>
      <c r="Z458" s="4">
        <v>12</v>
      </c>
      <c r="AA458" s="4">
        <v>0</v>
      </c>
      <c r="AB458" t="s">
        <v>50</v>
      </c>
      <c r="AC458" t="s">
        <v>34</v>
      </c>
      <c r="AD458" t="s">
        <v>34</v>
      </c>
      <c r="AE458">
        <v>2</v>
      </c>
      <c r="AF458">
        <v>2</v>
      </c>
      <c r="AG458">
        <v>0</v>
      </c>
      <c r="AL458" t="s">
        <v>35</v>
      </c>
      <c r="AM458" t="s">
        <v>34</v>
      </c>
    </row>
    <row r="459" spans="1:40" x14ac:dyDescent="0.2">
      <c r="A459" s="2">
        <v>45985.285833333342</v>
      </c>
      <c r="B459" t="s">
        <v>2403</v>
      </c>
      <c r="C459" t="s">
        <v>2096</v>
      </c>
      <c r="D459" t="s">
        <v>2097</v>
      </c>
      <c r="E459" t="s">
        <v>2404</v>
      </c>
      <c r="F459" t="s">
        <v>2405</v>
      </c>
      <c r="G459" t="s">
        <v>2406</v>
      </c>
      <c r="H459" t="s">
        <v>2407</v>
      </c>
      <c r="I459" t="s">
        <v>49</v>
      </c>
      <c r="J459" t="s">
        <v>34</v>
      </c>
      <c r="K459">
        <v>96</v>
      </c>
      <c r="L459">
        <v>4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1</v>
      </c>
      <c r="Y459">
        <v>0</v>
      </c>
      <c r="Z459">
        <v>0</v>
      </c>
      <c r="AA459">
        <v>0</v>
      </c>
      <c r="AB459" t="s">
        <v>2408</v>
      </c>
      <c r="AC459" t="s">
        <v>35</v>
      </c>
      <c r="AD459" t="s">
        <v>35</v>
      </c>
      <c r="AE459">
        <v>1</v>
      </c>
      <c r="AF459">
        <v>0</v>
      </c>
      <c r="AG459" t="s">
        <v>2409</v>
      </c>
      <c r="AL459" t="s">
        <v>34</v>
      </c>
      <c r="AM459" t="s">
        <v>34</v>
      </c>
    </row>
    <row r="460" spans="1:40" x14ac:dyDescent="0.2">
      <c r="A460" s="4"/>
      <c r="B460" s="4" t="s">
        <v>2159</v>
      </c>
      <c r="C460" s="4" t="s">
        <v>2096</v>
      </c>
      <c r="D460" s="4" t="s">
        <v>2097</v>
      </c>
      <c r="E460" s="4" t="s">
        <v>2160</v>
      </c>
      <c r="F460" s="4" t="s">
        <v>2161</v>
      </c>
      <c r="G460" s="4">
        <v>9130516766</v>
      </c>
      <c r="H460" s="4" t="s">
        <v>2162</v>
      </c>
      <c r="I460" s="4"/>
      <c r="J460" s="4"/>
      <c r="K460" s="27">
        <v>62.400000000000006</v>
      </c>
      <c r="L460" s="4">
        <v>24</v>
      </c>
      <c r="M460">
        <v>0</v>
      </c>
      <c r="N460">
        <v>0</v>
      </c>
      <c r="O460">
        <v>0</v>
      </c>
      <c r="P460">
        <v>0</v>
      </c>
      <c r="Q460">
        <v>7</v>
      </c>
      <c r="R460">
        <v>4</v>
      </c>
      <c r="S460">
        <v>13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40" x14ac:dyDescent="0.2">
      <c r="A461" s="4"/>
      <c r="B461" s="4" t="s">
        <v>2116</v>
      </c>
      <c r="C461" s="4" t="s">
        <v>2096</v>
      </c>
      <c r="D461" s="4" t="s">
        <v>2111</v>
      </c>
      <c r="E461" s="4" t="s">
        <v>2117</v>
      </c>
      <c r="F461" s="4" t="s">
        <v>2118</v>
      </c>
      <c r="G461" s="4">
        <v>89528987303</v>
      </c>
      <c r="H461" s="4" t="s">
        <v>2119</v>
      </c>
      <c r="I461" s="4"/>
      <c r="J461" s="4"/>
      <c r="K461" s="27">
        <v>111.8</v>
      </c>
      <c r="L461" s="4">
        <v>43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8</v>
      </c>
      <c r="U461">
        <v>12</v>
      </c>
      <c r="V461">
        <v>11</v>
      </c>
      <c r="W461">
        <v>12</v>
      </c>
      <c r="X461">
        <v>0</v>
      </c>
      <c r="Y461">
        <v>0</v>
      </c>
      <c r="Z461">
        <v>0</v>
      </c>
      <c r="AA461">
        <v>0</v>
      </c>
    </row>
    <row r="462" spans="1:40" x14ac:dyDescent="0.2">
      <c r="A462" s="4"/>
      <c r="B462" s="4" t="s">
        <v>2233</v>
      </c>
      <c r="C462" s="4" t="s">
        <v>2096</v>
      </c>
      <c r="D462" s="4" t="s">
        <v>2111</v>
      </c>
      <c r="E462" s="4" t="s">
        <v>2234</v>
      </c>
      <c r="F462" s="4" t="s">
        <v>2235</v>
      </c>
      <c r="G462" s="4">
        <v>89138737807</v>
      </c>
      <c r="H462" s="4" t="s">
        <v>2236</v>
      </c>
      <c r="I462" s="4"/>
      <c r="J462" s="4"/>
      <c r="K462" s="27">
        <v>52</v>
      </c>
      <c r="L462" s="4">
        <v>20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10</v>
      </c>
      <c r="T462">
        <v>10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40" x14ac:dyDescent="0.2">
      <c r="A463" s="4"/>
      <c r="B463" s="4" t="s">
        <v>2363</v>
      </c>
      <c r="C463" s="4" t="s">
        <v>2096</v>
      </c>
      <c r="D463" s="4" t="s">
        <v>2111</v>
      </c>
      <c r="E463" s="4" t="s">
        <v>2364</v>
      </c>
      <c r="F463" s="4" t="s">
        <v>2365</v>
      </c>
      <c r="G463" s="4" t="s">
        <v>2366</v>
      </c>
      <c r="H463" s="4" t="s">
        <v>2367</v>
      </c>
      <c r="I463" s="4"/>
      <c r="J463" s="4"/>
      <c r="K463" s="27">
        <v>70.2</v>
      </c>
      <c r="L463" s="4">
        <v>27</v>
      </c>
      <c r="M463">
        <v>0</v>
      </c>
      <c r="N463">
        <v>0</v>
      </c>
      <c r="O463">
        <v>0</v>
      </c>
      <c r="P463">
        <v>12</v>
      </c>
      <c r="Q463">
        <v>0</v>
      </c>
      <c r="R463">
        <v>0</v>
      </c>
      <c r="S463">
        <v>7</v>
      </c>
      <c r="T463">
        <v>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40" x14ac:dyDescent="0.2">
      <c r="A464" s="2">
        <v>45983.361840277779</v>
      </c>
      <c r="B464" t="s">
        <v>2110</v>
      </c>
      <c r="C464" t="s">
        <v>2096</v>
      </c>
      <c r="D464" t="s">
        <v>2111</v>
      </c>
      <c r="E464" t="s">
        <v>2112</v>
      </c>
      <c r="F464" t="s">
        <v>2113</v>
      </c>
      <c r="G464">
        <v>89528833860</v>
      </c>
      <c r="H464" t="s">
        <v>2114</v>
      </c>
      <c r="I464" t="s">
        <v>49</v>
      </c>
      <c r="J464" t="s">
        <v>34</v>
      </c>
      <c r="K464">
        <v>109</v>
      </c>
      <c r="L464">
        <v>25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5</v>
      </c>
      <c r="T464">
        <v>5</v>
      </c>
      <c r="U464">
        <v>5</v>
      </c>
      <c r="V464">
        <v>5</v>
      </c>
      <c r="W464">
        <v>5</v>
      </c>
      <c r="X464">
        <v>0</v>
      </c>
      <c r="Y464">
        <v>0</v>
      </c>
      <c r="Z464">
        <v>0</v>
      </c>
      <c r="AA464">
        <v>0</v>
      </c>
      <c r="AB464" t="s">
        <v>50</v>
      </c>
      <c r="AC464" t="s">
        <v>35</v>
      </c>
      <c r="AD464" t="s">
        <v>35</v>
      </c>
      <c r="AE464">
        <v>1</v>
      </c>
      <c r="AF464">
        <v>0</v>
      </c>
      <c r="AG464" t="s">
        <v>2115</v>
      </c>
      <c r="AL464" t="s">
        <v>34</v>
      </c>
      <c r="AM464" t="s">
        <v>34</v>
      </c>
    </row>
    <row r="465" spans="1:40" x14ac:dyDescent="0.2">
      <c r="A465" s="2">
        <v>45985.192291666674</v>
      </c>
      <c r="B465" t="s">
        <v>2228</v>
      </c>
      <c r="C465" t="s">
        <v>2096</v>
      </c>
      <c r="D465" t="s">
        <v>2111</v>
      </c>
      <c r="E465" t="s">
        <v>2229</v>
      </c>
      <c r="F465" t="s">
        <v>2230</v>
      </c>
      <c r="G465" t="s">
        <v>2231</v>
      </c>
      <c r="H465" t="s">
        <v>2232</v>
      </c>
      <c r="I465" t="s">
        <v>49</v>
      </c>
      <c r="J465" t="s">
        <v>34</v>
      </c>
      <c r="K465">
        <v>32</v>
      </c>
      <c r="L465">
        <v>2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1</v>
      </c>
      <c r="Y465">
        <v>0</v>
      </c>
      <c r="Z465">
        <v>0</v>
      </c>
      <c r="AA465">
        <v>0</v>
      </c>
      <c r="AB465" t="s">
        <v>108</v>
      </c>
      <c r="AC465" t="s">
        <v>35</v>
      </c>
      <c r="AD465" t="s">
        <v>34</v>
      </c>
      <c r="AE465">
        <v>1</v>
      </c>
      <c r="AF465">
        <v>0</v>
      </c>
      <c r="AG465" t="s">
        <v>48</v>
      </c>
      <c r="AL465" t="s">
        <v>35</v>
      </c>
      <c r="AM465" t="s">
        <v>34</v>
      </c>
    </row>
    <row r="466" spans="1:40" x14ac:dyDescent="0.2">
      <c r="A466" s="2">
        <v>45985.522164351853</v>
      </c>
      <c r="B466" t="s">
        <v>2415</v>
      </c>
      <c r="C466" t="s">
        <v>2096</v>
      </c>
      <c r="D466" t="s">
        <v>2111</v>
      </c>
      <c r="E466" t="s">
        <v>2416</v>
      </c>
      <c r="F466" t="s">
        <v>2417</v>
      </c>
      <c r="G466" t="s">
        <v>2418</v>
      </c>
      <c r="H466" t="s">
        <v>2419</v>
      </c>
      <c r="I466" t="s">
        <v>49</v>
      </c>
      <c r="J466" t="s">
        <v>114</v>
      </c>
      <c r="K466">
        <v>719</v>
      </c>
      <c r="L466">
        <v>36</v>
      </c>
      <c r="M466" s="4">
        <v>0</v>
      </c>
      <c r="N466" s="4">
        <v>0</v>
      </c>
      <c r="O466" s="4">
        <v>0</v>
      </c>
      <c r="P466" s="4">
        <v>0</v>
      </c>
      <c r="Q466" s="4">
        <v>2</v>
      </c>
      <c r="R466" s="4">
        <v>5</v>
      </c>
      <c r="S466" s="4">
        <v>2</v>
      </c>
      <c r="T466" s="4">
        <v>12</v>
      </c>
      <c r="U466" s="4">
        <v>5</v>
      </c>
      <c r="V466" s="4">
        <v>4</v>
      </c>
      <c r="W466" s="4">
        <v>2</v>
      </c>
      <c r="X466" s="4">
        <v>1</v>
      </c>
      <c r="Y466" s="4">
        <v>3</v>
      </c>
      <c r="Z466" s="4">
        <v>0</v>
      </c>
      <c r="AA466" s="4">
        <v>0</v>
      </c>
      <c r="AB466" t="s">
        <v>50</v>
      </c>
      <c r="AC466" t="s">
        <v>35</v>
      </c>
      <c r="AD466" t="s">
        <v>35</v>
      </c>
      <c r="AE466">
        <v>2</v>
      </c>
      <c r="AF466">
        <v>0</v>
      </c>
      <c r="AG466" t="s">
        <v>2420</v>
      </c>
      <c r="AH466">
        <v>1</v>
      </c>
      <c r="AL466" t="s">
        <v>35</v>
      </c>
      <c r="AM466" t="s">
        <v>34</v>
      </c>
    </row>
    <row r="467" spans="1:40" x14ac:dyDescent="0.2">
      <c r="A467" s="2">
        <v>45985.536990740737</v>
      </c>
      <c r="B467" t="s">
        <v>2421</v>
      </c>
      <c r="C467" t="s">
        <v>2096</v>
      </c>
      <c r="D467" t="s">
        <v>2111</v>
      </c>
      <c r="E467" t="s">
        <v>2416</v>
      </c>
      <c r="F467" t="s">
        <v>2422</v>
      </c>
      <c r="G467" t="s">
        <v>2423</v>
      </c>
      <c r="H467" t="s">
        <v>2424</v>
      </c>
      <c r="I467" t="s">
        <v>49</v>
      </c>
      <c r="J467" t="s">
        <v>34</v>
      </c>
      <c r="K467">
        <v>248</v>
      </c>
      <c r="L467">
        <v>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1</v>
      </c>
      <c r="AA467">
        <v>0</v>
      </c>
      <c r="AB467" t="s">
        <v>50</v>
      </c>
      <c r="AC467" t="s">
        <v>35</v>
      </c>
      <c r="AD467" t="s">
        <v>34</v>
      </c>
      <c r="AE467">
        <v>0</v>
      </c>
      <c r="AF467">
        <v>0</v>
      </c>
      <c r="AG467">
        <v>0</v>
      </c>
      <c r="AL467" t="s">
        <v>34</v>
      </c>
      <c r="AM467" t="s">
        <v>34</v>
      </c>
    </row>
    <row r="468" spans="1:40" x14ac:dyDescent="0.2">
      <c r="A468" s="2">
        <v>46001.404270833344</v>
      </c>
      <c r="B468" t="s">
        <v>2425</v>
      </c>
      <c r="C468" t="s">
        <v>2096</v>
      </c>
      <c r="D468" t="s">
        <v>2111</v>
      </c>
      <c r="E468" t="s">
        <v>2426</v>
      </c>
      <c r="F468" t="s">
        <v>2427</v>
      </c>
      <c r="G468">
        <v>79069596924</v>
      </c>
      <c r="H468" t="s">
        <v>2428</v>
      </c>
      <c r="I468" t="s">
        <v>2429</v>
      </c>
      <c r="J468" t="s">
        <v>34</v>
      </c>
      <c r="K468">
        <v>150</v>
      </c>
      <c r="L468">
        <v>27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14</v>
      </c>
      <c r="W468">
        <v>8</v>
      </c>
      <c r="X468">
        <v>2</v>
      </c>
      <c r="Y468">
        <v>0</v>
      </c>
      <c r="Z468">
        <v>0</v>
      </c>
      <c r="AA468">
        <v>2</v>
      </c>
      <c r="AB468" t="s">
        <v>50</v>
      </c>
      <c r="AC468" t="s">
        <v>34</v>
      </c>
      <c r="AD468" t="s">
        <v>35</v>
      </c>
      <c r="AE468">
        <v>2</v>
      </c>
      <c r="AF468">
        <v>0</v>
      </c>
      <c r="AG468" t="s">
        <v>2430</v>
      </c>
      <c r="AH468">
        <v>1</v>
      </c>
      <c r="AL468" t="s">
        <v>35</v>
      </c>
      <c r="AM468" t="s">
        <v>35</v>
      </c>
    </row>
    <row r="469" spans="1:40" x14ac:dyDescent="0.2">
      <c r="A469" s="4"/>
      <c r="B469" s="4" t="s">
        <v>1592</v>
      </c>
      <c r="C469" s="4" t="s">
        <v>1553</v>
      </c>
      <c r="D469" s="4" t="s">
        <v>1593</v>
      </c>
      <c r="E469" s="4" t="s">
        <v>1594</v>
      </c>
      <c r="F469" s="4" t="s">
        <v>1595</v>
      </c>
      <c r="G469" s="4">
        <v>88136873181</v>
      </c>
      <c r="H469" s="4" t="s">
        <v>1596</v>
      </c>
      <c r="I469" s="4"/>
      <c r="J469" s="4"/>
      <c r="K469" s="27">
        <v>91</v>
      </c>
      <c r="L469" s="4">
        <v>35</v>
      </c>
      <c r="M469">
        <v>0</v>
      </c>
      <c r="N469">
        <v>0</v>
      </c>
      <c r="O469">
        <v>0</v>
      </c>
      <c r="P469">
        <v>0</v>
      </c>
      <c r="Q469">
        <v>4</v>
      </c>
      <c r="R469">
        <v>6</v>
      </c>
      <c r="S469">
        <v>6</v>
      </c>
      <c r="T469">
        <v>2</v>
      </c>
      <c r="U469">
        <v>0</v>
      </c>
      <c r="V469">
        <v>5</v>
      </c>
      <c r="W469">
        <v>4</v>
      </c>
      <c r="X469">
        <v>6</v>
      </c>
      <c r="Y469">
        <v>2</v>
      </c>
      <c r="Z469">
        <v>0</v>
      </c>
      <c r="AA469">
        <v>0</v>
      </c>
    </row>
    <row r="470" spans="1:40" x14ac:dyDescent="0.2">
      <c r="A470" s="2">
        <v>46000.363946759258</v>
      </c>
      <c r="B470" t="s">
        <v>2391</v>
      </c>
      <c r="C470" t="s">
        <v>2096</v>
      </c>
      <c r="D470" t="s">
        <v>2392</v>
      </c>
      <c r="E470" t="s">
        <v>2393</v>
      </c>
      <c r="F470" t="s">
        <v>2394</v>
      </c>
      <c r="G470" t="s">
        <v>2395</v>
      </c>
      <c r="H470" t="s">
        <v>2396</v>
      </c>
      <c r="I470" t="s">
        <v>2397</v>
      </c>
      <c r="J470" t="s">
        <v>34</v>
      </c>
      <c r="K470">
        <v>1000</v>
      </c>
      <c r="L470">
        <v>10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4</v>
      </c>
      <c r="X470" s="4">
        <v>4</v>
      </c>
      <c r="Y470" s="4">
        <v>0</v>
      </c>
      <c r="Z470" s="4">
        <v>2</v>
      </c>
      <c r="AA470" s="4">
        <v>0</v>
      </c>
      <c r="AB470" t="s">
        <v>62</v>
      </c>
      <c r="AC470" t="s">
        <v>35</v>
      </c>
      <c r="AD470" t="s">
        <v>34</v>
      </c>
      <c r="AE470">
        <v>2</v>
      </c>
      <c r="AF470">
        <v>2</v>
      </c>
      <c r="AG470" t="s">
        <v>34</v>
      </c>
      <c r="AL470" t="s">
        <v>35</v>
      </c>
      <c r="AM470" t="s">
        <v>34</v>
      </c>
    </row>
    <row r="471" spans="1:40" x14ac:dyDescent="0.2">
      <c r="A471" s="2">
        <v>45999.27988425926</v>
      </c>
      <c r="B471" t="s">
        <v>2548</v>
      </c>
      <c r="C471" t="s">
        <v>2483</v>
      </c>
      <c r="D471" t="s">
        <v>2549</v>
      </c>
      <c r="E471" t="s">
        <v>2550</v>
      </c>
      <c r="F471" t="s">
        <v>2551</v>
      </c>
      <c r="G471">
        <v>83523999248</v>
      </c>
      <c r="H471" t="s">
        <v>2552</v>
      </c>
      <c r="I471" t="s">
        <v>33</v>
      </c>
      <c r="J471" t="s">
        <v>34</v>
      </c>
      <c r="K471">
        <v>80</v>
      </c>
      <c r="L471">
        <v>12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1</v>
      </c>
      <c r="U471">
        <v>2</v>
      </c>
      <c r="V471">
        <v>3</v>
      </c>
      <c r="W471">
        <v>3</v>
      </c>
      <c r="X471">
        <v>2</v>
      </c>
      <c r="Y471">
        <v>0</v>
      </c>
      <c r="Z471">
        <v>0</v>
      </c>
      <c r="AA471">
        <v>0</v>
      </c>
      <c r="AB471" t="s">
        <v>80</v>
      </c>
      <c r="AC471" t="s">
        <v>35</v>
      </c>
      <c r="AD471" t="s">
        <v>35</v>
      </c>
      <c r="AE471">
        <v>2</v>
      </c>
      <c r="AF471">
        <v>1</v>
      </c>
      <c r="AG471" t="s">
        <v>1465</v>
      </c>
      <c r="AL471" t="s">
        <v>35</v>
      </c>
      <c r="AM471" t="s">
        <v>34</v>
      </c>
      <c r="AN471" t="s">
        <v>2553</v>
      </c>
    </row>
    <row r="472" spans="1:40" x14ac:dyDescent="0.2">
      <c r="A472" s="2">
        <v>46002.446631944447</v>
      </c>
      <c r="B472" t="s">
        <v>2668</v>
      </c>
      <c r="C472" t="s">
        <v>2483</v>
      </c>
      <c r="D472" t="s">
        <v>2549</v>
      </c>
      <c r="E472" t="s">
        <v>2669</v>
      </c>
      <c r="F472" t="s">
        <v>2670</v>
      </c>
      <c r="G472" t="s">
        <v>2671</v>
      </c>
      <c r="H472" t="s">
        <v>2672</v>
      </c>
      <c r="I472" t="s">
        <v>2546</v>
      </c>
      <c r="J472" t="s">
        <v>34</v>
      </c>
      <c r="K472">
        <v>87</v>
      </c>
      <c r="L472">
        <v>20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1</v>
      </c>
      <c r="S472" s="4">
        <v>3</v>
      </c>
      <c r="T472" s="4">
        <v>9</v>
      </c>
      <c r="U472" s="4">
        <v>2</v>
      </c>
      <c r="V472" s="4">
        <v>2</v>
      </c>
      <c r="W472" s="4">
        <v>2</v>
      </c>
      <c r="X472" s="4">
        <v>0</v>
      </c>
      <c r="Y472" s="4">
        <v>1</v>
      </c>
      <c r="Z472" s="4">
        <v>0</v>
      </c>
      <c r="AA472" s="4">
        <v>0</v>
      </c>
      <c r="AC472" t="s">
        <v>35</v>
      </c>
      <c r="AD472" t="s">
        <v>34</v>
      </c>
      <c r="AE472">
        <v>1</v>
      </c>
      <c r="AF472">
        <v>1</v>
      </c>
      <c r="AG472" t="s">
        <v>2673</v>
      </c>
      <c r="AL472" t="s">
        <v>34</v>
      </c>
      <c r="AM472" t="s">
        <v>34</v>
      </c>
    </row>
    <row r="473" spans="1:40" x14ac:dyDescent="0.2">
      <c r="A473" s="2">
        <v>46001.549166666657</v>
      </c>
      <c r="B473" t="s">
        <v>2674</v>
      </c>
      <c r="C473" t="s">
        <v>2483</v>
      </c>
      <c r="D473" t="s">
        <v>2549</v>
      </c>
      <c r="E473" t="s">
        <v>2669</v>
      </c>
      <c r="F473" t="s">
        <v>2675</v>
      </c>
      <c r="G473" t="s">
        <v>2676</v>
      </c>
      <c r="H473" t="s">
        <v>2677</v>
      </c>
      <c r="I473" t="s">
        <v>2678</v>
      </c>
      <c r="J473" t="s">
        <v>34</v>
      </c>
      <c r="K473">
        <v>65</v>
      </c>
      <c r="L473">
        <v>20</v>
      </c>
      <c r="M473">
        <v>0</v>
      </c>
      <c r="N473">
        <v>0</v>
      </c>
      <c r="O473">
        <v>0</v>
      </c>
      <c r="P473">
        <v>0</v>
      </c>
      <c r="Q473">
        <v>7</v>
      </c>
      <c r="R473">
        <v>1</v>
      </c>
      <c r="S473">
        <v>0</v>
      </c>
      <c r="T473">
        <v>6</v>
      </c>
      <c r="U473">
        <v>3</v>
      </c>
      <c r="V473">
        <v>0</v>
      </c>
      <c r="W473">
        <v>1</v>
      </c>
      <c r="X473">
        <v>2</v>
      </c>
      <c r="Y473">
        <v>0</v>
      </c>
      <c r="Z473">
        <v>0</v>
      </c>
      <c r="AA473">
        <v>0</v>
      </c>
      <c r="AC473" t="s">
        <v>34</v>
      </c>
      <c r="AD473" t="s">
        <v>34</v>
      </c>
      <c r="AE473">
        <v>1</v>
      </c>
      <c r="AF473">
        <v>1</v>
      </c>
      <c r="AG473" t="s">
        <v>2679</v>
      </c>
      <c r="AL473" t="s">
        <v>34</v>
      </c>
      <c r="AM473" t="s">
        <v>34</v>
      </c>
    </row>
    <row r="474" spans="1:40" x14ac:dyDescent="0.2">
      <c r="A474" s="2">
        <v>46001.510949074072</v>
      </c>
      <c r="B474" t="s">
        <v>2680</v>
      </c>
      <c r="C474" t="s">
        <v>2483</v>
      </c>
      <c r="D474" t="s">
        <v>2549</v>
      </c>
      <c r="E474" t="s">
        <v>2669</v>
      </c>
      <c r="F474" t="s">
        <v>2681</v>
      </c>
      <c r="G474">
        <v>89080022097</v>
      </c>
      <c r="H474" t="s">
        <v>2682</v>
      </c>
      <c r="I474" t="s">
        <v>2678</v>
      </c>
      <c r="J474" t="s">
        <v>34</v>
      </c>
      <c r="K474">
        <v>50</v>
      </c>
      <c r="L474">
        <v>9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</v>
      </c>
      <c r="S474">
        <v>1</v>
      </c>
      <c r="T474">
        <v>3</v>
      </c>
      <c r="U474">
        <v>2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C474" t="s">
        <v>35</v>
      </c>
      <c r="AD474" t="s">
        <v>34</v>
      </c>
      <c r="AE474">
        <v>1</v>
      </c>
      <c r="AF474">
        <v>1</v>
      </c>
      <c r="AG474" t="s">
        <v>2683</v>
      </c>
      <c r="AL474" t="s">
        <v>34</v>
      </c>
      <c r="AM474" t="s">
        <v>34</v>
      </c>
    </row>
    <row r="475" spans="1:40" x14ac:dyDescent="0.2">
      <c r="A475" s="2">
        <v>45985.353738425933</v>
      </c>
      <c r="B475" t="s">
        <v>2684</v>
      </c>
      <c r="C475" t="s">
        <v>2483</v>
      </c>
      <c r="D475" t="s">
        <v>2549</v>
      </c>
      <c r="E475" t="s">
        <v>2669</v>
      </c>
      <c r="F475" t="s">
        <v>2685</v>
      </c>
      <c r="G475" t="s">
        <v>2686</v>
      </c>
      <c r="H475" t="s">
        <v>2687</v>
      </c>
      <c r="I475" t="s">
        <v>33</v>
      </c>
      <c r="J475" t="s">
        <v>114</v>
      </c>
      <c r="K475">
        <v>370</v>
      </c>
      <c r="L475">
        <v>43</v>
      </c>
      <c r="M475">
        <v>0</v>
      </c>
      <c r="N475">
        <v>0</v>
      </c>
      <c r="O475">
        <v>0</v>
      </c>
      <c r="P475">
        <v>1</v>
      </c>
      <c r="Q475">
        <v>4</v>
      </c>
      <c r="R475">
        <v>5</v>
      </c>
      <c r="S475">
        <v>4</v>
      </c>
      <c r="T475">
        <v>14</v>
      </c>
      <c r="U475">
        <v>8</v>
      </c>
      <c r="V475">
        <v>5</v>
      </c>
      <c r="W475">
        <v>1</v>
      </c>
      <c r="X475">
        <v>0</v>
      </c>
      <c r="Y475">
        <v>0</v>
      </c>
      <c r="Z475">
        <v>1</v>
      </c>
      <c r="AA475">
        <v>0</v>
      </c>
      <c r="AB475" t="s">
        <v>50</v>
      </c>
      <c r="AC475" t="s">
        <v>35</v>
      </c>
      <c r="AD475" t="s">
        <v>35</v>
      </c>
      <c r="AE475">
        <v>2</v>
      </c>
      <c r="AF475">
        <v>0</v>
      </c>
      <c r="AG475" t="s">
        <v>56</v>
      </c>
      <c r="AL475" t="s">
        <v>35</v>
      </c>
      <c r="AM475" t="s">
        <v>35</v>
      </c>
      <c r="AN475" t="s">
        <v>56</v>
      </c>
    </row>
    <row r="476" spans="1:40" x14ac:dyDescent="0.2">
      <c r="A476" s="2">
        <v>45978.57156527778</v>
      </c>
      <c r="B476" t="s">
        <v>1597</v>
      </c>
      <c r="C476" t="s">
        <v>1553</v>
      </c>
      <c r="D476" t="s">
        <v>1593</v>
      </c>
      <c r="E476" t="s">
        <v>1594</v>
      </c>
      <c r="F476" t="s">
        <v>1598</v>
      </c>
      <c r="G476">
        <v>89516462149</v>
      </c>
      <c r="H476" t="s">
        <v>1599</v>
      </c>
      <c r="I476" t="s">
        <v>689</v>
      </c>
      <c r="J476" t="s">
        <v>34</v>
      </c>
      <c r="K476">
        <v>60</v>
      </c>
      <c r="L476">
        <v>48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5</v>
      </c>
      <c r="S476">
        <v>6</v>
      </c>
      <c r="T476">
        <v>3</v>
      </c>
      <c r="U476">
        <v>6</v>
      </c>
      <c r="V476">
        <v>6</v>
      </c>
      <c r="W476">
        <v>6</v>
      </c>
      <c r="X476">
        <v>5</v>
      </c>
      <c r="Y476">
        <v>4</v>
      </c>
      <c r="Z476">
        <v>3</v>
      </c>
      <c r="AA476">
        <v>3</v>
      </c>
      <c r="AB476" t="s">
        <v>131</v>
      </c>
      <c r="AC476" t="s">
        <v>35</v>
      </c>
      <c r="AD476" t="s">
        <v>34</v>
      </c>
      <c r="AE476">
        <v>1</v>
      </c>
      <c r="AF476">
        <v>1</v>
      </c>
      <c r="AG476">
        <v>0</v>
      </c>
      <c r="AL476" t="s">
        <v>34</v>
      </c>
      <c r="AM476" t="s">
        <v>34</v>
      </c>
    </row>
    <row r="477" spans="1:40" x14ac:dyDescent="0.2">
      <c r="A477" s="2">
        <v>45998.767476851863</v>
      </c>
      <c r="B477" t="s">
        <v>2694</v>
      </c>
      <c r="C477" t="s">
        <v>2483</v>
      </c>
      <c r="D477" t="s">
        <v>2549</v>
      </c>
      <c r="E477" t="s">
        <v>2695</v>
      </c>
      <c r="F477" t="s">
        <v>2696</v>
      </c>
      <c r="G477" t="s">
        <v>2697</v>
      </c>
      <c r="H477" t="s">
        <v>2698</v>
      </c>
      <c r="I477" t="s">
        <v>2699</v>
      </c>
      <c r="J477" t="s">
        <v>34</v>
      </c>
      <c r="K477">
        <v>20</v>
      </c>
      <c r="L477">
        <v>20</v>
      </c>
      <c r="M477">
        <v>0</v>
      </c>
      <c r="N477">
        <v>0</v>
      </c>
      <c r="O477">
        <v>0</v>
      </c>
      <c r="P477">
        <v>4</v>
      </c>
      <c r="Q477">
        <v>9</v>
      </c>
      <c r="R477">
        <v>4</v>
      </c>
      <c r="S477">
        <v>0</v>
      </c>
      <c r="T477">
        <v>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584</v>
      </c>
      <c r="AC477" t="s">
        <v>34</v>
      </c>
      <c r="AD477" t="s">
        <v>34</v>
      </c>
      <c r="AE477">
        <v>1</v>
      </c>
      <c r="AF477">
        <v>0</v>
      </c>
      <c r="AG477" t="s">
        <v>1465</v>
      </c>
      <c r="AL477" t="s">
        <v>34</v>
      </c>
      <c r="AM477" t="s">
        <v>34</v>
      </c>
    </row>
    <row r="478" spans="1:40" x14ac:dyDescent="0.2">
      <c r="A478" s="2">
        <v>45993.553298611107</v>
      </c>
      <c r="B478" t="s">
        <v>2750</v>
      </c>
      <c r="C478" t="s">
        <v>2483</v>
      </c>
      <c r="D478" t="s">
        <v>2751</v>
      </c>
      <c r="E478" t="s">
        <v>2752</v>
      </c>
      <c r="F478" t="s">
        <v>2753</v>
      </c>
      <c r="G478" t="s">
        <v>2754</v>
      </c>
      <c r="H478" t="s">
        <v>2755</v>
      </c>
      <c r="I478" t="s">
        <v>93</v>
      </c>
      <c r="J478" t="s">
        <v>114</v>
      </c>
      <c r="K478">
        <v>1950</v>
      </c>
      <c r="L478">
        <v>81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6</v>
      </c>
      <c r="S478">
        <v>13</v>
      </c>
      <c r="T478">
        <v>11</v>
      </c>
      <c r="U478">
        <v>11</v>
      </c>
      <c r="V478">
        <v>8</v>
      </c>
      <c r="W478">
        <v>14</v>
      </c>
      <c r="X478">
        <v>5</v>
      </c>
      <c r="Y478">
        <v>5</v>
      </c>
      <c r="Z478">
        <v>4</v>
      </c>
      <c r="AA478">
        <v>3</v>
      </c>
      <c r="AB478" t="s">
        <v>2756</v>
      </c>
      <c r="AC478" t="s">
        <v>35</v>
      </c>
      <c r="AD478" t="s">
        <v>35</v>
      </c>
      <c r="AE478">
        <v>3</v>
      </c>
      <c r="AF478">
        <v>2</v>
      </c>
      <c r="AG478" t="s">
        <v>2757</v>
      </c>
      <c r="AH478">
        <v>1</v>
      </c>
      <c r="AL478" t="s">
        <v>35</v>
      </c>
      <c r="AM478" t="s">
        <v>34</v>
      </c>
    </row>
    <row r="479" spans="1:40" x14ac:dyDescent="0.2">
      <c r="A479" s="2">
        <v>45996.32271990741</v>
      </c>
      <c r="B479" t="s">
        <v>2758</v>
      </c>
      <c r="C479" t="s">
        <v>2483</v>
      </c>
      <c r="D479" t="s">
        <v>2751</v>
      </c>
      <c r="E479" t="s">
        <v>2752</v>
      </c>
      <c r="F479" t="s">
        <v>2759</v>
      </c>
      <c r="G479">
        <v>365904</v>
      </c>
      <c r="H479" t="s">
        <v>2760</v>
      </c>
      <c r="I479" t="s">
        <v>49</v>
      </c>
      <c r="J479" t="s">
        <v>34</v>
      </c>
      <c r="K479">
        <v>183</v>
      </c>
      <c r="L479">
        <v>183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14</v>
      </c>
      <c r="S479">
        <v>19</v>
      </c>
      <c r="T479">
        <v>31</v>
      </c>
      <c r="U479">
        <v>27</v>
      </c>
      <c r="V479">
        <v>42</v>
      </c>
      <c r="W479">
        <v>26</v>
      </c>
      <c r="X479">
        <v>12</v>
      </c>
      <c r="Y479">
        <v>10</v>
      </c>
      <c r="Z479">
        <v>2</v>
      </c>
      <c r="AA479">
        <v>0</v>
      </c>
      <c r="AB479" t="s">
        <v>824</v>
      </c>
      <c r="AC479" t="s">
        <v>34</v>
      </c>
      <c r="AD479" t="s">
        <v>35</v>
      </c>
      <c r="AE479">
        <v>6</v>
      </c>
      <c r="AF479">
        <v>4</v>
      </c>
      <c r="AG479" t="s">
        <v>2761</v>
      </c>
      <c r="AH479">
        <v>3</v>
      </c>
      <c r="AL479" t="s">
        <v>35</v>
      </c>
      <c r="AM479" t="s">
        <v>34</v>
      </c>
      <c r="AN479" t="s">
        <v>2762</v>
      </c>
    </row>
    <row r="480" spans="1:40" x14ac:dyDescent="0.2">
      <c r="A480" s="2">
        <v>45996.310706018521</v>
      </c>
      <c r="B480" t="s">
        <v>2763</v>
      </c>
      <c r="C480" t="s">
        <v>2483</v>
      </c>
      <c r="D480" t="s">
        <v>2751</v>
      </c>
      <c r="E480" t="s">
        <v>2752</v>
      </c>
      <c r="F480" t="s">
        <v>2764</v>
      </c>
      <c r="G480">
        <v>561019</v>
      </c>
      <c r="H480" t="s">
        <v>2765</v>
      </c>
      <c r="I480" t="s">
        <v>93</v>
      </c>
      <c r="J480" t="s">
        <v>518</v>
      </c>
      <c r="K480">
        <v>1628</v>
      </c>
      <c r="L480">
        <v>12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50</v>
      </c>
      <c r="AC480" t="s">
        <v>34</v>
      </c>
      <c r="AD480" t="s">
        <v>34</v>
      </c>
      <c r="AE480">
        <v>1</v>
      </c>
      <c r="AF480">
        <v>1</v>
      </c>
      <c r="AG480" t="s">
        <v>2766</v>
      </c>
      <c r="AH480">
        <v>1</v>
      </c>
      <c r="AL480" t="s">
        <v>35</v>
      </c>
      <c r="AM480" t="s">
        <v>34</v>
      </c>
    </row>
    <row r="481" spans="1:40" x14ac:dyDescent="0.2">
      <c r="A481" s="2">
        <v>45993.436041666668</v>
      </c>
      <c r="B481" t="s">
        <v>2732</v>
      </c>
      <c r="C481" t="s">
        <v>2483</v>
      </c>
      <c r="D481" t="s">
        <v>2751</v>
      </c>
      <c r="E481" t="s">
        <v>2733</v>
      </c>
      <c r="F481" t="s">
        <v>2734</v>
      </c>
      <c r="G481">
        <v>83815221426</v>
      </c>
      <c r="H481" t="s">
        <v>2735</v>
      </c>
      <c r="I481" t="s">
        <v>49</v>
      </c>
      <c r="J481" t="s">
        <v>34</v>
      </c>
      <c r="K481">
        <v>140</v>
      </c>
      <c r="L481">
        <v>2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 t="s">
        <v>2736</v>
      </c>
      <c r="AC481" t="s">
        <v>35</v>
      </c>
      <c r="AD481" t="s">
        <v>34</v>
      </c>
      <c r="AE481">
        <v>0</v>
      </c>
      <c r="AF481">
        <v>0</v>
      </c>
      <c r="AG481" t="s">
        <v>48</v>
      </c>
      <c r="AL481" t="s">
        <v>35</v>
      </c>
      <c r="AM481" t="s">
        <v>34</v>
      </c>
    </row>
    <row r="482" spans="1:40" x14ac:dyDescent="0.2">
      <c r="A482" s="2">
        <v>45993.484201388892</v>
      </c>
      <c r="B482" t="s">
        <v>2717</v>
      </c>
      <c r="C482" t="s">
        <v>2483</v>
      </c>
      <c r="D482" t="s">
        <v>2718</v>
      </c>
      <c r="E482" t="s">
        <v>2719</v>
      </c>
      <c r="F482" t="s">
        <v>2720</v>
      </c>
      <c r="G482">
        <v>79523186817</v>
      </c>
      <c r="H482" t="s">
        <v>2721</v>
      </c>
      <c r="I482" t="s">
        <v>2722</v>
      </c>
      <c r="J482" t="s">
        <v>34</v>
      </c>
      <c r="K482">
        <v>15</v>
      </c>
      <c r="L482">
        <v>15</v>
      </c>
      <c r="M482">
        <v>0</v>
      </c>
      <c r="N482">
        <v>0</v>
      </c>
      <c r="O482">
        <v>1</v>
      </c>
      <c r="P482">
        <v>2</v>
      </c>
      <c r="Q482">
        <v>0</v>
      </c>
      <c r="R482">
        <v>5</v>
      </c>
      <c r="S482">
        <v>5</v>
      </c>
      <c r="T482">
        <v>0</v>
      </c>
      <c r="U482">
        <v>2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50</v>
      </c>
      <c r="AC482" t="s">
        <v>34</v>
      </c>
      <c r="AD482" t="s">
        <v>34</v>
      </c>
      <c r="AE482">
        <v>2</v>
      </c>
      <c r="AF482">
        <v>0</v>
      </c>
      <c r="AG482" t="s">
        <v>2723</v>
      </c>
      <c r="AL482" t="s">
        <v>34</v>
      </c>
      <c r="AM482" t="s">
        <v>34</v>
      </c>
    </row>
    <row r="483" spans="1:40" x14ac:dyDescent="0.2">
      <c r="A483" s="2">
        <v>46001.516099537039</v>
      </c>
      <c r="B483" t="s">
        <v>2767</v>
      </c>
      <c r="C483" t="s">
        <v>2483</v>
      </c>
      <c r="D483" t="s">
        <v>2718</v>
      </c>
      <c r="E483" t="s">
        <v>2768</v>
      </c>
      <c r="F483" t="s">
        <v>2769</v>
      </c>
      <c r="G483" t="s">
        <v>2770</v>
      </c>
      <c r="H483" t="s">
        <v>2771</v>
      </c>
      <c r="I483" t="s">
        <v>49</v>
      </c>
      <c r="J483" t="s">
        <v>34</v>
      </c>
      <c r="K483">
        <v>136</v>
      </c>
      <c r="L483">
        <v>37</v>
      </c>
      <c r="M483">
        <v>1</v>
      </c>
      <c r="N483">
        <v>1</v>
      </c>
      <c r="O483">
        <v>2</v>
      </c>
      <c r="P483">
        <v>0</v>
      </c>
      <c r="Q483">
        <v>3</v>
      </c>
      <c r="R483">
        <v>0</v>
      </c>
      <c r="S483">
        <v>0</v>
      </c>
      <c r="T483">
        <v>0</v>
      </c>
      <c r="U483">
        <v>12</v>
      </c>
      <c r="V483">
        <v>17</v>
      </c>
      <c r="W483">
        <v>1</v>
      </c>
      <c r="X483">
        <v>0</v>
      </c>
      <c r="Y483">
        <v>0</v>
      </c>
      <c r="Z483">
        <v>0</v>
      </c>
      <c r="AA483">
        <v>0</v>
      </c>
      <c r="AC483" t="s">
        <v>35</v>
      </c>
      <c r="AD483" t="s">
        <v>34</v>
      </c>
      <c r="AE483">
        <v>1</v>
      </c>
      <c r="AF483">
        <v>1</v>
      </c>
      <c r="AG483" t="s">
        <v>2772</v>
      </c>
      <c r="AL483" t="s">
        <v>34</v>
      </c>
      <c r="AM483" t="s">
        <v>34</v>
      </c>
    </row>
    <row r="484" spans="1:40" x14ac:dyDescent="0.2">
      <c r="A484" s="2">
        <v>46001.422905092593</v>
      </c>
      <c r="B484" t="s">
        <v>2773</v>
      </c>
      <c r="C484" t="s">
        <v>2483</v>
      </c>
      <c r="D484" t="s">
        <v>2718</v>
      </c>
      <c r="E484" t="s">
        <v>2774</v>
      </c>
      <c r="F484" t="s">
        <v>2775</v>
      </c>
      <c r="G484">
        <v>79197060465</v>
      </c>
      <c r="H484" t="s">
        <v>2776</v>
      </c>
      <c r="I484" t="s">
        <v>212</v>
      </c>
      <c r="J484" t="s">
        <v>34</v>
      </c>
      <c r="K484">
        <v>70</v>
      </c>
      <c r="L484">
        <v>70</v>
      </c>
      <c r="M484">
        <v>2</v>
      </c>
      <c r="N484">
        <v>0</v>
      </c>
      <c r="O484">
        <v>0</v>
      </c>
      <c r="P484">
        <v>10</v>
      </c>
      <c r="Q484">
        <v>0</v>
      </c>
      <c r="R484">
        <v>14</v>
      </c>
      <c r="S484">
        <v>0</v>
      </c>
      <c r="T484">
        <v>0</v>
      </c>
      <c r="U484">
        <v>14</v>
      </c>
      <c r="V484">
        <v>14</v>
      </c>
      <c r="W484">
        <v>0</v>
      </c>
      <c r="X484">
        <v>0</v>
      </c>
      <c r="Y484">
        <v>16</v>
      </c>
      <c r="Z484">
        <v>0</v>
      </c>
      <c r="AA484">
        <v>0</v>
      </c>
      <c r="AC484" t="s">
        <v>34</v>
      </c>
      <c r="AD484" t="s">
        <v>34</v>
      </c>
      <c r="AE484">
        <v>2</v>
      </c>
      <c r="AF484">
        <v>0</v>
      </c>
      <c r="AG484" t="s">
        <v>2777</v>
      </c>
      <c r="AL484" t="s">
        <v>34</v>
      </c>
      <c r="AM484" t="s">
        <v>34</v>
      </c>
    </row>
    <row r="485" spans="1:40" x14ac:dyDescent="0.2">
      <c r="A485" s="2">
        <v>46001.365393518521</v>
      </c>
      <c r="B485" t="s">
        <v>2778</v>
      </c>
      <c r="C485" t="s">
        <v>2483</v>
      </c>
      <c r="D485" t="s">
        <v>2718</v>
      </c>
      <c r="E485" t="s">
        <v>2774</v>
      </c>
      <c r="F485" t="s">
        <v>2779</v>
      </c>
      <c r="G485">
        <v>79824559148</v>
      </c>
      <c r="H485" t="s">
        <v>2780</v>
      </c>
      <c r="I485" t="s">
        <v>2583</v>
      </c>
      <c r="J485" t="s">
        <v>34</v>
      </c>
      <c r="K485">
        <v>20</v>
      </c>
      <c r="L485">
        <v>20</v>
      </c>
      <c r="M485">
        <v>10</v>
      </c>
      <c r="N485">
        <v>2</v>
      </c>
      <c r="O485">
        <v>3</v>
      </c>
      <c r="P485">
        <v>2</v>
      </c>
      <c r="Q485">
        <v>1</v>
      </c>
      <c r="R485">
        <v>2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50</v>
      </c>
      <c r="AC485" t="s">
        <v>34</v>
      </c>
      <c r="AD485" t="s">
        <v>34</v>
      </c>
      <c r="AE485">
        <v>0</v>
      </c>
      <c r="AF485">
        <v>0</v>
      </c>
      <c r="AG485" t="s">
        <v>2781</v>
      </c>
      <c r="AL485" t="s">
        <v>34</v>
      </c>
      <c r="AM485" t="s">
        <v>34</v>
      </c>
    </row>
    <row r="486" spans="1:40" x14ac:dyDescent="0.2">
      <c r="A486" s="2">
        <v>45981.605451388888</v>
      </c>
      <c r="B486" t="s">
        <v>2782</v>
      </c>
      <c r="C486" t="s">
        <v>2483</v>
      </c>
      <c r="D486" t="s">
        <v>2718</v>
      </c>
      <c r="E486" t="s">
        <v>2774</v>
      </c>
      <c r="F486" t="s">
        <v>2783</v>
      </c>
      <c r="G486" t="s">
        <v>2784</v>
      </c>
      <c r="H486" t="s">
        <v>2785</v>
      </c>
      <c r="I486" t="s">
        <v>93</v>
      </c>
      <c r="J486" t="s">
        <v>518</v>
      </c>
      <c r="K486">
        <v>582</v>
      </c>
      <c r="L486">
        <v>136</v>
      </c>
      <c r="M486">
        <v>2</v>
      </c>
      <c r="N486">
        <v>3</v>
      </c>
      <c r="O486">
        <v>2</v>
      </c>
      <c r="P486">
        <v>10</v>
      </c>
      <c r="Q486">
        <v>6</v>
      </c>
      <c r="R486">
        <v>9</v>
      </c>
      <c r="S486">
        <v>15</v>
      </c>
      <c r="T486">
        <v>12</v>
      </c>
      <c r="U486">
        <v>14</v>
      </c>
      <c r="V486">
        <v>18</v>
      </c>
      <c r="W486">
        <v>19</v>
      </c>
      <c r="X486">
        <v>13</v>
      </c>
      <c r="Y486">
        <v>8</v>
      </c>
      <c r="Z486">
        <v>5</v>
      </c>
      <c r="AA486">
        <v>0</v>
      </c>
      <c r="AB486" t="s">
        <v>50</v>
      </c>
      <c r="AC486" t="s">
        <v>34</v>
      </c>
      <c r="AD486" t="s">
        <v>35</v>
      </c>
      <c r="AE486">
        <v>6</v>
      </c>
      <c r="AF486">
        <v>4</v>
      </c>
      <c r="AG486" t="s">
        <v>2786</v>
      </c>
      <c r="AH486">
        <v>1</v>
      </c>
      <c r="AI486">
        <v>4</v>
      </c>
      <c r="AL486" t="s">
        <v>35</v>
      </c>
      <c r="AM486" t="s">
        <v>34</v>
      </c>
      <c r="AN486" t="s">
        <v>2787</v>
      </c>
    </row>
    <row r="487" spans="1:40" x14ac:dyDescent="0.2">
      <c r="A487" s="2">
        <v>45999.644525462973</v>
      </c>
      <c r="B487" t="s">
        <v>2898</v>
      </c>
      <c r="C487" t="s">
        <v>2483</v>
      </c>
      <c r="D487" t="s">
        <v>2718</v>
      </c>
      <c r="E487" t="s">
        <v>2899</v>
      </c>
      <c r="F487" t="s">
        <v>2900</v>
      </c>
      <c r="G487" t="s">
        <v>2901</v>
      </c>
      <c r="H487" t="s">
        <v>2902</v>
      </c>
      <c r="I487" t="s">
        <v>49</v>
      </c>
      <c r="J487" t="s">
        <v>34</v>
      </c>
      <c r="K487">
        <v>156</v>
      </c>
      <c r="L487">
        <v>61</v>
      </c>
      <c r="M487">
        <v>0</v>
      </c>
      <c r="N487">
        <v>0</v>
      </c>
      <c r="O487">
        <v>11</v>
      </c>
      <c r="P487">
        <v>2</v>
      </c>
      <c r="Q487">
        <v>1</v>
      </c>
      <c r="R487">
        <v>0</v>
      </c>
      <c r="S487">
        <v>15</v>
      </c>
      <c r="T487">
        <v>10</v>
      </c>
      <c r="U487">
        <v>3</v>
      </c>
      <c r="V487">
        <v>0</v>
      </c>
      <c r="W487">
        <v>0</v>
      </c>
      <c r="X487">
        <v>10</v>
      </c>
      <c r="Y487">
        <v>6</v>
      </c>
      <c r="Z487">
        <v>0</v>
      </c>
      <c r="AA487">
        <v>3</v>
      </c>
      <c r="AC487" t="s">
        <v>35</v>
      </c>
      <c r="AD487" t="s">
        <v>34</v>
      </c>
      <c r="AE487">
        <v>2</v>
      </c>
      <c r="AF487">
        <v>1</v>
      </c>
      <c r="AG487" t="s">
        <v>2903</v>
      </c>
      <c r="AL487" t="s">
        <v>35</v>
      </c>
      <c r="AM487" t="s">
        <v>35</v>
      </c>
    </row>
    <row r="488" spans="1:40" x14ac:dyDescent="0.2">
      <c r="A488" s="2">
        <v>46001.654768518521</v>
      </c>
      <c r="B488" t="s">
        <v>2482</v>
      </c>
      <c r="C488" t="s">
        <v>2483</v>
      </c>
      <c r="D488" t="s">
        <v>2484</v>
      </c>
      <c r="E488" t="s">
        <v>2485</v>
      </c>
      <c r="F488" t="s">
        <v>2486</v>
      </c>
      <c r="G488" t="s">
        <v>2487</v>
      </c>
      <c r="H488" t="s">
        <v>2488</v>
      </c>
      <c r="I488" t="s">
        <v>49</v>
      </c>
      <c r="J488" t="s">
        <v>34</v>
      </c>
      <c r="K488">
        <v>180</v>
      </c>
      <c r="L488">
        <v>42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7</v>
      </c>
      <c r="S488" s="4">
        <v>4</v>
      </c>
      <c r="T488" s="4">
        <v>4</v>
      </c>
      <c r="U488" s="4">
        <v>20</v>
      </c>
      <c r="V488" s="4">
        <v>3</v>
      </c>
      <c r="W488" s="4">
        <v>4</v>
      </c>
      <c r="X488" s="4">
        <v>0</v>
      </c>
      <c r="Y488" s="4">
        <v>0</v>
      </c>
      <c r="Z488" s="4">
        <v>0</v>
      </c>
      <c r="AA488" s="4">
        <v>0</v>
      </c>
      <c r="AC488" t="s">
        <v>35</v>
      </c>
      <c r="AD488" t="s">
        <v>34</v>
      </c>
      <c r="AE488">
        <v>1</v>
      </c>
      <c r="AF488">
        <v>0</v>
      </c>
      <c r="AG488" t="s">
        <v>2489</v>
      </c>
      <c r="AL488" t="s">
        <v>35</v>
      </c>
      <c r="AM488" t="s">
        <v>35</v>
      </c>
    </row>
    <row r="489" spans="1:40" x14ac:dyDescent="0.2">
      <c r="A489" s="2">
        <v>45981.35728009259</v>
      </c>
      <c r="B489" t="s">
        <v>2637</v>
      </c>
      <c r="C489" t="s">
        <v>2483</v>
      </c>
      <c r="D489" t="s">
        <v>2484</v>
      </c>
      <c r="E489" t="s">
        <v>2638</v>
      </c>
      <c r="F489" t="s">
        <v>2639</v>
      </c>
      <c r="G489">
        <v>83477942038</v>
      </c>
      <c r="H489" t="s">
        <v>2640</v>
      </c>
      <c r="I489" t="s">
        <v>33</v>
      </c>
      <c r="J489" t="s">
        <v>34</v>
      </c>
      <c r="K489">
        <v>135</v>
      </c>
      <c r="L489">
        <v>33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10</v>
      </c>
      <c r="T489">
        <v>0</v>
      </c>
      <c r="U489">
        <v>8</v>
      </c>
      <c r="V489">
        <v>5</v>
      </c>
      <c r="W489">
        <v>3</v>
      </c>
      <c r="X489">
        <v>4</v>
      </c>
      <c r="Y489">
        <v>1</v>
      </c>
      <c r="Z489">
        <v>1</v>
      </c>
      <c r="AA489">
        <v>0</v>
      </c>
      <c r="AB489" t="s">
        <v>50</v>
      </c>
      <c r="AC489" t="s">
        <v>35</v>
      </c>
      <c r="AD489" t="s">
        <v>35</v>
      </c>
      <c r="AE489">
        <v>0</v>
      </c>
      <c r="AF489">
        <v>0</v>
      </c>
      <c r="AG489">
        <v>0</v>
      </c>
      <c r="AL489" t="s">
        <v>35</v>
      </c>
      <c r="AM489" t="s">
        <v>34</v>
      </c>
    </row>
    <row r="490" spans="1:40" x14ac:dyDescent="0.2">
      <c r="A490" s="2">
        <v>46001.435173611113</v>
      </c>
      <c r="B490" t="s">
        <v>2646</v>
      </c>
      <c r="C490" t="s">
        <v>2483</v>
      </c>
      <c r="D490" t="s">
        <v>2484</v>
      </c>
      <c r="E490" t="s">
        <v>2647</v>
      </c>
      <c r="F490" t="s">
        <v>2648</v>
      </c>
      <c r="G490" t="s">
        <v>2649</v>
      </c>
      <c r="H490" t="s">
        <v>2650</v>
      </c>
      <c r="I490" t="s">
        <v>33</v>
      </c>
      <c r="J490" t="s">
        <v>34</v>
      </c>
      <c r="K490">
        <v>78</v>
      </c>
      <c r="L490">
        <v>20</v>
      </c>
      <c r="M490">
        <v>1</v>
      </c>
      <c r="N490">
        <v>1</v>
      </c>
      <c r="O490">
        <v>2</v>
      </c>
      <c r="P490">
        <v>1</v>
      </c>
      <c r="Q490">
        <v>0</v>
      </c>
      <c r="R490">
        <v>3</v>
      </c>
      <c r="S490">
        <v>3</v>
      </c>
      <c r="T490">
        <v>5</v>
      </c>
      <c r="U490">
        <v>0</v>
      </c>
      <c r="V490">
        <v>0</v>
      </c>
      <c r="W490">
        <v>4</v>
      </c>
      <c r="X490">
        <v>0</v>
      </c>
      <c r="Y490">
        <v>0</v>
      </c>
      <c r="Z490">
        <v>0</v>
      </c>
      <c r="AA490">
        <v>0</v>
      </c>
      <c r="AC490" t="s">
        <v>35</v>
      </c>
      <c r="AD490" t="s">
        <v>34</v>
      </c>
      <c r="AE490">
        <v>2</v>
      </c>
      <c r="AF490">
        <v>0</v>
      </c>
      <c r="AG490" t="s">
        <v>2651</v>
      </c>
      <c r="AL490" t="s">
        <v>35</v>
      </c>
      <c r="AM490" t="s">
        <v>34</v>
      </c>
    </row>
    <row r="491" spans="1:40" x14ac:dyDescent="0.2">
      <c r="A491" s="2">
        <v>45999.649814814817</v>
      </c>
      <c r="B491" t="s">
        <v>2706</v>
      </c>
      <c r="C491" t="s">
        <v>2483</v>
      </c>
      <c r="D491" t="s">
        <v>2484</v>
      </c>
      <c r="E491" t="s">
        <v>2707</v>
      </c>
      <c r="F491" t="s">
        <v>2708</v>
      </c>
      <c r="G491">
        <v>73478356282</v>
      </c>
      <c r="H491" t="s">
        <v>2709</v>
      </c>
      <c r="I491" t="s">
        <v>49</v>
      </c>
      <c r="J491" t="s">
        <v>34</v>
      </c>
      <c r="K491">
        <v>350</v>
      </c>
      <c r="L491">
        <v>61</v>
      </c>
      <c r="M491">
        <v>1</v>
      </c>
      <c r="N491">
        <v>1</v>
      </c>
      <c r="O491">
        <v>2</v>
      </c>
      <c r="P491">
        <v>1</v>
      </c>
      <c r="Q491">
        <v>5</v>
      </c>
      <c r="R491">
        <v>12</v>
      </c>
      <c r="S491">
        <v>18</v>
      </c>
      <c r="T491">
        <v>5</v>
      </c>
      <c r="U491">
        <v>3</v>
      </c>
      <c r="V491">
        <v>0</v>
      </c>
      <c r="W491">
        <v>0</v>
      </c>
      <c r="X491">
        <v>7</v>
      </c>
      <c r="Y491">
        <v>0</v>
      </c>
      <c r="Z491">
        <v>0</v>
      </c>
      <c r="AA491">
        <v>6</v>
      </c>
      <c r="AC491" t="s">
        <v>35</v>
      </c>
      <c r="AD491" t="s">
        <v>34</v>
      </c>
      <c r="AE491">
        <v>1</v>
      </c>
      <c r="AF491">
        <v>1</v>
      </c>
      <c r="AG491" t="s">
        <v>2710</v>
      </c>
      <c r="AL491" t="s">
        <v>35</v>
      </c>
      <c r="AM491" t="s">
        <v>35</v>
      </c>
    </row>
    <row r="492" spans="1:40" x14ac:dyDescent="0.2">
      <c r="A492" s="2">
        <v>46002.397361111107</v>
      </c>
      <c r="B492" t="s">
        <v>2788</v>
      </c>
      <c r="C492" t="s">
        <v>2483</v>
      </c>
      <c r="D492" t="s">
        <v>2484</v>
      </c>
      <c r="E492" t="s">
        <v>2789</v>
      </c>
      <c r="F492" t="s">
        <v>2790</v>
      </c>
      <c r="G492">
        <v>73478672926</v>
      </c>
      <c r="H492" t="s">
        <v>2791</v>
      </c>
      <c r="I492" t="s">
        <v>49</v>
      </c>
      <c r="J492" t="s">
        <v>34</v>
      </c>
      <c r="K492">
        <v>86</v>
      </c>
      <c r="L492">
        <v>14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1</v>
      </c>
      <c r="U492">
        <v>2</v>
      </c>
      <c r="V492">
        <v>1</v>
      </c>
      <c r="W492">
        <v>2</v>
      </c>
      <c r="X492">
        <v>2</v>
      </c>
      <c r="Y492">
        <v>3</v>
      </c>
      <c r="Z492">
        <v>2</v>
      </c>
      <c r="AA492">
        <v>0</v>
      </c>
      <c r="AB492" t="s">
        <v>255</v>
      </c>
      <c r="AC492" t="s">
        <v>35</v>
      </c>
      <c r="AD492" t="s">
        <v>34</v>
      </c>
      <c r="AE492">
        <v>1</v>
      </c>
      <c r="AF492">
        <v>0</v>
      </c>
      <c r="AG492" t="s">
        <v>2792</v>
      </c>
      <c r="AL492" t="s">
        <v>35</v>
      </c>
      <c r="AM492" t="s">
        <v>35</v>
      </c>
      <c r="AN492" t="s">
        <v>2793</v>
      </c>
    </row>
    <row r="493" spans="1:40" x14ac:dyDescent="0.2">
      <c r="A493" s="2">
        <v>45996.424004629633</v>
      </c>
      <c r="B493" t="s">
        <v>2799</v>
      </c>
      <c r="C493" t="s">
        <v>2483</v>
      </c>
      <c r="D493" t="s">
        <v>2484</v>
      </c>
      <c r="E493" t="s">
        <v>2800</v>
      </c>
      <c r="F493" t="s">
        <v>2801</v>
      </c>
      <c r="G493">
        <v>83476385177</v>
      </c>
      <c r="H493" t="s">
        <v>2802</v>
      </c>
      <c r="I493" t="s">
        <v>49</v>
      </c>
      <c r="J493" t="s">
        <v>188</v>
      </c>
      <c r="K493">
        <v>267</v>
      </c>
      <c r="L493">
        <v>45</v>
      </c>
      <c r="M493" s="4">
        <v>6</v>
      </c>
      <c r="N493" s="4">
        <v>3</v>
      </c>
      <c r="O493" s="4">
        <v>4</v>
      </c>
      <c r="P493" s="4">
        <v>5</v>
      </c>
      <c r="Q493" s="4">
        <v>2</v>
      </c>
      <c r="R493" s="4">
        <v>10</v>
      </c>
      <c r="S493" s="4">
        <v>2</v>
      </c>
      <c r="T493" s="4">
        <v>2</v>
      </c>
      <c r="U493" s="4">
        <v>2</v>
      </c>
      <c r="V493" s="4">
        <v>5</v>
      </c>
      <c r="W493" s="4">
        <v>2</v>
      </c>
      <c r="X493" s="4">
        <v>0</v>
      </c>
      <c r="Y493" s="4">
        <v>2</v>
      </c>
      <c r="Z493" s="4">
        <v>0</v>
      </c>
      <c r="AA493" s="4">
        <v>0</v>
      </c>
      <c r="AB493" t="s">
        <v>1844</v>
      </c>
      <c r="AC493" t="s">
        <v>35</v>
      </c>
      <c r="AD493" t="s">
        <v>35</v>
      </c>
      <c r="AE493">
        <v>2</v>
      </c>
      <c r="AF493">
        <v>0</v>
      </c>
      <c r="AG493" t="s">
        <v>2803</v>
      </c>
      <c r="AL493" t="s">
        <v>35</v>
      </c>
      <c r="AM493" t="s">
        <v>35</v>
      </c>
    </row>
    <row r="494" spans="1:40" x14ac:dyDescent="0.2">
      <c r="A494" s="2">
        <v>45995.545486111107</v>
      </c>
      <c r="B494" t="s">
        <v>2856</v>
      </c>
      <c r="C494" t="s">
        <v>2483</v>
      </c>
      <c r="D494" t="s">
        <v>2484</v>
      </c>
      <c r="E494" t="s">
        <v>2857</v>
      </c>
      <c r="F494" t="s">
        <v>2858</v>
      </c>
      <c r="G494" t="s">
        <v>2859</v>
      </c>
      <c r="H494" t="s">
        <v>2860</v>
      </c>
      <c r="I494" t="s">
        <v>49</v>
      </c>
      <c r="J494" t="s">
        <v>114</v>
      </c>
      <c r="K494">
        <v>588</v>
      </c>
      <c r="L494">
        <v>120</v>
      </c>
      <c r="M494">
        <v>0</v>
      </c>
      <c r="N494">
        <v>2</v>
      </c>
      <c r="O494">
        <v>6</v>
      </c>
      <c r="P494">
        <v>5</v>
      </c>
      <c r="Q494">
        <v>10</v>
      </c>
      <c r="R494">
        <v>14</v>
      </c>
      <c r="S494">
        <v>16</v>
      </c>
      <c r="T494">
        <v>17</v>
      </c>
      <c r="U494">
        <v>15</v>
      </c>
      <c r="V494">
        <v>11</v>
      </c>
      <c r="W494">
        <v>15</v>
      </c>
      <c r="X494">
        <v>9</v>
      </c>
      <c r="Y494">
        <v>0</v>
      </c>
      <c r="Z494">
        <v>0</v>
      </c>
      <c r="AA494">
        <v>0</v>
      </c>
      <c r="AB494" t="s">
        <v>108</v>
      </c>
      <c r="AC494" t="s">
        <v>34</v>
      </c>
      <c r="AD494" t="s">
        <v>35</v>
      </c>
      <c r="AE494">
        <v>3</v>
      </c>
      <c r="AF494">
        <v>3</v>
      </c>
      <c r="AG494" t="s">
        <v>2861</v>
      </c>
      <c r="AH494">
        <v>2</v>
      </c>
      <c r="AL494" t="s">
        <v>35</v>
      </c>
      <c r="AM494" t="s">
        <v>34</v>
      </c>
    </row>
    <row r="495" spans="1:40" x14ac:dyDescent="0.2">
      <c r="A495" s="2">
        <v>45982.619293981479</v>
      </c>
      <c r="B495" t="s">
        <v>2862</v>
      </c>
      <c r="C495" t="s">
        <v>2483</v>
      </c>
      <c r="D495" t="s">
        <v>2484</v>
      </c>
      <c r="E495" t="s">
        <v>2857</v>
      </c>
      <c r="F495" t="s">
        <v>2863</v>
      </c>
      <c r="G495" t="s">
        <v>2864</v>
      </c>
      <c r="H495" t="s">
        <v>2865</v>
      </c>
      <c r="I495" t="s">
        <v>2862</v>
      </c>
      <c r="J495" t="s">
        <v>518</v>
      </c>
      <c r="K495">
        <v>705</v>
      </c>
      <c r="L495">
        <v>60</v>
      </c>
      <c r="M495">
        <v>0</v>
      </c>
      <c r="N495">
        <v>0</v>
      </c>
      <c r="O495">
        <v>0</v>
      </c>
      <c r="P495">
        <v>10</v>
      </c>
      <c r="Q495">
        <v>10</v>
      </c>
      <c r="R495">
        <v>9</v>
      </c>
      <c r="S495">
        <v>11</v>
      </c>
      <c r="T495">
        <v>8</v>
      </c>
      <c r="U495">
        <v>12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867</v>
      </c>
      <c r="AC495" t="s">
        <v>34</v>
      </c>
      <c r="AD495" t="s">
        <v>35</v>
      </c>
      <c r="AE495">
        <v>5</v>
      </c>
      <c r="AF495">
        <v>4</v>
      </c>
      <c r="AG495" t="s">
        <v>2866</v>
      </c>
      <c r="AH495">
        <v>2</v>
      </c>
      <c r="AI495">
        <v>1</v>
      </c>
      <c r="AL495" t="s">
        <v>35</v>
      </c>
      <c r="AM495" t="s">
        <v>34</v>
      </c>
    </row>
    <row r="496" spans="1:40" x14ac:dyDescent="0.2">
      <c r="A496" s="2">
        <v>46002.468055555553</v>
      </c>
      <c r="B496" t="s">
        <v>2794</v>
      </c>
      <c r="C496" t="s">
        <v>2483</v>
      </c>
      <c r="D496" t="s">
        <v>2497</v>
      </c>
      <c r="E496" t="s">
        <v>2795</v>
      </c>
      <c r="F496" t="s">
        <v>2796</v>
      </c>
      <c r="G496">
        <v>83436532517</v>
      </c>
      <c r="H496" t="s">
        <v>2797</v>
      </c>
      <c r="I496" t="s">
        <v>49</v>
      </c>
      <c r="J496" t="s">
        <v>34</v>
      </c>
      <c r="K496">
        <v>71</v>
      </c>
      <c r="L496">
        <v>9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2</v>
      </c>
      <c r="V496" s="4">
        <v>0</v>
      </c>
      <c r="W496" s="4">
        <v>3</v>
      </c>
      <c r="X496" s="4">
        <v>0</v>
      </c>
      <c r="Y496" s="4">
        <v>2</v>
      </c>
      <c r="Z496" s="4">
        <v>2</v>
      </c>
      <c r="AA496" s="4">
        <v>0</v>
      </c>
      <c r="AB496" t="s">
        <v>94</v>
      </c>
      <c r="AC496" t="s">
        <v>35</v>
      </c>
      <c r="AD496" t="s">
        <v>35</v>
      </c>
      <c r="AE496">
        <v>1</v>
      </c>
      <c r="AF496">
        <v>0</v>
      </c>
      <c r="AG496" t="s">
        <v>2798</v>
      </c>
      <c r="AL496" t="s">
        <v>35</v>
      </c>
      <c r="AM496" t="s">
        <v>35</v>
      </c>
    </row>
    <row r="497" spans="1:40" x14ac:dyDescent="0.2">
      <c r="A497" s="2">
        <v>46002.441099537027</v>
      </c>
      <c r="B497" t="s">
        <v>2531</v>
      </c>
      <c r="C497" t="s">
        <v>2483</v>
      </c>
      <c r="D497" t="s">
        <v>2497</v>
      </c>
      <c r="E497" t="s">
        <v>2532</v>
      </c>
      <c r="F497" t="s">
        <v>2533</v>
      </c>
      <c r="G497" t="s">
        <v>2534</v>
      </c>
      <c r="H497" t="s">
        <v>2535</v>
      </c>
      <c r="I497" t="s">
        <v>93</v>
      </c>
      <c r="J497" t="s">
        <v>34</v>
      </c>
      <c r="K497">
        <v>211</v>
      </c>
      <c r="L497">
        <v>25</v>
      </c>
      <c r="M497">
        <v>0</v>
      </c>
      <c r="N497">
        <v>0</v>
      </c>
      <c r="O497">
        <v>0</v>
      </c>
      <c r="P497">
        <v>0</v>
      </c>
      <c r="Q497">
        <v>2</v>
      </c>
      <c r="R497">
        <v>5</v>
      </c>
      <c r="S497">
        <v>3</v>
      </c>
      <c r="T497">
        <v>1</v>
      </c>
      <c r="U497">
        <v>0</v>
      </c>
      <c r="V497">
        <v>0</v>
      </c>
      <c r="W497">
        <v>5</v>
      </c>
      <c r="X497">
        <v>4</v>
      </c>
      <c r="Y497">
        <v>3</v>
      </c>
      <c r="Z497">
        <v>2</v>
      </c>
      <c r="AA497">
        <v>0</v>
      </c>
      <c r="AC497" t="s">
        <v>35</v>
      </c>
      <c r="AD497" t="s">
        <v>35</v>
      </c>
      <c r="AE497">
        <v>2</v>
      </c>
      <c r="AF497">
        <v>0</v>
      </c>
      <c r="AG497" t="s">
        <v>2536</v>
      </c>
      <c r="AL497" t="s">
        <v>35</v>
      </c>
      <c r="AM497" t="s">
        <v>35</v>
      </c>
    </row>
    <row r="498" spans="1:40" x14ac:dyDescent="0.2">
      <c r="A498" s="2">
        <v>45985.523020833331</v>
      </c>
      <c r="B498" t="s">
        <v>2496</v>
      </c>
      <c r="C498" t="s">
        <v>2483</v>
      </c>
      <c r="D498" t="s">
        <v>2497</v>
      </c>
      <c r="E498" t="s">
        <v>2498</v>
      </c>
      <c r="F498" t="s">
        <v>2499</v>
      </c>
      <c r="G498">
        <v>73436357234</v>
      </c>
      <c r="H498" t="s">
        <v>2500</v>
      </c>
      <c r="I498" t="s">
        <v>2501</v>
      </c>
      <c r="J498" t="s">
        <v>34</v>
      </c>
      <c r="K498">
        <v>130</v>
      </c>
      <c r="L498">
        <v>30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8</v>
      </c>
      <c r="U498" s="4">
        <v>8</v>
      </c>
      <c r="V498" s="4">
        <v>6</v>
      </c>
      <c r="W498" s="4">
        <v>3</v>
      </c>
      <c r="X498" s="4">
        <v>3</v>
      </c>
      <c r="Y498" s="4">
        <v>2</v>
      </c>
      <c r="Z498" s="4">
        <v>0</v>
      </c>
      <c r="AA498" s="4">
        <v>0</v>
      </c>
      <c r="AB498" t="s">
        <v>50</v>
      </c>
      <c r="AC498" t="s">
        <v>34</v>
      </c>
      <c r="AD498" t="s">
        <v>34</v>
      </c>
      <c r="AE498">
        <v>2</v>
      </c>
      <c r="AF498">
        <v>1</v>
      </c>
      <c r="AG498" t="s">
        <v>2502</v>
      </c>
      <c r="AH498">
        <v>1</v>
      </c>
      <c r="AL498" t="s">
        <v>34</v>
      </c>
      <c r="AM498" t="s">
        <v>34</v>
      </c>
      <c r="AN498" t="s">
        <v>34</v>
      </c>
    </row>
    <row r="499" spans="1:40" x14ac:dyDescent="0.2">
      <c r="A499" s="2">
        <v>45980.56591435185</v>
      </c>
      <c r="B499" t="s">
        <v>2503</v>
      </c>
      <c r="C499" t="s">
        <v>2483</v>
      </c>
      <c r="D499" t="s">
        <v>2497</v>
      </c>
      <c r="E499" t="s">
        <v>2504</v>
      </c>
      <c r="F499" t="s">
        <v>2505</v>
      </c>
      <c r="G499" t="s">
        <v>2506</v>
      </c>
      <c r="H499" t="s">
        <v>2507</v>
      </c>
      <c r="I499" t="s">
        <v>49</v>
      </c>
      <c r="J499" t="s">
        <v>34</v>
      </c>
      <c r="K499">
        <v>186</v>
      </c>
      <c r="L499">
        <v>5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1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C499" t="s">
        <v>35</v>
      </c>
      <c r="AD499" t="s">
        <v>34</v>
      </c>
      <c r="AE499">
        <v>0</v>
      </c>
      <c r="AF499">
        <v>0</v>
      </c>
      <c r="AG499">
        <v>0</v>
      </c>
      <c r="AL499" t="s">
        <v>35</v>
      </c>
      <c r="AM499" t="s">
        <v>34</v>
      </c>
      <c r="AN499" t="s">
        <v>56</v>
      </c>
    </row>
    <row r="500" spans="1:40" x14ac:dyDescent="0.2">
      <c r="A500" s="2">
        <v>45980.581678240742</v>
      </c>
      <c r="B500" t="s">
        <v>2537</v>
      </c>
      <c r="C500" t="s">
        <v>2483</v>
      </c>
      <c r="D500" t="s">
        <v>2497</v>
      </c>
      <c r="E500" t="s">
        <v>2538</v>
      </c>
      <c r="F500" t="s">
        <v>2539</v>
      </c>
      <c r="G500">
        <v>83434636076</v>
      </c>
      <c r="H500" t="s">
        <v>2540</v>
      </c>
      <c r="I500" t="s">
        <v>49</v>
      </c>
      <c r="J500" t="s">
        <v>34</v>
      </c>
      <c r="K500">
        <v>220</v>
      </c>
      <c r="L500">
        <v>7</v>
      </c>
      <c r="M500">
        <v>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2</v>
      </c>
      <c r="AA500">
        <v>2</v>
      </c>
      <c r="AB500" t="s">
        <v>2541</v>
      </c>
      <c r="AC500" t="s">
        <v>35</v>
      </c>
      <c r="AD500" t="s">
        <v>34</v>
      </c>
      <c r="AE500">
        <v>2</v>
      </c>
      <c r="AF500">
        <v>1</v>
      </c>
      <c r="AG500" t="s">
        <v>48</v>
      </c>
      <c r="AL500" t="s">
        <v>35</v>
      </c>
      <c r="AM500" t="s">
        <v>34</v>
      </c>
    </row>
    <row r="501" spans="1:40" x14ac:dyDescent="0.2">
      <c r="A501" s="2">
        <v>45993.474444444437</v>
      </c>
      <c r="B501" t="s">
        <v>2554</v>
      </c>
      <c r="C501" t="s">
        <v>2483</v>
      </c>
      <c r="D501" t="s">
        <v>2497</v>
      </c>
      <c r="E501" t="s">
        <v>2555</v>
      </c>
      <c r="F501" t="s">
        <v>2556</v>
      </c>
      <c r="G501">
        <v>3433674244</v>
      </c>
      <c r="H501" t="s">
        <v>2557</v>
      </c>
      <c r="I501" t="s">
        <v>49</v>
      </c>
      <c r="J501" t="s">
        <v>34</v>
      </c>
      <c r="K501">
        <v>480</v>
      </c>
      <c r="L501">
        <v>65</v>
      </c>
      <c r="M501">
        <v>0</v>
      </c>
      <c r="N501">
        <v>0</v>
      </c>
      <c r="O501">
        <v>1</v>
      </c>
      <c r="P501">
        <v>6</v>
      </c>
      <c r="Q501">
        <v>12</v>
      </c>
      <c r="R501">
        <v>2</v>
      </c>
      <c r="S501">
        <v>3</v>
      </c>
      <c r="T501">
        <v>10</v>
      </c>
      <c r="U501">
        <v>10</v>
      </c>
      <c r="V501">
        <v>10</v>
      </c>
      <c r="W501">
        <v>3</v>
      </c>
      <c r="X501">
        <v>3</v>
      </c>
      <c r="Y501">
        <v>2</v>
      </c>
      <c r="Z501">
        <v>1</v>
      </c>
      <c r="AA501">
        <v>2</v>
      </c>
      <c r="AB501" t="s">
        <v>50</v>
      </c>
      <c r="AC501" t="s">
        <v>35</v>
      </c>
      <c r="AD501" t="s">
        <v>34</v>
      </c>
      <c r="AE501">
        <v>2</v>
      </c>
      <c r="AF501">
        <v>2</v>
      </c>
      <c r="AG501" t="s">
        <v>2558</v>
      </c>
      <c r="AH501">
        <v>2</v>
      </c>
      <c r="AL501" t="s">
        <v>35</v>
      </c>
      <c r="AM501" t="s">
        <v>34</v>
      </c>
    </row>
    <row r="502" spans="1:40" x14ac:dyDescent="0.2">
      <c r="A502" s="2">
        <v>45985.627199074072</v>
      </c>
      <c r="B502" t="s">
        <v>2559</v>
      </c>
      <c r="C502" t="s">
        <v>2483</v>
      </c>
      <c r="D502" t="s">
        <v>2497</v>
      </c>
      <c r="E502" t="s">
        <v>2555</v>
      </c>
      <c r="F502" t="s">
        <v>2560</v>
      </c>
      <c r="G502" t="s">
        <v>2561</v>
      </c>
      <c r="H502" t="s">
        <v>2562</v>
      </c>
      <c r="I502" t="s">
        <v>49</v>
      </c>
      <c r="J502" t="s">
        <v>34</v>
      </c>
      <c r="K502">
        <v>465</v>
      </c>
      <c r="L502">
        <v>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2</v>
      </c>
      <c r="W502">
        <v>1</v>
      </c>
      <c r="X502">
        <v>0</v>
      </c>
      <c r="Y502">
        <v>0</v>
      </c>
      <c r="Z502">
        <v>0</v>
      </c>
      <c r="AA502">
        <v>0</v>
      </c>
      <c r="AC502" t="s">
        <v>35</v>
      </c>
      <c r="AD502" t="s">
        <v>35</v>
      </c>
      <c r="AE502">
        <v>2</v>
      </c>
      <c r="AF502">
        <v>0</v>
      </c>
      <c r="AG502" t="s">
        <v>56</v>
      </c>
      <c r="AL502" t="s">
        <v>35</v>
      </c>
      <c r="AM502" t="s">
        <v>35</v>
      </c>
    </row>
    <row r="503" spans="1:40" x14ac:dyDescent="0.2">
      <c r="A503" s="2">
        <v>45995.640810185178</v>
      </c>
      <c r="B503" t="s">
        <v>2563</v>
      </c>
      <c r="C503" t="s">
        <v>2483</v>
      </c>
      <c r="D503" t="s">
        <v>2497</v>
      </c>
      <c r="E503" t="s">
        <v>2555</v>
      </c>
      <c r="F503" t="s">
        <v>2564</v>
      </c>
      <c r="G503">
        <v>79326007664</v>
      </c>
      <c r="H503" t="s">
        <v>2565</v>
      </c>
      <c r="I503" t="s">
        <v>710</v>
      </c>
      <c r="J503" t="s">
        <v>34</v>
      </c>
      <c r="K503">
        <v>17</v>
      </c>
      <c r="L503">
        <v>15</v>
      </c>
      <c r="M503">
        <v>14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C503" t="s">
        <v>34</v>
      </c>
      <c r="AD503" t="s">
        <v>35</v>
      </c>
      <c r="AE503">
        <v>2</v>
      </c>
      <c r="AF503">
        <v>0</v>
      </c>
      <c r="AG503" t="s">
        <v>2566</v>
      </c>
      <c r="AL503" t="s">
        <v>34</v>
      </c>
      <c r="AM503" t="s">
        <v>34</v>
      </c>
    </row>
    <row r="504" spans="1:40" x14ac:dyDescent="0.2">
      <c r="A504" s="2">
        <v>45993.511377314811</v>
      </c>
      <c r="B504" t="s">
        <v>2567</v>
      </c>
      <c r="C504" t="s">
        <v>2483</v>
      </c>
      <c r="D504" t="s">
        <v>2497</v>
      </c>
      <c r="E504" t="s">
        <v>2555</v>
      </c>
      <c r="F504" t="s">
        <v>2568</v>
      </c>
      <c r="G504">
        <v>3433671957</v>
      </c>
      <c r="H504" t="s">
        <v>2569</v>
      </c>
      <c r="I504" t="s">
        <v>49</v>
      </c>
      <c r="J504" t="s">
        <v>518</v>
      </c>
      <c r="K504">
        <v>243</v>
      </c>
      <c r="L504">
        <v>49</v>
      </c>
      <c r="M504">
        <v>2</v>
      </c>
      <c r="N504">
        <v>5</v>
      </c>
      <c r="O504">
        <v>6</v>
      </c>
      <c r="P504">
        <v>7</v>
      </c>
      <c r="Q504">
        <v>8</v>
      </c>
      <c r="R504">
        <v>8</v>
      </c>
      <c r="S504">
        <v>10</v>
      </c>
      <c r="T504">
        <v>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62</v>
      </c>
      <c r="AC504" t="s">
        <v>34</v>
      </c>
      <c r="AD504" t="s">
        <v>34</v>
      </c>
      <c r="AE504">
        <v>2</v>
      </c>
      <c r="AF504">
        <v>1</v>
      </c>
      <c r="AG504" t="s">
        <v>2570</v>
      </c>
      <c r="AH504">
        <v>2</v>
      </c>
      <c r="AL504" t="s">
        <v>35</v>
      </c>
      <c r="AM504" t="s">
        <v>35</v>
      </c>
      <c r="AN504" t="s">
        <v>48</v>
      </c>
    </row>
    <row r="505" spans="1:40" x14ac:dyDescent="0.2">
      <c r="A505" s="2">
        <v>46002.471435185187</v>
      </c>
      <c r="B505" t="s">
        <v>2571</v>
      </c>
      <c r="C505" t="s">
        <v>2483</v>
      </c>
      <c r="D505" t="s">
        <v>2497</v>
      </c>
      <c r="E505" t="s">
        <v>2555</v>
      </c>
      <c r="F505" t="s">
        <v>2572</v>
      </c>
      <c r="G505">
        <v>89961770992</v>
      </c>
      <c r="H505" t="s">
        <v>2573</v>
      </c>
      <c r="I505" t="s">
        <v>835</v>
      </c>
      <c r="J505" t="s">
        <v>34</v>
      </c>
      <c r="K505">
        <v>98</v>
      </c>
      <c r="L505">
        <v>21</v>
      </c>
      <c r="M505">
        <v>7</v>
      </c>
      <c r="N505">
        <v>5</v>
      </c>
      <c r="O505">
        <v>3</v>
      </c>
      <c r="P505">
        <v>5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C505" t="s">
        <v>34</v>
      </c>
      <c r="AD505" t="s">
        <v>34</v>
      </c>
      <c r="AE505">
        <v>1</v>
      </c>
      <c r="AF505">
        <v>0</v>
      </c>
      <c r="AG505" t="s">
        <v>2574</v>
      </c>
      <c r="AL505" t="s">
        <v>34</v>
      </c>
      <c r="AM505" t="s">
        <v>34</v>
      </c>
    </row>
    <row r="506" spans="1:40" x14ac:dyDescent="0.2">
      <c r="A506" s="2">
        <v>45985.641539351847</v>
      </c>
      <c r="B506" t="s">
        <v>2575</v>
      </c>
      <c r="C506" t="s">
        <v>2483</v>
      </c>
      <c r="D506" t="s">
        <v>2497</v>
      </c>
      <c r="E506" t="s">
        <v>2555</v>
      </c>
      <c r="F506" t="s">
        <v>2576</v>
      </c>
      <c r="G506">
        <v>89090219981</v>
      </c>
      <c r="H506" t="s">
        <v>2577</v>
      </c>
      <c r="I506" t="s">
        <v>2578</v>
      </c>
      <c r="J506" t="s">
        <v>34</v>
      </c>
      <c r="K506">
        <v>122</v>
      </c>
      <c r="L506">
        <v>46</v>
      </c>
      <c r="M506" s="4">
        <v>27</v>
      </c>
      <c r="N506" s="4">
        <v>2</v>
      </c>
      <c r="O506" s="4">
        <v>1</v>
      </c>
      <c r="P506" s="4">
        <v>0</v>
      </c>
      <c r="Q506" s="4">
        <v>0</v>
      </c>
      <c r="R506" s="4">
        <v>0</v>
      </c>
      <c r="S506" s="4">
        <v>1</v>
      </c>
      <c r="T506" s="4">
        <v>1</v>
      </c>
      <c r="U506" s="4">
        <v>2</v>
      </c>
      <c r="V506" s="4">
        <v>2</v>
      </c>
      <c r="W506" s="4">
        <v>2</v>
      </c>
      <c r="X506" s="4">
        <v>6</v>
      </c>
      <c r="Y506" s="4">
        <v>2</v>
      </c>
      <c r="Z506" s="4">
        <v>0</v>
      </c>
      <c r="AA506" s="4">
        <v>0</v>
      </c>
      <c r="AB506" t="s">
        <v>50</v>
      </c>
      <c r="AC506" t="s">
        <v>34</v>
      </c>
      <c r="AD506" t="s">
        <v>34</v>
      </c>
      <c r="AE506">
        <v>2</v>
      </c>
      <c r="AF506">
        <v>2</v>
      </c>
      <c r="AG506" t="s">
        <v>2579</v>
      </c>
      <c r="AH506">
        <v>1</v>
      </c>
      <c r="AL506" t="s">
        <v>34</v>
      </c>
      <c r="AM506" t="s">
        <v>34</v>
      </c>
    </row>
    <row r="507" spans="1:40" x14ac:dyDescent="0.2">
      <c r="A507" s="2">
        <v>46001.410416666673</v>
      </c>
      <c r="B507" t="s">
        <v>2580</v>
      </c>
      <c r="C507" t="s">
        <v>2483</v>
      </c>
      <c r="D507" t="s">
        <v>2497</v>
      </c>
      <c r="E507" t="s">
        <v>2555</v>
      </c>
      <c r="F507" t="s">
        <v>2581</v>
      </c>
      <c r="G507">
        <v>89090219981</v>
      </c>
      <c r="H507" t="s">
        <v>2582</v>
      </c>
      <c r="I507" t="s">
        <v>2583</v>
      </c>
      <c r="J507" t="s">
        <v>34</v>
      </c>
      <c r="K507">
        <v>55</v>
      </c>
      <c r="L507">
        <v>56</v>
      </c>
      <c r="M507">
        <v>25</v>
      </c>
      <c r="N507">
        <v>2</v>
      </c>
      <c r="O507">
        <v>2</v>
      </c>
      <c r="P507">
        <v>4</v>
      </c>
      <c r="Q507">
        <v>3</v>
      </c>
      <c r="R507">
        <v>1</v>
      </c>
      <c r="S507">
        <v>1</v>
      </c>
      <c r="T507">
        <v>2</v>
      </c>
      <c r="U507">
        <v>1</v>
      </c>
      <c r="V507">
        <v>4</v>
      </c>
      <c r="W507">
        <v>2</v>
      </c>
      <c r="X507">
        <v>6</v>
      </c>
      <c r="Y507">
        <v>2</v>
      </c>
      <c r="Z507">
        <v>1</v>
      </c>
      <c r="AA507">
        <v>0</v>
      </c>
      <c r="AC507" t="s">
        <v>34</v>
      </c>
      <c r="AD507" t="s">
        <v>34</v>
      </c>
      <c r="AE507">
        <v>1</v>
      </c>
      <c r="AF507">
        <v>1</v>
      </c>
      <c r="AG507" t="s">
        <v>2584</v>
      </c>
      <c r="AL507" t="s">
        <v>34</v>
      </c>
      <c r="AM507" t="s">
        <v>34</v>
      </c>
    </row>
    <row r="508" spans="1:40" x14ac:dyDescent="0.2">
      <c r="A508" s="2">
        <v>45985.431597222218</v>
      </c>
      <c r="B508" t="s">
        <v>2585</v>
      </c>
      <c r="C508" t="s">
        <v>2483</v>
      </c>
      <c r="D508" t="s">
        <v>2497</v>
      </c>
      <c r="E508" t="s">
        <v>2555</v>
      </c>
      <c r="F508" t="s">
        <v>2586</v>
      </c>
      <c r="G508">
        <v>89638565992</v>
      </c>
      <c r="H508" t="s">
        <v>2587</v>
      </c>
      <c r="I508" t="s">
        <v>2588</v>
      </c>
      <c r="J508" t="s">
        <v>34</v>
      </c>
      <c r="K508">
        <v>40</v>
      </c>
      <c r="L508">
        <v>26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</v>
      </c>
      <c r="S508">
        <v>3</v>
      </c>
      <c r="T508">
        <v>2</v>
      </c>
      <c r="U508">
        <v>2</v>
      </c>
      <c r="V508">
        <v>5</v>
      </c>
      <c r="W508">
        <v>8</v>
      </c>
      <c r="X508">
        <v>4</v>
      </c>
      <c r="Y508">
        <v>0</v>
      </c>
      <c r="Z508">
        <v>0</v>
      </c>
      <c r="AA508">
        <v>0</v>
      </c>
      <c r="AB508" t="s">
        <v>189</v>
      </c>
      <c r="AC508" t="s">
        <v>35</v>
      </c>
      <c r="AD508" t="s">
        <v>35</v>
      </c>
      <c r="AE508">
        <v>2</v>
      </c>
      <c r="AF508">
        <v>1</v>
      </c>
      <c r="AG508" t="s">
        <v>2589</v>
      </c>
      <c r="AL508" t="s">
        <v>34</v>
      </c>
      <c r="AM508" t="s">
        <v>34</v>
      </c>
    </row>
    <row r="509" spans="1:40" x14ac:dyDescent="0.2">
      <c r="A509" s="2">
        <v>46002.464606481481</v>
      </c>
      <c r="B509" t="s">
        <v>2590</v>
      </c>
      <c r="C509" t="s">
        <v>2483</v>
      </c>
      <c r="D509" t="s">
        <v>2497</v>
      </c>
      <c r="E509" t="s">
        <v>2555</v>
      </c>
      <c r="F509" t="s">
        <v>2591</v>
      </c>
      <c r="G509">
        <v>89049807423</v>
      </c>
      <c r="H509" t="s">
        <v>2592</v>
      </c>
      <c r="I509" t="s">
        <v>1886</v>
      </c>
      <c r="J509" t="s">
        <v>34</v>
      </c>
      <c r="K509">
        <v>25</v>
      </c>
      <c r="L509">
        <v>25</v>
      </c>
      <c r="M509">
        <v>12</v>
      </c>
      <c r="N509">
        <v>3</v>
      </c>
      <c r="O509">
        <v>4</v>
      </c>
      <c r="P509">
        <v>1</v>
      </c>
      <c r="Q509">
        <v>2</v>
      </c>
      <c r="R509">
        <v>2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C509" t="s">
        <v>34</v>
      </c>
      <c r="AD509" t="s">
        <v>34</v>
      </c>
      <c r="AE509">
        <v>2</v>
      </c>
      <c r="AF509">
        <v>2</v>
      </c>
      <c r="AG509" t="s">
        <v>2593</v>
      </c>
      <c r="AL509" t="s">
        <v>34</v>
      </c>
      <c r="AM509" t="s">
        <v>34</v>
      </c>
    </row>
    <row r="510" spans="1:40" x14ac:dyDescent="0.2">
      <c r="A510" s="2">
        <v>46002.395995370367</v>
      </c>
      <c r="B510" t="s">
        <v>2594</v>
      </c>
      <c r="C510" t="s">
        <v>2483</v>
      </c>
      <c r="D510" t="s">
        <v>2497</v>
      </c>
      <c r="E510" t="s">
        <v>2595</v>
      </c>
      <c r="F510" t="s">
        <v>2596</v>
      </c>
      <c r="G510">
        <v>73432276634</v>
      </c>
      <c r="H510" t="s">
        <v>2597</v>
      </c>
      <c r="I510" t="s">
        <v>49</v>
      </c>
      <c r="J510" t="s">
        <v>34</v>
      </c>
      <c r="K510">
        <v>712</v>
      </c>
      <c r="L510">
        <v>17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7</v>
      </c>
      <c r="U510">
        <v>10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317</v>
      </c>
      <c r="AC510" t="s">
        <v>35</v>
      </c>
      <c r="AD510" t="s">
        <v>35</v>
      </c>
      <c r="AE510">
        <v>1</v>
      </c>
      <c r="AF510">
        <v>1</v>
      </c>
      <c r="AG510" t="s">
        <v>2598</v>
      </c>
      <c r="AH510">
        <v>1</v>
      </c>
      <c r="AL510" t="s">
        <v>35</v>
      </c>
      <c r="AM510" t="s">
        <v>34</v>
      </c>
    </row>
    <row r="511" spans="1:40" x14ac:dyDescent="0.2">
      <c r="A511" s="2">
        <v>45994.890451388892</v>
      </c>
      <c r="B511" t="s">
        <v>2599</v>
      </c>
      <c r="C511" t="s">
        <v>2483</v>
      </c>
      <c r="D511" t="s">
        <v>2497</v>
      </c>
      <c r="E511" t="s">
        <v>2595</v>
      </c>
      <c r="F511" t="s">
        <v>2600</v>
      </c>
      <c r="G511">
        <v>89089144111</v>
      </c>
      <c r="H511" t="s">
        <v>2601</v>
      </c>
      <c r="I511" t="s">
        <v>2602</v>
      </c>
      <c r="J511" t="s">
        <v>34</v>
      </c>
      <c r="K511">
        <v>159</v>
      </c>
      <c r="L511">
        <v>101</v>
      </c>
      <c r="M511">
        <v>0</v>
      </c>
      <c r="N511">
        <v>0</v>
      </c>
      <c r="O511">
        <v>0</v>
      </c>
      <c r="P511">
        <v>0</v>
      </c>
      <c r="Q511">
        <v>9</v>
      </c>
      <c r="R511">
        <v>4</v>
      </c>
      <c r="S511">
        <v>5</v>
      </c>
      <c r="T511">
        <v>12</v>
      </c>
      <c r="U511">
        <v>13</v>
      </c>
      <c r="V511">
        <v>15</v>
      </c>
      <c r="W511">
        <v>30</v>
      </c>
      <c r="X511">
        <v>4</v>
      </c>
      <c r="Y511">
        <v>4</v>
      </c>
      <c r="Z511">
        <v>5</v>
      </c>
      <c r="AA511">
        <v>0</v>
      </c>
      <c r="AB511" t="s">
        <v>50</v>
      </c>
      <c r="AC511" t="s">
        <v>34</v>
      </c>
      <c r="AD511" t="s">
        <v>34</v>
      </c>
      <c r="AE511">
        <v>2</v>
      </c>
      <c r="AF511">
        <v>2</v>
      </c>
      <c r="AG511" t="s">
        <v>34</v>
      </c>
      <c r="AL511" t="s">
        <v>35</v>
      </c>
      <c r="AM511" t="s">
        <v>35</v>
      </c>
    </row>
    <row r="512" spans="1:40" x14ac:dyDescent="0.2">
      <c r="A512" s="2">
        <v>45995.739664351851</v>
      </c>
      <c r="B512" t="s">
        <v>2603</v>
      </c>
      <c r="C512" t="s">
        <v>2483</v>
      </c>
      <c r="D512" t="s">
        <v>2497</v>
      </c>
      <c r="E512" t="s">
        <v>2595</v>
      </c>
      <c r="F512" t="s">
        <v>2604</v>
      </c>
      <c r="G512" t="s">
        <v>2605</v>
      </c>
      <c r="H512" t="s">
        <v>2606</v>
      </c>
      <c r="I512" t="s">
        <v>2607</v>
      </c>
      <c r="J512" t="s">
        <v>34</v>
      </c>
      <c r="K512">
        <v>35</v>
      </c>
      <c r="L512">
        <v>12</v>
      </c>
      <c r="M512" s="4">
        <v>5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3</v>
      </c>
      <c r="V512" s="4">
        <v>2</v>
      </c>
      <c r="W512" s="4">
        <v>2</v>
      </c>
      <c r="X512" s="4">
        <v>0</v>
      </c>
      <c r="Y512" s="4">
        <v>0</v>
      </c>
      <c r="Z512" s="4">
        <v>0</v>
      </c>
      <c r="AA512" s="4">
        <v>0</v>
      </c>
      <c r="AB512" t="s">
        <v>50</v>
      </c>
      <c r="AC512" t="s">
        <v>35</v>
      </c>
      <c r="AD512" t="s">
        <v>35</v>
      </c>
      <c r="AE512">
        <v>1</v>
      </c>
      <c r="AF512">
        <v>1</v>
      </c>
      <c r="AG512" t="s">
        <v>2608</v>
      </c>
      <c r="AL512" t="s">
        <v>34</v>
      </c>
      <c r="AM512" t="s">
        <v>34</v>
      </c>
    </row>
    <row r="513" spans="1:40" x14ac:dyDescent="0.2">
      <c r="A513" s="2">
        <v>45994.682013888887</v>
      </c>
      <c r="B513" t="s">
        <v>2609</v>
      </c>
      <c r="C513" t="s">
        <v>2483</v>
      </c>
      <c r="D513" t="s">
        <v>2497</v>
      </c>
      <c r="E513" t="s">
        <v>2595</v>
      </c>
      <c r="F513" t="s">
        <v>2610</v>
      </c>
      <c r="G513">
        <v>89920220700</v>
      </c>
      <c r="H513" t="s">
        <v>2611</v>
      </c>
      <c r="I513" t="s">
        <v>49</v>
      </c>
      <c r="J513" t="s">
        <v>34</v>
      </c>
      <c r="K513">
        <v>96</v>
      </c>
      <c r="L513">
        <v>14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4</v>
      </c>
      <c r="W513">
        <v>3</v>
      </c>
      <c r="X513">
        <v>3</v>
      </c>
      <c r="Y513">
        <v>2</v>
      </c>
      <c r="Z513">
        <v>0</v>
      </c>
      <c r="AA513">
        <v>2</v>
      </c>
      <c r="AB513" t="s">
        <v>995</v>
      </c>
      <c r="AC513" t="s">
        <v>35</v>
      </c>
      <c r="AD513" t="s">
        <v>35</v>
      </c>
      <c r="AE513">
        <v>2</v>
      </c>
      <c r="AF513">
        <v>0</v>
      </c>
      <c r="AG513" t="s">
        <v>34</v>
      </c>
      <c r="AL513" t="s">
        <v>35</v>
      </c>
      <c r="AM513" t="s">
        <v>34</v>
      </c>
    </row>
    <row r="514" spans="1:40" x14ac:dyDescent="0.2">
      <c r="A514" s="2">
        <v>45995.57203703704</v>
      </c>
      <c r="B514" t="s">
        <v>2612</v>
      </c>
      <c r="C514" t="s">
        <v>2483</v>
      </c>
      <c r="D514" t="s">
        <v>2497</v>
      </c>
      <c r="E514" t="s">
        <v>2595</v>
      </c>
      <c r="F514" t="s">
        <v>2613</v>
      </c>
      <c r="G514" t="s">
        <v>2614</v>
      </c>
      <c r="H514" t="s">
        <v>2615</v>
      </c>
      <c r="I514" t="s">
        <v>2616</v>
      </c>
      <c r="J514" t="s">
        <v>34</v>
      </c>
      <c r="K514">
        <v>167</v>
      </c>
      <c r="L514">
        <v>67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10</v>
      </c>
      <c r="S514">
        <v>15</v>
      </c>
      <c r="T514">
        <v>5</v>
      </c>
      <c r="U514">
        <v>15</v>
      </c>
      <c r="V514">
        <v>15</v>
      </c>
      <c r="W514">
        <v>6</v>
      </c>
      <c r="X514">
        <v>0</v>
      </c>
      <c r="Y514">
        <v>0</v>
      </c>
      <c r="Z514">
        <v>0</v>
      </c>
      <c r="AA514">
        <v>0</v>
      </c>
      <c r="AB514" t="s">
        <v>696</v>
      </c>
      <c r="AC514" t="s">
        <v>34</v>
      </c>
      <c r="AD514" t="s">
        <v>34</v>
      </c>
      <c r="AE514">
        <v>1</v>
      </c>
      <c r="AF514">
        <v>0</v>
      </c>
      <c r="AG514" t="s">
        <v>2617</v>
      </c>
      <c r="AL514" t="s">
        <v>34</v>
      </c>
      <c r="AM514" t="s">
        <v>34</v>
      </c>
    </row>
    <row r="515" spans="1:40" x14ac:dyDescent="0.2">
      <c r="A515" s="2">
        <v>46001.405775462961</v>
      </c>
      <c r="B515" t="s">
        <v>2618</v>
      </c>
      <c r="C515" t="s">
        <v>2483</v>
      </c>
      <c r="D515" t="s">
        <v>2497</v>
      </c>
      <c r="E515" t="s">
        <v>2555</v>
      </c>
      <c r="F515" t="s">
        <v>2619</v>
      </c>
      <c r="G515">
        <v>79122531090</v>
      </c>
      <c r="H515" t="s">
        <v>2620</v>
      </c>
      <c r="I515" t="s">
        <v>471</v>
      </c>
      <c r="J515" t="s">
        <v>34</v>
      </c>
      <c r="K515">
        <v>31</v>
      </c>
      <c r="L515">
        <v>31</v>
      </c>
      <c r="M515">
        <v>20</v>
      </c>
      <c r="N515">
        <v>0</v>
      </c>
      <c r="O515">
        <v>0</v>
      </c>
      <c r="P515">
        <v>1</v>
      </c>
      <c r="Q515">
        <v>0</v>
      </c>
      <c r="R515">
        <v>1</v>
      </c>
      <c r="S515">
        <v>4</v>
      </c>
      <c r="T515">
        <v>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C515" t="s">
        <v>35</v>
      </c>
      <c r="AD515" t="s">
        <v>34</v>
      </c>
      <c r="AE515">
        <v>1</v>
      </c>
      <c r="AF515">
        <v>1</v>
      </c>
      <c r="AG515" t="s">
        <v>2621</v>
      </c>
      <c r="AH515">
        <v>1</v>
      </c>
      <c r="AL515" t="s">
        <v>34</v>
      </c>
      <c r="AM515" t="s">
        <v>34</v>
      </c>
    </row>
    <row r="516" spans="1:40" x14ac:dyDescent="0.2">
      <c r="A516" s="2">
        <v>45993.474444444437</v>
      </c>
      <c r="B516" t="s">
        <v>2632</v>
      </c>
      <c r="C516" t="s">
        <v>2483</v>
      </c>
      <c r="D516" t="s">
        <v>2497</v>
      </c>
      <c r="E516" t="s">
        <v>2633</v>
      </c>
      <c r="F516" t="s">
        <v>2634</v>
      </c>
      <c r="G516">
        <v>73435564591</v>
      </c>
      <c r="H516" t="s">
        <v>2635</v>
      </c>
      <c r="I516" t="s">
        <v>49</v>
      </c>
      <c r="J516" t="s">
        <v>34</v>
      </c>
      <c r="K516">
        <v>153</v>
      </c>
      <c r="L516">
        <v>55</v>
      </c>
      <c r="M516">
        <v>0</v>
      </c>
      <c r="N516">
        <v>0</v>
      </c>
      <c r="O516">
        <v>4</v>
      </c>
      <c r="P516">
        <v>5</v>
      </c>
      <c r="Q516">
        <v>5</v>
      </c>
      <c r="R516">
        <v>11</v>
      </c>
      <c r="S516">
        <v>11</v>
      </c>
      <c r="T516">
        <v>9</v>
      </c>
      <c r="U516">
        <v>5</v>
      </c>
      <c r="V516">
        <v>4</v>
      </c>
      <c r="W516">
        <v>1</v>
      </c>
      <c r="X516">
        <v>0</v>
      </c>
      <c r="Y516">
        <v>0</v>
      </c>
      <c r="Z516">
        <v>0</v>
      </c>
      <c r="AA516">
        <v>0</v>
      </c>
      <c r="AB516" t="s">
        <v>50</v>
      </c>
      <c r="AC516" t="s">
        <v>35</v>
      </c>
      <c r="AD516" t="s">
        <v>34</v>
      </c>
      <c r="AE516">
        <v>1</v>
      </c>
      <c r="AF516">
        <v>0</v>
      </c>
      <c r="AG516" t="s">
        <v>2636</v>
      </c>
      <c r="AL516" t="s">
        <v>35</v>
      </c>
      <c r="AM516" t="s">
        <v>34</v>
      </c>
      <c r="AN516" t="s">
        <v>56</v>
      </c>
    </row>
    <row r="517" spans="1:40" x14ac:dyDescent="0.2">
      <c r="A517" s="2">
        <v>45993.94976851852</v>
      </c>
      <c r="B517" t="s">
        <v>2641</v>
      </c>
      <c r="C517" t="s">
        <v>2483</v>
      </c>
      <c r="D517" t="s">
        <v>2497</v>
      </c>
      <c r="E517" t="s">
        <v>2642</v>
      </c>
      <c r="F517" t="s">
        <v>2643</v>
      </c>
      <c r="G517">
        <v>83439323500</v>
      </c>
      <c r="H517" t="s">
        <v>2644</v>
      </c>
      <c r="I517" t="s">
        <v>93</v>
      </c>
      <c r="J517" t="s">
        <v>34</v>
      </c>
      <c r="K517">
        <v>565</v>
      </c>
      <c r="L517">
        <v>10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1</v>
      </c>
      <c r="U517">
        <v>2</v>
      </c>
      <c r="V517">
        <v>1</v>
      </c>
      <c r="W517">
        <v>1</v>
      </c>
      <c r="X517">
        <v>2</v>
      </c>
      <c r="Y517">
        <v>1</v>
      </c>
      <c r="Z517">
        <v>1</v>
      </c>
      <c r="AA517">
        <v>0</v>
      </c>
      <c r="AB517" t="s">
        <v>533</v>
      </c>
      <c r="AC517" t="s">
        <v>35</v>
      </c>
      <c r="AD517" t="s">
        <v>35</v>
      </c>
      <c r="AE517">
        <v>4</v>
      </c>
      <c r="AF517">
        <v>0</v>
      </c>
      <c r="AG517" t="s">
        <v>56</v>
      </c>
      <c r="AL517" t="s">
        <v>35</v>
      </c>
      <c r="AM517" t="s">
        <v>34</v>
      </c>
      <c r="AN517" t="s">
        <v>2645</v>
      </c>
    </row>
    <row r="518" spans="1:40" x14ac:dyDescent="0.2">
      <c r="A518" s="2">
        <v>46000.607881944437</v>
      </c>
      <c r="B518" t="s">
        <v>2652</v>
      </c>
      <c r="C518" t="s">
        <v>2483</v>
      </c>
      <c r="D518" t="s">
        <v>2497</v>
      </c>
      <c r="E518" t="s">
        <v>2653</v>
      </c>
      <c r="F518" t="s">
        <v>2654</v>
      </c>
      <c r="G518" t="s">
        <v>2655</v>
      </c>
      <c r="H518" t="s">
        <v>2656</v>
      </c>
      <c r="I518" t="s">
        <v>49</v>
      </c>
      <c r="J518" t="s">
        <v>34</v>
      </c>
      <c r="K518">
        <v>187</v>
      </c>
      <c r="L518">
        <v>29</v>
      </c>
      <c r="M518">
        <v>0</v>
      </c>
      <c r="N518">
        <v>0</v>
      </c>
      <c r="O518">
        <v>1</v>
      </c>
      <c r="P518">
        <v>0</v>
      </c>
      <c r="Q518">
        <v>1</v>
      </c>
      <c r="R518">
        <v>4</v>
      </c>
      <c r="S518">
        <v>0</v>
      </c>
      <c r="T518">
        <v>10</v>
      </c>
      <c r="U518">
        <v>4</v>
      </c>
      <c r="V518">
        <v>0</v>
      </c>
      <c r="W518">
        <v>9</v>
      </c>
      <c r="X518">
        <v>0</v>
      </c>
      <c r="Y518">
        <v>0</v>
      </c>
      <c r="Z518">
        <v>0</v>
      </c>
      <c r="AA518">
        <v>0</v>
      </c>
      <c r="AC518" t="s">
        <v>34</v>
      </c>
      <c r="AD518" t="s">
        <v>34</v>
      </c>
      <c r="AE518">
        <v>1</v>
      </c>
      <c r="AF518">
        <v>1</v>
      </c>
      <c r="AG518" t="s">
        <v>2657</v>
      </c>
      <c r="AL518" t="s">
        <v>35</v>
      </c>
      <c r="AM518" t="s">
        <v>35</v>
      </c>
    </row>
    <row r="519" spans="1:40" x14ac:dyDescent="0.2">
      <c r="A519" s="2">
        <v>46001.573703703703</v>
      </c>
      <c r="B519" t="s">
        <v>2662</v>
      </c>
      <c r="C519" t="s">
        <v>2483</v>
      </c>
      <c r="D519" t="s">
        <v>2497</v>
      </c>
      <c r="E519" t="s">
        <v>2663</v>
      </c>
      <c r="F519" t="s">
        <v>2664</v>
      </c>
      <c r="G519" t="s">
        <v>2665</v>
      </c>
      <c r="H519" t="s">
        <v>2666</v>
      </c>
      <c r="I519" t="s">
        <v>49</v>
      </c>
      <c r="J519" t="s">
        <v>34</v>
      </c>
      <c r="K519">
        <v>105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2667</v>
      </c>
      <c r="AC519" t="s">
        <v>35</v>
      </c>
      <c r="AD519" t="s">
        <v>35</v>
      </c>
      <c r="AE519">
        <v>1</v>
      </c>
      <c r="AF519">
        <v>0</v>
      </c>
      <c r="AG519" t="s">
        <v>48</v>
      </c>
      <c r="AL519" t="s">
        <v>35</v>
      </c>
      <c r="AM519" t="s">
        <v>34</v>
      </c>
    </row>
    <row r="520" spans="1:40" x14ac:dyDescent="0.2">
      <c r="A520" s="2">
        <v>45980.571157407408</v>
      </c>
      <c r="B520" t="s">
        <v>2724</v>
      </c>
      <c r="C520" t="s">
        <v>2483</v>
      </c>
      <c r="D520" t="s">
        <v>2497</v>
      </c>
      <c r="E520" t="s">
        <v>2725</v>
      </c>
      <c r="F520" t="s">
        <v>2726</v>
      </c>
      <c r="G520">
        <v>83435379998</v>
      </c>
      <c r="H520" t="s">
        <v>2727</v>
      </c>
      <c r="I520" t="s">
        <v>93</v>
      </c>
      <c r="J520" t="s">
        <v>34</v>
      </c>
      <c r="K520">
        <v>236</v>
      </c>
      <c r="L520">
        <v>2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1</v>
      </c>
      <c r="Y520">
        <v>0</v>
      </c>
      <c r="Z520">
        <v>0</v>
      </c>
      <c r="AA520">
        <v>0</v>
      </c>
      <c r="AB520" t="s">
        <v>50</v>
      </c>
      <c r="AC520" t="s">
        <v>35</v>
      </c>
      <c r="AD520" t="s">
        <v>35</v>
      </c>
      <c r="AE520">
        <v>2</v>
      </c>
      <c r="AF520">
        <v>0</v>
      </c>
      <c r="AG520">
        <v>0</v>
      </c>
      <c r="AL520" t="s">
        <v>35</v>
      </c>
      <c r="AM520" t="s">
        <v>34</v>
      </c>
    </row>
    <row r="521" spans="1:40" x14ac:dyDescent="0.2">
      <c r="A521" s="2">
        <v>46001.374652777777</v>
      </c>
      <c r="B521" t="s">
        <v>2728</v>
      </c>
      <c r="C521" t="s">
        <v>2483</v>
      </c>
      <c r="D521" t="s">
        <v>2497</v>
      </c>
      <c r="E521" t="s">
        <v>2725</v>
      </c>
      <c r="F521" t="s">
        <v>2729</v>
      </c>
      <c r="G521">
        <v>73435401062</v>
      </c>
      <c r="H521" t="s">
        <v>2730</v>
      </c>
      <c r="I521" t="s">
        <v>49</v>
      </c>
      <c r="J521" t="s">
        <v>34</v>
      </c>
      <c r="K521">
        <v>234</v>
      </c>
      <c r="L521">
        <v>12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</v>
      </c>
      <c r="T521">
        <v>1</v>
      </c>
      <c r="U521">
        <v>1</v>
      </c>
      <c r="V521">
        <v>2</v>
      </c>
      <c r="W521">
        <v>5</v>
      </c>
      <c r="X521">
        <v>0</v>
      </c>
      <c r="Y521">
        <v>0</v>
      </c>
      <c r="Z521">
        <v>0</v>
      </c>
      <c r="AA521">
        <v>0</v>
      </c>
      <c r="AC521" t="s">
        <v>35</v>
      </c>
      <c r="AD521" t="s">
        <v>35</v>
      </c>
      <c r="AE521">
        <v>0</v>
      </c>
      <c r="AF521">
        <v>0</v>
      </c>
      <c r="AG521" t="s">
        <v>2731</v>
      </c>
      <c r="AL521" t="s">
        <v>35</v>
      </c>
      <c r="AM521" t="s">
        <v>35</v>
      </c>
    </row>
    <row r="522" spans="1:40" x14ac:dyDescent="0.2">
      <c r="A522" s="2">
        <v>45986.511018518519</v>
      </c>
      <c r="B522" t="s">
        <v>2737</v>
      </c>
      <c r="C522" t="s">
        <v>2483</v>
      </c>
      <c r="D522" t="s">
        <v>2497</v>
      </c>
      <c r="E522" t="s">
        <v>2738</v>
      </c>
      <c r="F522" t="s">
        <v>2739</v>
      </c>
      <c r="G522" t="s">
        <v>2740</v>
      </c>
      <c r="H522" t="s">
        <v>2741</v>
      </c>
      <c r="I522" t="s">
        <v>49</v>
      </c>
      <c r="J522" t="s">
        <v>34</v>
      </c>
      <c r="K522">
        <v>317</v>
      </c>
      <c r="L522">
        <v>78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3</v>
      </c>
      <c r="S522">
        <v>8</v>
      </c>
      <c r="T522">
        <v>4</v>
      </c>
      <c r="U522">
        <v>5</v>
      </c>
      <c r="V522">
        <v>6</v>
      </c>
      <c r="W522">
        <v>4</v>
      </c>
      <c r="X522">
        <v>4</v>
      </c>
      <c r="Y522">
        <v>8</v>
      </c>
      <c r="Z522">
        <v>9</v>
      </c>
      <c r="AA522">
        <v>27</v>
      </c>
      <c r="AB522" t="s">
        <v>108</v>
      </c>
      <c r="AC522" t="s">
        <v>35</v>
      </c>
      <c r="AD522" t="s">
        <v>35</v>
      </c>
      <c r="AE522">
        <v>1</v>
      </c>
      <c r="AF522">
        <v>1</v>
      </c>
      <c r="AG522" t="s">
        <v>2742</v>
      </c>
      <c r="AL522" t="s">
        <v>35</v>
      </c>
      <c r="AM522" t="s">
        <v>34</v>
      </c>
    </row>
    <row r="523" spans="1:40" x14ac:dyDescent="0.2">
      <c r="A523" s="2">
        <v>45996.319525462961</v>
      </c>
      <c r="B523" t="s">
        <v>2804</v>
      </c>
      <c r="C523" t="s">
        <v>2483</v>
      </c>
      <c r="D523" t="s">
        <v>2497</v>
      </c>
      <c r="E523" t="s">
        <v>2805</v>
      </c>
      <c r="F523" t="s">
        <v>2806</v>
      </c>
      <c r="G523" t="s">
        <v>2807</v>
      </c>
      <c r="H523" t="s">
        <v>2808</v>
      </c>
      <c r="I523" t="s">
        <v>33</v>
      </c>
      <c r="J523" t="s">
        <v>34</v>
      </c>
      <c r="K523">
        <v>139</v>
      </c>
      <c r="L523">
        <v>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2</v>
      </c>
      <c r="U523">
        <v>0</v>
      </c>
      <c r="V523">
        <v>1</v>
      </c>
      <c r="W523">
        <v>0</v>
      </c>
      <c r="X523">
        <v>2</v>
      </c>
      <c r="Y523">
        <v>0</v>
      </c>
      <c r="Z523">
        <v>0</v>
      </c>
      <c r="AA523">
        <v>0</v>
      </c>
      <c r="AB523" t="s">
        <v>2809</v>
      </c>
      <c r="AC523" t="s">
        <v>35</v>
      </c>
      <c r="AD523" t="s">
        <v>35</v>
      </c>
      <c r="AE523">
        <v>3</v>
      </c>
      <c r="AF523">
        <v>0</v>
      </c>
      <c r="AG523" t="s">
        <v>2810</v>
      </c>
      <c r="AL523" t="s">
        <v>35</v>
      </c>
      <c r="AM523" t="s">
        <v>34</v>
      </c>
      <c r="AN523" t="s">
        <v>2811</v>
      </c>
    </row>
    <row r="524" spans="1:40" x14ac:dyDescent="0.2">
      <c r="A524" s="2">
        <v>46000.603831018518</v>
      </c>
      <c r="B524" t="s">
        <v>2823</v>
      </c>
      <c r="C524" t="s">
        <v>2483</v>
      </c>
      <c r="D524" t="s">
        <v>2497</v>
      </c>
      <c r="E524" t="s">
        <v>2824</v>
      </c>
      <c r="F524" t="s">
        <v>2825</v>
      </c>
      <c r="G524" t="s">
        <v>2826</v>
      </c>
      <c r="H524" t="s">
        <v>2827</v>
      </c>
      <c r="I524" t="s">
        <v>49</v>
      </c>
      <c r="J524" t="s">
        <v>34</v>
      </c>
      <c r="K524">
        <v>151</v>
      </c>
      <c r="L524">
        <v>45</v>
      </c>
      <c r="M524" s="4">
        <v>0</v>
      </c>
      <c r="N524" s="4">
        <v>5</v>
      </c>
      <c r="O524" s="4">
        <v>7</v>
      </c>
      <c r="P524" s="4">
        <v>1</v>
      </c>
      <c r="Q524" s="4">
        <v>0</v>
      </c>
      <c r="R524" s="4">
        <v>0</v>
      </c>
      <c r="S524" s="4">
        <v>1</v>
      </c>
      <c r="T524" s="4">
        <v>2</v>
      </c>
      <c r="U524" s="4">
        <v>5</v>
      </c>
      <c r="V524" s="4">
        <v>2</v>
      </c>
      <c r="W524" s="4">
        <v>10</v>
      </c>
      <c r="X524" s="4">
        <v>3</v>
      </c>
      <c r="Y524" s="4">
        <v>4</v>
      </c>
      <c r="Z524" s="4">
        <v>5</v>
      </c>
      <c r="AA524" s="4">
        <v>0</v>
      </c>
      <c r="AC524" t="s">
        <v>35</v>
      </c>
      <c r="AD524" t="s">
        <v>34</v>
      </c>
      <c r="AE524">
        <v>1</v>
      </c>
      <c r="AF524">
        <v>0</v>
      </c>
      <c r="AG524" t="s">
        <v>2828</v>
      </c>
      <c r="AL524" t="s">
        <v>35</v>
      </c>
      <c r="AM524" t="s">
        <v>35</v>
      </c>
    </row>
    <row r="525" spans="1:40" x14ac:dyDescent="0.2">
      <c r="A525" s="2">
        <v>45980.618437500001</v>
      </c>
      <c r="B525" t="s">
        <v>2829</v>
      </c>
      <c r="C525" t="s">
        <v>2483</v>
      </c>
      <c r="D525" t="s">
        <v>2497</v>
      </c>
      <c r="E525" t="s">
        <v>2830</v>
      </c>
      <c r="F525" t="s">
        <v>2831</v>
      </c>
      <c r="G525" t="s">
        <v>2832</v>
      </c>
      <c r="H525" t="s">
        <v>2833</v>
      </c>
      <c r="I525" t="s">
        <v>49</v>
      </c>
      <c r="J525" t="s">
        <v>34</v>
      </c>
      <c r="K525">
        <v>216</v>
      </c>
      <c r="L525">
        <v>41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1</v>
      </c>
      <c r="V525">
        <v>3</v>
      </c>
      <c r="W525">
        <v>1</v>
      </c>
      <c r="X525">
        <v>0</v>
      </c>
      <c r="Y525">
        <v>11</v>
      </c>
      <c r="Z525">
        <v>16</v>
      </c>
      <c r="AA525">
        <v>8</v>
      </c>
      <c r="AB525" t="s">
        <v>50</v>
      </c>
      <c r="AC525" t="s">
        <v>35</v>
      </c>
      <c r="AD525" t="s">
        <v>34</v>
      </c>
      <c r="AE525">
        <v>3</v>
      </c>
      <c r="AF525">
        <v>0</v>
      </c>
      <c r="AG525" t="s">
        <v>56</v>
      </c>
      <c r="AL525" t="s">
        <v>35</v>
      </c>
      <c r="AM525" t="s">
        <v>34</v>
      </c>
    </row>
    <row r="526" spans="1:40" x14ac:dyDescent="0.2">
      <c r="A526" s="2">
        <v>45981.336643518523</v>
      </c>
      <c r="B526" t="s">
        <v>2834</v>
      </c>
      <c r="C526" t="s">
        <v>2483</v>
      </c>
      <c r="D526" t="s">
        <v>2835</v>
      </c>
      <c r="E526" t="s">
        <v>2836</v>
      </c>
      <c r="F526" t="s">
        <v>2837</v>
      </c>
      <c r="G526">
        <v>79088759354</v>
      </c>
      <c r="H526" t="s">
        <v>2838</v>
      </c>
      <c r="I526" t="s">
        <v>2839</v>
      </c>
      <c r="J526" t="s">
        <v>518</v>
      </c>
      <c r="K526">
        <v>580</v>
      </c>
      <c r="L526">
        <v>71</v>
      </c>
      <c r="M526">
        <v>0</v>
      </c>
      <c r="N526">
        <v>0</v>
      </c>
      <c r="O526">
        <v>0</v>
      </c>
      <c r="P526">
        <v>1</v>
      </c>
      <c r="Q526">
        <v>5</v>
      </c>
      <c r="R526">
        <v>10</v>
      </c>
      <c r="S526">
        <v>8</v>
      </c>
      <c r="T526">
        <v>14</v>
      </c>
      <c r="U526">
        <v>19</v>
      </c>
      <c r="V526">
        <v>10</v>
      </c>
      <c r="W526">
        <v>4</v>
      </c>
      <c r="X526">
        <v>0</v>
      </c>
      <c r="Y526">
        <v>0</v>
      </c>
      <c r="Z526">
        <v>0</v>
      </c>
      <c r="AA526">
        <v>0</v>
      </c>
      <c r="AB526" t="s">
        <v>939</v>
      </c>
      <c r="AC526" t="s">
        <v>34</v>
      </c>
      <c r="AD526" t="s">
        <v>34</v>
      </c>
      <c r="AE526">
        <v>3</v>
      </c>
      <c r="AF526">
        <v>1</v>
      </c>
      <c r="AG526" t="s">
        <v>2840</v>
      </c>
      <c r="AH526">
        <v>1</v>
      </c>
      <c r="AI526">
        <v>2</v>
      </c>
      <c r="AL526" t="s">
        <v>35</v>
      </c>
      <c r="AM526" t="s">
        <v>35</v>
      </c>
    </row>
    <row r="527" spans="1:40" x14ac:dyDescent="0.2">
      <c r="A527" s="2">
        <v>46001.520150462973</v>
      </c>
      <c r="B527" t="s">
        <v>2841</v>
      </c>
      <c r="C527" t="s">
        <v>2483</v>
      </c>
      <c r="D527" t="s">
        <v>2835</v>
      </c>
      <c r="E527" t="s">
        <v>2836</v>
      </c>
      <c r="F527" t="s">
        <v>2842</v>
      </c>
      <c r="G527">
        <v>89969469795</v>
      </c>
      <c r="H527" t="s">
        <v>2843</v>
      </c>
      <c r="I527" t="s">
        <v>1709</v>
      </c>
      <c r="J527" t="s">
        <v>34</v>
      </c>
      <c r="K527">
        <v>21</v>
      </c>
      <c r="L527">
        <v>21</v>
      </c>
      <c r="M527">
        <v>3</v>
      </c>
      <c r="N527">
        <v>6</v>
      </c>
      <c r="O527">
        <v>10</v>
      </c>
      <c r="P527">
        <v>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C527" t="s">
        <v>34</v>
      </c>
      <c r="AD527" t="s">
        <v>34</v>
      </c>
      <c r="AE527">
        <v>1</v>
      </c>
      <c r="AF527">
        <v>0</v>
      </c>
      <c r="AG527" t="s">
        <v>2844</v>
      </c>
      <c r="AL527" t="s">
        <v>34</v>
      </c>
      <c r="AM527" t="s">
        <v>34</v>
      </c>
    </row>
    <row r="528" spans="1:40" x14ac:dyDescent="0.2">
      <c r="A528" s="2">
        <v>45995.642905092587</v>
      </c>
      <c r="B528" t="s">
        <v>2845</v>
      </c>
      <c r="C528" t="s">
        <v>2483</v>
      </c>
      <c r="D528" t="s">
        <v>2835</v>
      </c>
      <c r="E528" t="s">
        <v>2836</v>
      </c>
      <c r="F528" t="s">
        <v>2846</v>
      </c>
      <c r="G528">
        <v>89120780370</v>
      </c>
      <c r="H528" t="s">
        <v>2847</v>
      </c>
      <c r="I528" t="s">
        <v>49</v>
      </c>
      <c r="J528" t="s">
        <v>34</v>
      </c>
      <c r="K528">
        <v>45</v>
      </c>
      <c r="L528">
        <v>45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2</v>
      </c>
      <c r="S528">
        <v>10</v>
      </c>
      <c r="T528">
        <v>7</v>
      </c>
      <c r="U528">
        <v>2</v>
      </c>
      <c r="V528">
        <v>6</v>
      </c>
      <c r="W528">
        <v>10</v>
      </c>
      <c r="X528">
        <v>7</v>
      </c>
      <c r="Y528">
        <v>0</v>
      </c>
      <c r="Z528">
        <v>0</v>
      </c>
      <c r="AA528">
        <v>0</v>
      </c>
      <c r="AB528" t="s">
        <v>317</v>
      </c>
      <c r="AC528" t="s">
        <v>34</v>
      </c>
      <c r="AD528" t="s">
        <v>34</v>
      </c>
      <c r="AE528">
        <v>1</v>
      </c>
      <c r="AF528">
        <v>0</v>
      </c>
      <c r="AG528" t="s">
        <v>2848</v>
      </c>
      <c r="AL528" t="s">
        <v>34</v>
      </c>
      <c r="AM528" t="s">
        <v>34</v>
      </c>
    </row>
    <row r="529" spans="1:40" x14ac:dyDescent="0.2">
      <c r="A529" s="2">
        <v>45994.373784722222</v>
      </c>
      <c r="B529" t="s">
        <v>2849</v>
      </c>
      <c r="C529" t="s">
        <v>2483</v>
      </c>
      <c r="D529" t="s">
        <v>2835</v>
      </c>
      <c r="E529" t="s">
        <v>2850</v>
      </c>
      <c r="F529" t="s">
        <v>2851</v>
      </c>
      <c r="G529" t="s">
        <v>2852</v>
      </c>
      <c r="H529" t="s">
        <v>2853</v>
      </c>
      <c r="I529" t="s">
        <v>2854</v>
      </c>
      <c r="J529" t="s">
        <v>34</v>
      </c>
      <c r="K529">
        <v>200</v>
      </c>
      <c r="L529">
        <v>12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5</v>
      </c>
      <c r="V529" s="4">
        <v>4</v>
      </c>
      <c r="W529" s="4">
        <v>2</v>
      </c>
      <c r="X529" s="4">
        <v>1</v>
      </c>
      <c r="Y529" s="4">
        <v>0</v>
      </c>
      <c r="Z529" s="4">
        <v>0</v>
      </c>
      <c r="AA529" s="4">
        <v>0</v>
      </c>
      <c r="AB529" t="s">
        <v>1144</v>
      </c>
      <c r="AC529" t="s">
        <v>34</v>
      </c>
      <c r="AD529" t="s">
        <v>35</v>
      </c>
      <c r="AE529">
        <v>1</v>
      </c>
      <c r="AF529">
        <v>1</v>
      </c>
      <c r="AG529" t="s">
        <v>2855</v>
      </c>
      <c r="AL529" t="s">
        <v>34</v>
      </c>
      <c r="AM529" t="s">
        <v>34</v>
      </c>
    </row>
    <row r="530" spans="1:40" x14ac:dyDescent="0.2">
      <c r="A530" s="2">
        <v>45994.557175925933</v>
      </c>
      <c r="B530" t="s">
        <v>2911</v>
      </c>
      <c r="C530" t="s">
        <v>2483</v>
      </c>
      <c r="D530" t="s">
        <v>2835</v>
      </c>
      <c r="E530" t="s">
        <v>2912</v>
      </c>
      <c r="F530" t="s">
        <v>2913</v>
      </c>
      <c r="G530">
        <v>83453520164</v>
      </c>
      <c r="H530" t="s">
        <v>2914</v>
      </c>
      <c r="I530" t="s">
        <v>49</v>
      </c>
      <c r="J530" t="s">
        <v>34</v>
      </c>
      <c r="K530">
        <v>285</v>
      </c>
      <c r="L530">
        <v>38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3</v>
      </c>
      <c r="T530">
        <v>8</v>
      </c>
      <c r="U530">
        <v>5</v>
      </c>
      <c r="V530">
        <v>7</v>
      </c>
      <c r="W530">
        <v>4</v>
      </c>
      <c r="X530">
        <v>11</v>
      </c>
      <c r="Y530">
        <v>0</v>
      </c>
      <c r="Z530">
        <v>0</v>
      </c>
      <c r="AA530">
        <v>0</v>
      </c>
      <c r="AB530" t="s">
        <v>131</v>
      </c>
      <c r="AC530" t="s">
        <v>34</v>
      </c>
      <c r="AD530" t="s">
        <v>34</v>
      </c>
      <c r="AE530">
        <v>1</v>
      </c>
      <c r="AF530">
        <v>0</v>
      </c>
      <c r="AG530" t="s">
        <v>2915</v>
      </c>
      <c r="AL530" t="s">
        <v>35</v>
      </c>
      <c r="AM530" t="s">
        <v>34</v>
      </c>
      <c r="AN530" t="s">
        <v>1428</v>
      </c>
    </row>
    <row r="531" spans="1:40" x14ac:dyDescent="0.2">
      <c r="A531" s="2">
        <v>45995.577164351853</v>
      </c>
      <c r="B531" t="s">
        <v>2711</v>
      </c>
      <c r="C531" t="s">
        <v>2483</v>
      </c>
      <c r="D531" t="s">
        <v>2392</v>
      </c>
      <c r="E531" t="s">
        <v>2712</v>
      </c>
      <c r="F531" t="s">
        <v>2713</v>
      </c>
      <c r="G531" t="s">
        <v>2714</v>
      </c>
      <c r="H531" t="s">
        <v>2715</v>
      </c>
      <c r="I531" t="s">
        <v>93</v>
      </c>
      <c r="J531" t="s">
        <v>34</v>
      </c>
      <c r="K531">
        <v>558</v>
      </c>
      <c r="L531">
        <v>85</v>
      </c>
      <c r="M531">
        <v>0</v>
      </c>
      <c r="N531">
        <v>0</v>
      </c>
      <c r="O531">
        <v>1</v>
      </c>
      <c r="P531">
        <v>5</v>
      </c>
      <c r="Q531">
        <v>5</v>
      </c>
      <c r="R531">
        <v>3</v>
      </c>
      <c r="S531">
        <v>9</v>
      </c>
      <c r="T531">
        <v>16</v>
      </c>
      <c r="U531">
        <v>10</v>
      </c>
      <c r="V531">
        <v>15</v>
      </c>
      <c r="W531">
        <v>6</v>
      </c>
      <c r="X531">
        <v>7</v>
      </c>
      <c r="Y531">
        <v>5</v>
      </c>
      <c r="Z531">
        <v>3</v>
      </c>
      <c r="AA531">
        <v>0</v>
      </c>
      <c r="AB531" t="s">
        <v>50</v>
      </c>
      <c r="AC531" t="s">
        <v>35</v>
      </c>
      <c r="AD531" t="s">
        <v>35</v>
      </c>
      <c r="AE531">
        <v>2</v>
      </c>
      <c r="AF531">
        <v>1</v>
      </c>
      <c r="AG531" t="s">
        <v>2716</v>
      </c>
      <c r="AL531" t="s">
        <v>35</v>
      </c>
      <c r="AM531" t="s">
        <v>35</v>
      </c>
      <c r="AN531" t="s">
        <v>48</v>
      </c>
    </row>
    <row r="532" spans="1:40" x14ac:dyDescent="0.2">
      <c r="A532" s="2">
        <v>46001.480451388888</v>
      </c>
      <c r="B532" t="s">
        <v>2817</v>
      </c>
      <c r="C532" t="s">
        <v>2483</v>
      </c>
      <c r="D532" t="s">
        <v>2392</v>
      </c>
      <c r="E532" t="s">
        <v>2818</v>
      </c>
      <c r="F532" t="s">
        <v>2819</v>
      </c>
      <c r="G532" t="s">
        <v>2820</v>
      </c>
      <c r="H532" t="s">
        <v>2821</v>
      </c>
      <c r="I532" t="s">
        <v>49</v>
      </c>
      <c r="J532" t="s">
        <v>34</v>
      </c>
      <c r="K532">
        <v>211</v>
      </c>
      <c r="L532">
        <v>16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3</v>
      </c>
      <c r="T532" s="4">
        <v>8</v>
      </c>
      <c r="U532" s="4">
        <v>2</v>
      </c>
      <c r="V532" s="4">
        <v>0</v>
      </c>
      <c r="W532" s="4">
        <v>3</v>
      </c>
      <c r="X532" s="4">
        <v>0</v>
      </c>
      <c r="Y532" s="4">
        <v>0</v>
      </c>
      <c r="Z532" s="4">
        <v>0</v>
      </c>
      <c r="AA532" s="4">
        <v>0</v>
      </c>
      <c r="AC532" t="s">
        <v>35</v>
      </c>
      <c r="AD532" t="s">
        <v>34</v>
      </c>
      <c r="AE532">
        <v>1</v>
      </c>
      <c r="AF532">
        <v>0</v>
      </c>
      <c r="AG532" t="s">
        <v>2822</v>
      </c>
      <c r="AL532" t="s">
        <v>35</v>
      </c>
      <c r="AM532" t="s">
        <v>35</v>
      </c>
    </row>
    <row r="533" spans="1:40" x14ac:dyDescent="0.2">
      <c r="A533" s="2">
        <v>45995.863287037027</v>
      </c>
      <c r="B533" t="s">
        <v>2904</v>
      </c>
      <c r="C533" t="s">
        <v>2483</v>
      </c>
      <c r="D533" t="s">
        <v>2392</v>
      </c>
      <c r="E533" t="s">
        <v>2905</v>
      </c>
      <c r="F533" t="s">
        <v>2906</v>
      </c>
      <c r="G533">
        <v>3467520036</v>
      </c>
      <c r="H533" t="s">
        <v>2907</v>
      </c>
      <c r="I533" t="s">
        <v>2908</v>
      </c>
      <c r="J533" t="s">
        <v>34</v>
      </c>
      <c r="K533">
        <v>500</v>
      </c>
      <c r="L533">
        <v>25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2</v>
      </c>
      <c r="T533">
        <v>4</v>
      </c>
      <c r="U533">
        <v>6</v>
      </c>
      <c r="V533">
        <v>3</v>
      </c>
      <c r="W533">
        <v>6</v>
      </c>
      <c r="X533">
        <v>1</v>
      </c>
      <c r="Y533">
        <v>0</v>
      </c>
      <c r="Z533">
        <v>1</v>
      </c>
      <c r="AA533">
        <v>2</v>
      </c>
      <c r="AB533" t="s">
        <v>62</v>
      </c>
      <c r="AC533" t="s">
        <v>34</v>
      </c>
      <c r="AD533" t="s">
        <v>34</v>
      </c>
      <c r="AE533">
        <v>1</v>
      </c>
      <c r="AF533">
        <v>0</v>
      </c>
      <c r="AG533" t="s">
        <v>2909</v>
      </c>
      <c r="AL533" t="s">
        <v>34</v>
      </c>
      <c r="AM533" t="s">
        <v>34</v>
      </c>
      <c r="AN533" t="s">
        <v>2910</v>
      </c>
    </row>
    <row r="534" spans="1:40" x14ac:dyDescent="0.2">
      <c r="A534" s="2">
        <v>45988.697951388887</v>
      </c>
      <c r="B534" t="s">
        <v>2514</v>
      </c>
      <c r="C534" t="s">
        <v>2483</v>
      </c>
      <c r="D534" t="s">
        <v>2509</v>
      </c>
      <c r="E534" t="s">
        <v>2515</v>
      </c>
      <c r="F534" t="s">
        <v>2516</v>
      </c>
      <c r="G534" t="s">
        <v>2517</v>
      </c>
      <c r="H534" t="s">
        <v>2518</v>
      </c>
      <c r="I534" t="s">
        <v>33</v>
      </c>
      <c r="J534" t="s">
        <v>34</v>
      </c>
      <c r="K534">
        <v>188</v>
      </c>
      <c r="L534">
        <v>39</v>
      </c>
      <c r="M534">
        <v>0</v>
      </c>
      <c r="N534">
        <v>0</v>
      </c>
      <c r="O534">
        <v>1</v>
      </c>
      <c r="P534">
        <v>5</v>
      </c>
      <c r="Q534">
        <v>0</v>
      </c>
      <c r="R534">
        <v>3</v>
      </c>
      <c r="S534">
        <v>12</v>
      </c>
      <c r="T534">
        <v>3</v>
      </c>
      <c r="U534">
        <v>0</v>
      </c>
      <c r="V534">
        <v>10</v>
      </c>
      <c r="W534">
        <v>1</v>
      </c>
      <c r="X534">
        <v>4</v>
      </c>
      <c r="Y534">
        <v>0</v>
      </c>
      <c r="Z534">
        <v>0</v>
      </c>
      <c r="AA534">
        <v>0</v>
      </c>
      <c r="AB534" t="s">
        <v>317</v>
      </c>
      <c r="AC534" t="s">
        <v>35</v>
      </c>
      <c r="AD534" t="s">
        <v>34</v>
      </c>
      <c r="AE534">
        <v>1</v>
      </c>
      <c r="AF534">
        <v>0</v>
      </c>
      <c r="AG534" t="s">
        <v>2519</v>
      </c>
      <c r="AL534" t="s">
        <v>34</v>
      </c>
      <c r="AM534" t="s">
        <v>34</v>
      </c>
    </row>
    <row r="535" spans="1:40" x14ac:dyDescent="0.2">
      <c r="A535" s="2">
        <v>45994.523240740738</v>
      </c>
      <c r="B535" t="s">
        <v>2871</v>
      </c>
      <c r="C535" t="s">
        <v>2483</v>
      </c>
      <c r="D535" t="s">
        <v>2509</v>
      </c>
      <c r="E535" t="s">
        <v>2873</v>
      </c>
      <c r="F535" t="s">
        <v>2874</v>
      </c>
      <c r="G535" t="s">
        <v>2875</v>
      </c>
      <c r="H535" t="s">
        <v>2876</v>
      </c>
      <c r="I535" t="s">
        <v>49</v>
      </c>
      <c r="J535" t="s">
        <v>34</v>
      </c>
      <c r="K535">
        <v>491</v>
      </c>
      <c r="L535">
        <v>45</v>
      </c>
      <c r="M535" s="4">
        <v>0</v>
      </c>
      <c r="N535" s="4">
        <v>0</v>
      </c>
      <c r="O535" s="4">
        <v>0</v>
      </c>
      <c r="P535" s="4">
        <v>12</v>
      </c>
      <c r="Q535" s="4">
        <v>3</v>
      </c>
      <c r="R535" s="4">
        <v>0</v>
      </c>
      <c r="S535" s="4">
        <v>0</v>
      </c>
      <c r="T535" s="4">
        <v>0</v>
      </c>
      <c r="U535" s="4">
        <v>8</v>
      </c>
      <c r="V535" s="4">
        <v>7</v>
      </c>
      <c r="W535" s="4">
        <v>5</v>
      </c>
      <c r="X535" s="4">
        <v>5</v>
      </c>
      <c r="Y535" s="4">
        <v>5</v>
      </c>
      <c r="Z535" s="4">
        <v>0</v>
      </c>
      <c r="AA535" s="4">
        <v>0</v>
      </c>
      <c r="AB535" t="s">
        <v>696</v>
      </c>
      <c r="AC535" t="s">
        <v>35</v>
      </c>
      <c r="AD535" t="s">
        <v>35</v>
      </c>
      <c r="AE535">
        <v>1</v>
      </c>
      <c r="AF535">
        <v>0</v>
      </c>
      <c r="AG535" t="s">
        <v>48</v>
      </c>
      <c r="AL535" t="s">
        <v>35</v>
      </c>
      <c r="AM535" t="s">
        <v>34</v>
      </c>
    </row>
    <row r="536" spans="1:40" x14ac:dyDescent="0.2">
      <c r="A536" s="2">
        <v>46002.460416666669</v>
      </c>
      <c r="B536" t="s">
        <v>2508</v>
      </c>
      <c r="C536" t="s">
        <v>2483</v>
      </c>
      <c r="D536" t="s">
        <v>2509</v>
      </c>
      <c r="E536" t="s">
        <v>2510</v>
      </c>
      <c r="F536" t="s">
        <v>2511</v>
      </c>
      <c r="G536">
        <v>9514651248</v>
      </c>
      <c r="H536" t="s">
        <v>2512</v>
      </c>
      <c r="I536" t="s">
        <v>49</v>
      </c>
      <c r="J536" t="s">
        <v>34</v>
      </c>
      <c r="K536">
        <v>276</v>
      </c>
      <c r="L536">
        <v>68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6</v>
      </c>
      <c r="S536">
        <v>3</v>
      </c>
      <c r="T536">
        <v>8</v>
      </c>
      <c r="U536">
        <v>9</v>
      </c>
      <c r="V536">
        <v>9</v>
      </c>
      <c r="W536">
        <v>5</v>
      </c>
      <c r="X536">
        <v>6</v>
      </c>
      <c r="Y536">
        <v>8</v>
      </c>
      <c r="Z536">
        <v>8</v>
      </c>
      <c r="AA536">
        <v>6</v>
      </c>
      <c r="AB536" t="s">
        <v>131</v>
      </c>
      <c r="AC536" t="s">
        <v>35</v>
      </c>
      <c r="AD536" t="s">
        <v>35</v>
      </c>
      <c r="AE536">
        <v>2</v>
      </c>
      <c r="AF536">
        <v>2</v>
      </c>
      <c r="AG536" t="s">
        <v>2513</v>
      </c>
      <c r="AH536">
        <v>1</v>
      </c>
      <c r="AL536" t="s">
        <v>35</v>
      </c>
      <c r="AM536" t="s">
        <v>34</v>
      </c>
    </row>
    <row r="537" spans="1:40" x14ac:dyDescent="0.2">
      <c r="A537" s="2">
        <v>45994.313043981478</v>
      </c>
      <c r="B537" t="s">
        <v>2520</v>
      </c>
      <c r="C537" t="s">
        <v>2483</v>
      </c>
      <c r="D537" t="s">
        <v>2509</v>
      </c>
      <c r="E537" t="s">
        <v>2521</v>
      </c>
      <c r="F537" t="s">
        <v>2522</v>
      </c>
      <c r="G537" t="s">
        <v>2523</v>
      </c>
      <c r="H537" t="s">
        <v>2524</v>
      </c>
      <c r="I537" t="s">
        <v>33</v>
      </c>
      <c r="J537" t="s">
        <v>34</v>
      </c>
      <c r="K537">
        <v>92</v>
      </c>
      <c r="L537">
        <v>21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3</v>
      </c>
      <c r="S537">
        <v>4</v>
      </c>
      <c r="T537">
        <v>5</v>
      </c>
      <c r="U537">
        <v>3</v>
      </c>
      <c r="V537">
        <v>2</v>
      </c>
      <c r="W537">
        <v>0</v>
      </c>
      <c r="X537">
        <v>2</v>
      </c>
      <c r="Y537">
        <v>2</v>
      </c>
      <c r="Z537">
        <v>0</v>
      </c>
      <c r="AA537">
        <v>0</v>
      </c>
      <c r="AB537" t="s">
        <v>50</v>
      </c>
      <c r="AC537" t="s">
        <v>35</v>
      </c>
      <c r="AD537" t="s">
        <v>35</v>
      </c>
      <c r="AE537">
        <v>1</v>
      </c>
      <c r="AF537">
        <v>0</v>
      </c>
      <c r="AG537" t="s">
        <v>48</v>
      </c>
      <c r="AL537" t="s">
        <v>35</v>
      </c>
      <c r="AM537" t="s">
        <v>34</v>
      </c>
    </row>
    <row r="538" spans="1:40" x14ac:dyDescent="0.2">
      <c r="A538" s="2">
        <v>46002.489490740743</v>
      </c>
      <c r="B538" t="s">
        <v>2525</v>
      </c>
      <c r="C538" t="s">
        <v>2483</v>
      </c>
      <c r="D538" t="s">
        <v>2509</v>
      </c>
      <c r="E538" t="s">
        <v>2526</v>
      </c>
      <c r="F538" t="s">
        <v>2527</v>
      </c>
      <c r="G538" t="s">
        <v>2528</v>
      </c>
      <c r="H538" t="s">
        <v>2529</v>
      </c>
      <c r="I538" t="s">
        <v>33</v>
      </c>
      <c r="J538" t="s">
        <v>34</v>
      </c>
      <c r="K538">
        <v>45</v>
      </c>
      <c r="L538">
        <v>18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7</v>
      </c>
      <c r="T538">
        <v>7</v>
      </c>
      <c r="U538">
        <v>1</v>
      </c>
      <c r="V538">
        <v>0</v>
      </c>
      <c r="W538">
        <v>0</v>
      </c>
      <c r="X538">
        <v>0</v>
      </c>
      <c r="Y538">
        <v>3</v>
      </c>
      <c r="Z538">
        <v>0</v>
      </c>
      <c r="AA538">
        <v>0</v>
      </c>
      <c r="AC538" t="s">
        <v>35</v>
      </c>
      <c r="AD538" t="s">
        <v>35</v>
      </c>
      <c r="AE538">
        <v>1</v>
      </c>
      <c r="AF538">
        <v>0</v>
      </c>
      <c r="AG538" t="s">
        <v>2530</v>
      </c>
      <c r="AL538" t="s">
        <v>35</v>
      </c>
      <c r="AM538" t="s">
        <v>34</v>
      </c>
    </row>
    <row r="539" spans="1:40" x14ac:dyDescent="0.2">
      <c r="A539" s="2">
        <v>45995.430277777778</v>
      </c>
      <c r="B539" t="s">
        <v>2542</v>
      </c>
      <c r="C539" t="s">
        <v>2483</v>
      </c>
      <c r="D539" t="s">
        <v>2509</v>
      </c>
      <c r="E539" t="s">
        <v>2543</v>
      </c>
      <c r="F539" t="s">
        <v>2544</v>
      </c>
      <c r="G539">
        <v>89191251559</v>
      </c>
      <c r="H539" t="s">
        <v>2545</v>
      </c>
      <c r="I539" t="s">
        <v>2546</v>
      </c>
      <c r="J539" t="s">
        <v>34</v>
      </c>
      <c r="K539">
        <v>57</v>
      </c>
      <c r="L539">
        <v>24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5</v>
      </c>
      <c r="U539">
        <v>4</v>
      </c>
      <c r="V539">
        <v>6</v>
      </c>
      <c r="W539">
        <v>3</v>
      </c>
      <c r="X539">
        <v>4</v>
      </c>
      <c r="Y539">
        <v>2</v>
      </c>
      <c r="Z539">
        <v>0</v>
      </c>
      <c r="AA539">
        <v>0</v>
      </c>
      <c r="AB539" t="s">
        <v>131</v>
      </c>
      <c r="AC539" t="s">
        <v>35</v>
      </c>
      <c r="AD539" t="s">
        <v>34</v>
      </c>
      <c r="AE539">
        <v>1</v>
      </c>
      <c r="AF539">
        <v>0</v>
      </c>
      <c r="AG539" t="s">
        <v>2547</v>
      </c>
      <c r="AL539" t="s">
        <v>34</v>
      </c>
      <c r="AM539" t="s">
        <v>34</v>
      </c>
    </row>
    <row r="540" spans="1:40" x14ac:dyDescent="0.2">
      <c r="A540" s="2">
        <v>46002.493495370371</v>
      </c>
      <c r="B540" t="s">
        <v>2622</v>
      </c>
      <c r="C540" t="s">
        <v>2483</v>
      </c>
      <c r="D540" t="s">
        <v>2509</v>
      </c>
      <c r="E540" t="s">
        <v>2623</v>
      </c>
      <c r="F540" t="s">
        <v>2624</v>
      </c>
      <c r="G540">
        <v>83514521026</v>
      </c>
      <c r="H540" t="s">
        <v>2625</v>
      </c>
      <c r="I540" t="s">
        <v>33</v>
      </c>
      <c r="J540" t="s">
        <v>34</v>
      </c>
      <c r="K540">
        <v>40</v>
      </c>
      <c r="L540">
        <v>7</v>
      </c>
      <c r="M540">
        <v>0</v>
      </c>
      <c r="N540">
        <v>0</v>
      </c>
      <c r="O540">
        <v>0</v>
      </c>
      <c r="P540">
        <v>2</v>
      </c>
      <c r="Q540">
        <v>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1</v>
      </c>
      <c r="Y540">
        <v>1</v>
      </c>
      <c r="Z540">
        <v>0</v>
      </c>
      <c r="AA540">
        <v>0</v>
      </c>
      <c r="AB540" t="s">
        <v>94</v>
      </c>
      <c r="AC540" t="s">
        <v>35</v>
      </c>
      <c r="AD540" t="s">
        <v>34</v>
      </c>
      <c r="AE540">
        <v>1</v>
      </c>
      <c r="AF540">
        <v>0</v>
      </c>
      <c r="AG540" t="s">
        <v>2626</v>
      </c>
      <c r="AL540" t="s">
        <v>34</v>
      </c>
      <c r="AM540" t="s">
        <v>34</v>
      </c>
    </row>
    <row r="541" spans="1:40" x14ac:dyDescent="0.2">
      <c r="A541" s="2">
        <v>46001.385069444441</v>
      </c>
      <c r="B541" t="s">
        <v>2627</v>
      </c>
      <c r="C541" t="s">
        <v>2483</v>
      </c>
      <c r="D541" t="s">
        <v>2509</v>
      </c>
      <c r="E541" t="s">
        <v>2628</v>
      </c>
      <c r="F541" t="s">
        <v>2629</v>
      </c>
      <c r="G541">
        <v>83513665006</v>
      </c>
      <c r="H541" t="s">
        <v>2630</v>
      </c>
      <c r="I541" t="s">
        <v>49</v>
      </c>
      <c r="J541" t="s">
        <v>34</v>
      </c>
      <c r="K541">
        <v>232</v>
      </c>
      <c r="L541">
        <v>37</v>
      </c>
      <c r="M541">
        <v>0</v>
      </c>
      <c r="N541">
        <v>0</v>
      </c>
      <c r="O541">
        <v>2</v>
      </c>
      <c r="P541">
        <v>9</v>
      </c>
      <c r="Q541">
        <v>10</v>
      </c>
      <c r="R541">
        <v>3</v>
      </c>
      <c r="S541">
        <v>5</v>
      </c>
      <c r="T541">
        <v>0</v>
      </c>
      <c r="U541">
        <v>5</v>
      </c>
      <c r="V541">
        <v>3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317</v>
      </c>
      <c r="AC541" t="s">
        <v>35</v>
      </c>
      <c r="AD541" t="s">
        <v>35</v>
      </c>
      <c r="AE541">
        <v>1</v>
      </c>
      <c r="AF541">
        <v>0</v>
      </c>
      <c r="AG541" t="s">
        <v>2631</v>
      </c>
      <c r="AL541" t="s">
        <v>35</v>
      </c>
      <c r="AM541" t="s">
        <v>35</v>
      </c>
    </row>
    <row r="542" spans="1:40" x14ac:dyDescent="0.2">
      <c r="A542" s="2">
        <v>45986.380682870367</v>
      </c>
      <c r="B542" t="s">
        <v>2658</v>
      </c>
      <c r="C542" t="s">
        <v>2483</v>
      </c>
      <c r="D542" t="s">
        <v>2509</v>
      </c>
      <c r="E542" t="s">
        <v>2659</v>
      </c>
      <c r="F542" t="s">
        <v>2660</v>
      </c>
      <c r="G542">
        <v>83513977592</v>
      </c>
      <c r="H542" t="s">
        <v>2661</v>
      </c>
      <c r="I542" t="s">
        <v>49</v>
      </c>
      <c r="J542" t="s">
        <v>34</v>
      </c>
      <c r="K542">
        <v>241</v>
      </c>
      <c r="L542">
        <v>44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1</v>
      </c>
      <c r="S542" s="4">
        <v>2</v>
      </c>
      <c r="T542" s="4">
        <v>6</v>
      </c>
      <c r="U542" s="4">
        <v>7</v>
      </c>
      <c r="V542" s="4">
        <v>14</v>
      </c>
      <c r="W542" s="4">
        <v>8</v>
      </c>
      <c r="X542" s="4">
        <v>6</v>
      </c>
      <c r="Y542" s="4">
        <v>0</v>
      </c>
      <c r="Z542" s="4">
        <v>0</v>
      </c>
      <c r="AA542" s="4">
        <v>0</v>
      </c>
      <c r="AB542" t="s">
        <v>317</v>
      </c>
      <c r="AC542" t="s">
        <v>34</v>
      </c>
      <c r="AD542" t="s">
        <v>34</v>
      </c>
      <c r="AE542">
        <v>2</v>
      </c>
      <c r="AF542">
        <v>1</v>
      </c>
      <c r="AG542" t="s">
        <v>48</v>
      </c>
      <c r="AL542" t="s">
        <v>34</v>
      </c>
      <c r="AM542" t="s">
        <v>34</v>
      </c>
    </row>
    <row r="543" spans="1:40" x14ac:dyDescent="0.2">
      <c r="A543" s="2">
        <v>45987.368981481479</v>
      </c>
      <c r="B543" t="s">
        <v>2700</v>
      </c>
      <c r="C543" t="s">
        <v>2483</v>
      </c>
      <c r="D543" t="s">
        <v>2509</v>
      </c>
      <c r="E543" t="s">
        <v>2701</v>
      </c>
      <c r="F543" t="s">
        <v>2702</v>
      </c>
      <c r="G543">
        <v>89517969690</v>
      </c>
      <c r="H543" t="s">
        <v>2703</v>
      </c>
      <c r="I543" t="s">
        <v>33</v>
      </c>
      <c r="J543" t="s">
        <v>34</v>
      </c>
      <c r="K543">
        <v>259</v>
      </c>
      <c r="L543">
        <v>45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5</v>
      </c>
      <c r="V543">
        <v>15</v>
      </c>
      <c r="W543">
        <v>10</v>
      </c>
      <c r="X543">
        <v>10</v>
      </c>
      <c r="Y543">
        <v>5</v>
      </c>
      <c r="Z543">
        <v>0</v>
      </c>
      <c r="AA543">
        <v>0</v>
      </c>
      <c r="AB543" t="s">
        <v>2704</v>
      </c>
      <c r="AC543" t="s">
        <v>35</v>
      </c>
      <c r="AD543" t="s">
        <v>35</v>
      </c>
      <c r="AE543">
        <v>1</v>
      </c>
      <c r="AF543">
        <v>0</v>
      </c>
      <c r="AG543" t="s">
        <v>2705</v>
      </c>
      <c r="AL543" t="s">
        <v>35</v>
      </c>
      <c r="AM543" t="s">
        <v>34</v>
      </c>
    </row>
    <row r="544" spans="1:40" x14ac:dyDescent="0.2">
      <c r="A544" s="2">
        <v>45993.473807870367</v>
      </c>
      <c r="B544" t="s">
        <v>2812</v>
      </c>
      <c r="C544" t="s">
        <v>2483</v>
      </c>
      <c r="D544" t="s">
        <v>2509</v>
      </c>
      <c r="E544" t="s">
        <v>2813</v>
      </c>
      <c r="F544" t="s">
        <v>2814</v>
      </c>
      <c r="G544">
        <v>79617848920</v>
      </c>
      <c r="H544" t="s">
        <v>2815</v>
      </c>
      <c r="I544" t="s">
        <v>33</v>
      </c>
      <c r="J544" t="s">
        <v>34</v>
      </c>
      <c r="K544">
        <v>67</v>
      </c>
      <c r="L544">
        <v>42</v>
      </c>
      <c r="M544" s="4">
        <v>0</v>
      </c>
      <c r="N544" s="4">
        <v>0</v>
      </c>
      <c r="O544" s="4">
        <v>0</v>
      </c>
      <c r="P544" s="4">
        <v>1</v>
      </c>
      <c r="Q544" s="4">
        <v>1</v>
      </c>
      <c r="R544" s="4">
        <v>3</v>
      </c>
      <c r="S544" s="4">
        <v>5</v>
      </c>
      <c r="T544" s="4">
        <v>4</v>
      </c>
      <c r="U544" s="4">
        <v>8</v>
      </c>
      <c r="V544" s="4">
        <v>11</v>
      </c>
      <c r="W544" s="4">
        <v>7</v>
      </c>
      <c r="X544" s="4">
        <v>2</v>
      </c>
      <c r="Y544" s="4">
        <v>0</v>
      </c>
      <c r="Z544" s="4">
        <v>0</v>
      </c>
      <c r="AA544" s="4">
        <v>0</v>
      </c>
      <c r="AB544" t="s">
        <v>131</v>
      </c>
      <c r="AC544" t="s">
        <v>35</v>
      </c>
      <c r="AD544" t="s">
        <v>34</v>
      </c>
      <c r="AE544">
        <v>1</v>
      </c>
      <c r="AF544">
        <v>0</v>
      </c>
      <c r="AG544" t="s">
        <v>2816</v>
      </c>
      <c r="AL544" t="s">
        <v>34</v>
      </c>
      <c r="AM544" t="s">
        <v>34</v>
      </c>
    </row>
    <row r="545" spans="1:40" x14ac:dyDescent="0.2">
      <c r="A545" s="2">
        <v>45981.308472222219</v>
      </c>
      <c r="B545" t="s">
        <v>2867</v>
      </c>
      <c r="C545" t="s">
        <v>2483</v>
      </c>
      <c r="D545" t="s">
        <v>2509</v>
      </c>
      <c r="E545" t="s">
        <v>2868</v>
      </c>
      <c r="F545" t="s">
        <v>2869</v>
      </c>
      <c r="G545">
        <v>83515723379</v>
      </c>
      <c r="H545" t="s">
        <v>2870</v>
      </c>
      <c r="I545" t="s">
        <v>33</v>
      </c>
      <c r="J545" t="s">
        <v>34</v>
      </c>
      <c r="K545">
        <v>257</v>
      </c>
      <c r="L545">
        <v>15</v>
      </c>
      <c r="M545">
        <v>8</v>
      </c>
      <c r="N545">
        <v>3</v>
      </c>
      <c r="O545">
        <v>2</v>
      </c>
      <c r="P545">
        <v>1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108</v>
      </c>
      <c r="AC545" t="s">
        <v>35</v>
      </c>
      <c r="AD545" t="s">
        <v>35</v>
      </c>
      <c r="AE545">
        <v>2</v>
      </c>
      <c r="AF545">
        <v>0</v>
      </c>
      <c r="AG545" t="s">
        <v>48</v>
      </c>
      <c r="AL545" t="s">
        <v>34</v>
      </c>
      <c r="AM545" t="s">
        <v>34</v>
      </c>
      <c r="AN545" t="s">
        <v>56</v>
      </c>
    </row>
    <row r="546" spans="1:40" x14ac:dyDescent="0.2">
      <c r="A546" s="2">
        <v>45999.626620370371</v>
      </c>
      <c r="B546" t="s">
        <v>2877</v>
      </c>
      <c r="C546" t="s">
        <v>2483</v>
      </c>
      <c r="D546" t="s">
        <v>2509</v>
      </c>
      <c r="E546" t="s">
        <v>2873</v>
      </c>
      <c r="F546" t="s">
        <v>2878</v>
      </c>
      <c r="G546" t="s">
        <v>2879</v>
      </c>
      <c r="H546" t="s">
        <v>2880</v>
      </c>
      <c r="I546" t="s">
        <v>93</v>
      </c>
      <c r="J546" t="s">
        <v>34</v>
      </c>
      <c r="K546">
        <v>768</v>
      </c>
      <c r="L546">
        <v>21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8</v>
      </c>
      <c r="W546">
        <v>6</v>
      </c>
      <c r="X546">
        <v>3</v>
      </c>
      <c r="Y546">
        <v>2</v>
      </c>
      <c r="Z546">
        <v>1</v>
      </c>
      <c r="AA546">
        <v>0</v>
      </c>
      <c r="AB546" t="s">
        <v>94</v>
      </c>
      <c r="AC546" t="s">
        <v>34</v>
      </c>
      <c r="AD546" t="s">
        <v>35</v>
      </c>
      <c r="AE546">
        <v>1</v>
      </c>
      <c r="AF546">
        <v>0</v>
      </c>
      <c r="AG546" t="s">
        <v>2881</v>
      </c>
      <c r="AL546" t="s">
        <v>35</v>
      </c>
      <c r="AM546" t="s">
        <v>34</v>
      </c>
      <c r="AN546" t="s">
        <v>2882</v>
      </c>
    </row>
    <row r="547" spans="1:40" x14ac:dyDescent="0.2">
      <c r="A547" s="2">
        <v>45980.592569444438</v>
      </c>
      <c r="B547" t="s">
        <v>2883</v>
      </c>
      <c r="C547" t="s">
        <v>2483</v>
      </c>
      <c r="D547" t="s">
        <v>2509</v>
      </c>
      <c r="E547" t="s">
        <v>2873</v>
      </c>
      <c r="F547" t="s">
        <v>2884</v>
      </c>
      <c r="G547" t="s">
        <v>2885</v>
      </c>
      <c r="H547" t="s">
        <v>2886</v>
      </c>
      <c r="I547" t="s">
        <v>93</v>
      </c>
      <c r="J547" t="s">
        <v>34</v>
      </c>
      <c r="K547">
        <v>730</v>
      </c>
      <c r="L547">
        <v>87</v>
      </c>
      <c r="M547">
        <v>0</v>
      </c>
      <c r="N547">
        <v>0</v>
      </c>
      <c r="O547">
        <v>0</v>
      </c>
      <c r="P547">
        <v>1</v>
      </c>
      <c r="Q547">
        <v>17</v>
      </c>
      <c r="R547">
        <v>10</v>
      </c>
      <c r="S547">
        <v>3</v>
      </c>
      <c r="T547">
        <v>19</v>
      </c>
      <c r="U547">
        <v>13</v>
      </c>
      <c r="V547">
        <v>9</v>
      </c>
      <c r="W547">
        <v>4</v>
      </c>
      <c r="X547">
        <v>7</v>
      </c>
      <c r="Y547">
        <v>3</v>
      </c>
      <c r="Z547">
        <v>1</v>
      </c>
      <c r="AA547">
        <v>0</v>
      </c>
      <c r="AB547" t="s">
        <v>50</v>
      </c>
      <c r="AC547" t="s">
        <v>35</v>
      </c>
      <c r="AD547" t="s">
        <v>35</v>
      </c>
      <c r="AE547">
        <v>2</v>
      </c>
      <c r="AF547">
        <v>1</v>
      </c>
      <c r="AG547" t="s">
        <v>2887</v>
      </c>
      <c r="AH547">
        <v>1</v>
      </c>
      <c r="AL547" t="s">
        <v>35</v>
      </c>
      <c r="AM547" t="s">
        <v>34</v>
      </c>
    </row>
    <row r="548" spans="1:40" x14ac:dyDescent="0.2">
      <c r="A548" s="2">
        <v>45980.616932870369</v>
      </c>
      <c r="B548" t="s">
        <v>2888</v>
      </c>
      <c r="C548" t="s">
        <v>2483</v>
      </c>
      <c r="D548" t="s">
        <v>2509</v>
      </c>
      <c r="E548" t="s">
        <v>2873</v>
      </c>
      <c r="F548" t="s">
        <v>2889</v>
      </c>
      <c r="G548" t="s">
        <v>2890</v>
      </c>
      <c r="H548" t="s">
        <v>2891</v>
      </c>
      <c r="I548" t="s">
        <v>49</v>
      </c>
      <c r="J548" t="s">
        <v>518</v>
      </c>
      <c r="K548">
        <v>615</v>
      </c>
      <c r="L548">
        <v>66</v>
      </c>
      <c r="M548">
        <v>11</v>
      </c>
      <c r="N548">
        <v>0</v>
      </c>
      <c r="O548">
        <v>2</v>
      </c>
      <c r="P548">
        <v>1</v>
      </c>
      <c r="Q548">
        <v>4</v>
      </c>
      <c r="R548">
        <v>5</v>
      </c>
      <c r="S548">
        <v>10</v>
      </c>
      <c r="T548">
        <v>9</v>
      </c>
      <c r="U548">
        <v>11</v>
      </c>
      <c r="V548">
        <v>8</v>
      </c>
      <c r="W548">
        <v>2</v>
      </c>
      <c r="X548">
        <v>2</v>
      </c>
      <c r="Y548">
        <v>1</v>
      </c>
      <c r="Z548">
        <v>0</v>
      </c>
      <c r="AA548">
        <v>0</v>
      </c>
      <c r="AB548" t="s">
        <v>50</v>
      </c>
      <c r="AC548" t="s">
        <v>35</v>
      </c>
      <c r="AD548" t="s">
        <v>35</v>
      </c>
      <c r="AE548">
        <v>5</v>
      </c>
      <c r="AF548">
        <v>2</v>
      </c>
      <c r="AG548" t="s">
        <v>2892</v>
      </c>
      <c r="AH548">
        <v>4</v>
      </c>
      <c r="AI548">
        <v>1</v>
      </c>
      <c r="AJ548">
        <v>1</v>
      </c>
      <c r="AL548" t="s">
        <v>35</v>
      </c>
      <c r="AM548" t="s">
        <v>35</v>
      </c>
    </row>
    <row r="549" spans="1:40" x14ac:dyDescent="0.2">
      <c r="A549" s="2">
        <v>46001.401041666657</v>
      </c>
      <c r="B549" t="s">
        <v>2893</v>
      </c>
      <c r="C549" t="s">
        <v>2483</v>
      </c>
      <c r="D549" t="s">
        <v>2509</v>
      </c>
      <c r="E549" t="s">
        <v>2873</v>
      </c>
      <c r="F549" t="s">
        <v>2894</v>
      </c>
      <c r="G549" t="s">
        <v>2895</v>
      </c>
      <c r="H549" t="s">
        <v>2896</v>
      </c>
      <c r="I549" t="s">
        <v>49</v>
      </c>
      <c r="J549" t="s">
        <v>34</v>
      </c>
      <c r="K549">
        <v>144</v>
      </c>
      <c r="L549">
        <v>18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</v>
      </c>
      <c r="S549">
        <v>0</v>
      </c>
      <c r="T549">
        <v>6</v>
      </c>
      <c r="U549">
        <v>3</v>
      </c>
      <c r="V549">
        <v>0</v>
      </c>
      <c r="W549">
        <v>0</v>
      </c>
      <c r="X549">
        <v>3</v>
      </c>
      <c r="Y549">
        <v>2</v>
      </c>
      <c r="Z549">
        <v>2</v>
      </c>
      <c r="AA549">
        <v>0</v>
      </c>
      <c r="AC549" t="s">
        <v>35</v>
      </c>
      <c r="AD549" t="s">
        <v>34</v>
      </c>
      <c r="AE549">
        <v>1</v>
      </c>
      <c r="AF549">
        <v>0</v>
      </c>
      <c r="AG549" t="s">
        <v>2897</v>
      </c>
      <c r="AL549" t="s">
        <v>35</v>
      </c>
      <c r="AM549" t="s">
        <v>35</v>
      </c>
    </row>
    <row r="550" spans="1:40" x14ac:dyDescent="0.2">
      <c r="A550" s="2">
        <v>45993.653923611113</v>
      </c>
      <c r="B550" t="s">
        <v>2490</v>
      </c>
      <c r="C550" t="s">
        <v>2483</v>
      </c>
      <c r="D550" t="s">
        <v>2509</v>
      </c>
      <c r="E550" t="s">
        <v>2491</v>
      </c>
      <c r="F550" t="s">
        <v>2492</v>
      </c>
      <c r="G550">
        <v>89049720401</v>
      </c>
      <c r="H550" t="s">
        <v>2493</v>
      </c>
      <c r="I550" t="s">
        <v>33</v>
      </c>
      <c r="J550" t="s">
        <v>34</v>
      </c>
      <c r="K550">
        <v>200</v>
      </c>
      <c r="L550">
        <v>90</v>
      </c>
      <c r="M550" s="4">
        <v>10</v>
      </c>
      <c r="N550" s="4">
        <v>0</v>
      </c>
      <c r="O550" s="4">
        <v>4</v>
      </c>
      <c r="P550" s="4">
        <v>7</v>
      </c>
      <c r="Q550" s="4">
        <v>6</v>
      </c>
      <c r="R550" s="4">
        <v>9</v>
      </c>
      <c r="S550" s="4">
        <v>5</v>
      </c>
      <c r="T550" s="4">
        <v>5</v>
      </c>
      <c r="U550" s="4">
        <v>12</v>
      </c>
      <c r="V550" s="4">
        <v>8</v>
      </c>
      <c r="W550" s="4">
        <v>5</v>
      </c>
      <c r="X550" s="4">
        <v>4</v>
      </c>
      <c r="Y550" s="4">
        <v>5</v>
      </c>
      <c r="Z550" s="4">
        <v>5</v>
      </c>
      <c r="AA550" s="4">
        <v>5</v>
      </c>
      <c r="AB550" t="s">
        <v>62</v>
      </c>
      <c r="AC550" t="s">
        <v>35</v>
      </c>
      <c r="AD550" t="s">
        <v>35</v>
      </c>
      <c r="AE550">
        <v>3</v>
      </c>
      <c r="AF550">
        <v>0</v>
      </c>
      <c r="AG550" t="s">
        <v>2494</v>
      </c>
      <c r="AL550" t="s">
        <v>34</v>
      </c>
      <c r="AM550" t="s">
        <v>34</v>
      </c>
      <c r="AN550" t="s">
        <v>2495</v>
      </c>
    </row>
    <row r="551" spans="1:40" x14ac:dyDescent="0.2">
      <c r="A551" s="4"/>
      <c r="B551" s="4" t="s">
        <v>2920</v>
      </c>
      <c r="C551" s="4" t="s">
        <v>2483</v>
      </c>
      <c r="D551" s="4" t="s">
        <v>2509</v>
      </c>
      <c r="E551" s="4" t="s">
        <v>2873</v>
      </c>
      <c r="F551" s="4" t="s">
        <v>2921</v>
      </c>
      <c r="G551" s="4" t="s">
        <v>2922</v>
      </c>
      <c r="H551" s="4" t="s">
        <v>2923</v>
      </c>
      <c r="I551" s="4"/>
      <c r="J551" s="4"/>
      <c r="K551" s="27">
        <v>140.4</v>
      </c>
      <c r="L551" s="4">
        <v>54</v>
      </c>
      <c r="M551">
        <v>7</v>
      </c>
      <c r="N551">
        <v>6</v>
      </c>
      <c r="O551">
        <v>1</v>
      </c>
      <c r="P551">
        <v>8</v>
      </c>
      <c r="Q551">
        <v>7</v>
      </c>
      <c r="R551">
        <v>2</v>
      </c>
      <c r="S551">
        <v>1</v>
      </c>
      <c r="T551">
        <v>3</v>
      </c>
      <c r="U551">
        <v>3</v>
      </c>
      <c r="V551">
        <v>5</v>
      </c>
      <c r="W551">
        <v>3</v>
      </c>
      <c r="X551">
        <v>3</v>
      </c>
      <c r="Y551">
        <v>1</v>
      </c>
      <c r="Z551">
        <v>1</v>
      </c>
      <c r="AA551">
        <v>3</v>
      </c>
    </row>
    <row r="552" spans="1:40" x14ac:dyDescent="0.2">
      <c r="A552" s="4"/>
      <c r="B552" s="4" t="s">
        <v>2924</v>
      </c>
      <c r="C552" s="4" t="s">
        <v>2483</v>
      </c>
      <c r="D552" s="4" t="s">
        <v>2509</v>
      </c>
      <c r="E552" s="4" t="s">
        <v>2873</v>
      </c>
      <c r="F552" s="4" t="s">
        <v>2925</v>
      </c>
      <c r="G552" s="4">
        <v>83513665006</v>
      </c>
      <c r="H552" s="4" t="s">
        <v>2926</v>
      </c>
      <c r="I552" s="4"/>
      <c r="J552" s="4"/>
      <c r="K552" s="27">
        <v>72.8</v>
      </c>
      <c r="L552" s="4">
        <v>28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13</v>
      </c>
      <c r="U552">
        <v>10</v>
      </c>
      <c r="V552">
        <v>5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40" x14ac:dyDescent="0.2">
      <c r="A553" s="2">
        <v>45993.609907407408</v>
      </c>
      <c r="B553" t="s">
        <v>2743</v>
      </c>
      <c r="C553" t="s">
        <v>2483</v>
      </c>
      <c r="D553" t="s">
        <v>2744</v>
      </c>
      <c r="E553" t="s">
        <v>2745</v>
      </c>
      <c r="F553" t="s">
        <v>2746</v>
      </c>
      <c r="G553">
        <v>84394966011</v>
      </c>
      <c r="H553" t="s">
        <v>2747</v>
      </c>
      <c r="I553" t="s">
        <v>2748</v>
      </c>
      <c r="J553" t="s">
        <v>34</v>
      </c>
      <c r="K553">
        <v>250</v>
      </c>
      <c r="L553">
        <v>12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2</v>
      </c>
      <c r="W553">
        <v>7</v>
      </c>
      <c r="X553">
        <v>2</v>
      </c>
      <c r="Y553">
        <v>0</v>
      </c>
      <c r="Z553">
        <v>0</v>
      </c>
      <c r="AA553">
        <v>0</v>
      </c>
      <c r="AB553" t="s">
        <v>62</v>
      </c>
      <c r="AC553" t="s">
        <v>35</v>
      </c>
      <c r="AD553" t="s">
        <v>35</v>
      </c>
      <c r="AE553">
        <v>2</v>
      </c>
      <c r="AF553">
        <v>0</v>
      </c>
      <c r="AG553" t="s">
        <v>2749</v>
      </c>
      <c r="AL553" t="s">
        <v>35</v>
      </c>
      <c r="AM553" t="s">
        <v>35</v>
      </c>
    </row>
    <row r="554" spans="1:40" x14ac:dyDescent="0.2">
      <c r="A554" s="4"/>
      <c r="B554" s="4" t="s">
        <v>2916</v>
      </c>
      <c r="C554" s="4" t="s">
        <v>2483</v>
      </c>
      <c r="D554" s="4" t="s">
        <v>2744</v>
      </c>
      <c r="E554" s="4" t="s">
        <v>2917</v>
      </c>
      <c r="F554" s="4" t="s">
        <v>2918</v>
      </c>
      <c r="G554" s="4">
        <v>89220566936</v>
      </c>
      <c r="H554" s="4" t="s">
        <v>2919</v>
      </c>
      <c r="I554" s="4"/>
      <c r="J554" s="4"/>
      <c r="K554" s="4">
        <v>185</v>
      </c>
      <c r="L554" s="4">
        <v>185</v>
      </c>
      <c r="M554">
        <v>8</v>
      </c>
      <c r="N554">
        <v>7</v>
      </c>
      <c r="O554">
        <v>6</v>
      </c>
      <c r="P554">
        <v>4</v>
      </c>
      <c r="Q554">
        <v>12</v>
      </c>
      <c r="R554">
        <v>28</v>
      </c>
      <c r="S554">
        <v>19</v>
      </c>
      <c r="T554">
        <v>12</v>
      </c>
      <c r="U554">
        <v>15</v>
      </c>
      <c r="V554">
        <v>10</v>
      </c>
      <c r="W554">
        <v>19</v>
      </c>
      <c r="X554">
        <v>23</v>
      </c>
      <c r="Y554">
        <v>10</v>
      </c>
      <c r="Z554">
        <v>12</v>
      </c>
      <c r="AA554">
        <v>0</v>
      </c>
    </row>
    <row r="555" spans="1:40" x14ac:dyDescent="0.2">
      <c r="A555" s="2">
        <v>45987.620474537027</v>
      </c>
      <c r="B555" t="s">
        <v>2938</v>
      </c>
      <c r="C555" t="s">
        <v>2928</v>
      </c>
      <c r="D555" t="s">
        <v>2939</v>
      </c>
      <c r="E555" t="s">
        <v>2940</v>
      </c>
      <c r="F555" t="s">
        <v>2941</v>
      </c>
      <c r="G555">
        <v>89040806141</v>
      </c>
      <c r="H555" t="s">
        <v>2942</v>
      </c>
      <c r="I555" t="s">
        <v>93</v>
      </c>
      <c r="J555" t="s">
        <v>34</v>
      </c>
      <c r="K555">
        <v>397</v>
      </c>
      <c r="L555">
        <v>48</v>
      </c>
      <c r="M555">
        <v>0</v>
      </c>
      <c r="N555">
        <v>0</v>
      </c>
      <c r="O555">
        <v>0</v>
      </c>
      <c r="P555">
        <v>1</v>
      </c>
      <c r="Q555">
        <v>4</v>
      </c>
      <c r="R555">
        <v>4</v>
      </c>
      <c r="S555">
        <v>10</v>
      </c>
      <c r="T555">
        <v>6</v>
      </c>
      <c r="U555">
        <v>6</v>
      </c>
      <c r="V555">
        <v>4</v>
      </c>
      <c r="W555">
        <v>13</v>
      </c>
      <c r="X555">
        <v>0</v>
      </c>
      <c r="Y555">
        <v>0</v>
      </c>
      <c r="Z555">
        <v>0</v>
      </c>
      <c r="AA555">
        <v>0</v>
      </c>
      <c r="AB555" t="s">
        <v>255</v>
      </c>
      <c r="AC555" t="s">
        <v>35</v>
      </c>
      <c r="AD555" t="s">
        <v>34</v>
      </c>
      <c r="AE555">
        <v>1</v>
      </c>
      <c r="AF555">
        <v>1</v>
      </c>
      <c r="AG555">
        <v>0</v>
      </c>
      <c r="AL555" t="s">
        <v>35</v>
      </c>
      <c r="AM555" t="s">
        <v>34</v>
      </c>
    </row>
    <row r="556" spans="1:40" x14ac:dyDescent="0.2">
      <c r="A556" s="2">
        <v>45985.722569444442</v>
      </c>
      <c r="B556" t="s">
        <v>2943</v>
      </c>
      <c r="C556" t="s">
        <v>2928</v>
      </c>
      <c r="D556" t="s">
        <v>2939</v>
      </c>
      <c r="E556" t="s">
        <v>2940</v>
      </c>
      <c r="F556" t="s">
        <v>2944</v>
      </c>
      <c r="G556">
        <v>79040806141</v>
      </c>
      <c r="H556" t="s">
        <v>2942</v>
      </c>
      <c r="I556" t="s">
        <v>93</v>
      </c>
      <c r="J556" t="s">
        <v>518</v>
      </c>
      <c r="K556">
        <v>400</v>
      </c>
      <c r="L556">
        <v>40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3</v>
      </c>
      <c r="T556">
        <v>7</v>
      </c>
      <c r="U556">
        <v>1</v>
      </c>
      <c r="V556">
        <v>6</v>
      </c>
      <c r="W556">
        <v>5</v>
      </c>
      <c r="X556">
        <v>16</v>
      </c>
      <c r="Y556">
        <v>1</v>
      </c>
      <c r="Z556">
        <v>0</v>
      </c>
      <c r="AA556">
        <v>0</v>
      </c>
      <c r="AB556" t="s">
        <v>50</v>
      </c>
      <c r="AC556" t="s">
        <v>34</v>
      </c>
      <c r="AD556" t="s">
        <v>35</v>
      </c>
      <c r="AE556">
        <v>2</v>
      </c>
      <c r="AF556">
        <v>2</v>
      </c>
      <c r="AG556" t="s">
        <v>2945</v>
      </c>
      <c r="AH556">
        <v>2</v>
      </c>
      <c r="AL556" t="s">
        <v>35</v>
      </c>
      <c r="AM556" t="s">
        <v>34</v>
      </c>
    </row>
    <row r="557" spans="1:40" x14ac:dyDescent="0.2">
      <c r="A557" s="2">
        <v>45980.466689814813</v>
      </c>
      <c r="B557" t="s">
        <v>2946</v>
      </c>
      <c r="C557" t="s">
        <v>2928</v>
      </c>
      <c r="D557" t="s">
        <v>2939</v>
      </c>
      <c r="E557" t="s">
        <v>2940</v>
      </c>
      <c r="F557" t="s">
        <v>2947</v>
      </c>
      <c r="G557">
        <v>84722320697</v>
      </c>
      <c r="H557" t="s">
        <v>2948</v>
      </c>
      <c r="I557" t="s">
        <v>49</v>
      </c>
      <c r="J557" t="s">
        <v>34</v>
      </c>
      <c r="K557">
        <v>880</v>
      </c>
      <c r="L557">
        <v>57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14</v>
      </c>
      <c r="S557">
        <v>4</v>
      </c>
      <c r="T557">
        <v>10</v>
      </c>
      <c r="U557">
        <v>4</v>
      </c>
      <c r="V557">
        <v>5</v>
      </c>
      <c r="W557">
        <v>8</v>
      </c>
      <c r="X557">
        <v>6</v>
      </c>
      <c r="Y557">
        <v>6</v>
      </c>
      <c r="Z557">
        <v>0</v>
      </c>
      <c r="AA557">
        <v>0</v>
      </c>
      <c r="AB557" t="s">
        <v>62</v>
      </c>
      <c r="AC557" t="s">
        <v>35</v>
      </c>
      <c r="AD557" t="s">
        <v>34</v>
      </c>
      <c r="AE557">
        <v>2</v>
      </c>
      <c r="AF557">
        <v>0</v>
      </c>
      <c r="AG557">
        <v>0</v>
      </c>
      <c r="AL557" t="s">
        <v>35</v>
      </c>
      <c r="AM557" t="s">
        <v>34</v>
      </c>
    </row>
    <row r="558" spans="1:40" x14ac:dyDescent="0.2">
      <c r="A558" s="2">
        <v>45979.432245370372</v>
      </c>
      <c r="B558" t="s">
        <v>3003</v>
      </c>
      <c r="C558" t="s">
        <v>2928</v>
      </c>
      <c r="D558" t="s">
        <v>2939</v>
      </c>
      <c r="E558" t="s">
        <v>3004</v>
      </c>
      <c r="F558" t="s">
        <v>3005</v>
      </c>
      <c r="G558">
        <v>4723755937</v>
      </c>
      <c r="H558" t="s">
        <v>3006</v>
      </c>
      <c r="I558" t="s">
        <v>49</v>
      </c>
      <c r="J558" t="s">
        <v>34</v>
      </c>
      <c r="K558">
        <v>119</v>
      </c>
      <c r="L558">
        <v>25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11</v>
      </c>
      <c r="W558" s="4">
        <v>9</v>
      </c>
      <c r="X558" s="4">
        <v>5</v>
      </c>
      <c r="Y558" s="4">
        <v>0</v>
      </c>
      <c r="Z558" s="4">
        <v>0</v>
      </c>
      <c r="AA558" s="4">
        <v>0</v>
      </c>
      <c r="AB558" t="s">
        <v>3007</v>
      </c>
      <c r="AC558" t="s">
        <v>34</v>
      </c>
      <c r="AD558" t="s">
        <v>35</v>
      </c>
      <c r="AE558">
        <v>1</v>
      </c>
      <c r="AF558">
        <v>0</v>
      </c>
      <c r="AG558" t="s">
        <v>48</v>
      </c>
      <c r="AL558" t="s">
        <v>35</v>
      </c>
      <c r="AM558" t="s">
        <v>35</v>
      </c>
      <c r="AN558" t="s">
        <v>3008</v>
      </c>
    </row>
    <row r="559" spans="1:40" x14ac:dyDescent="0.2">
      <c r="A559" s="2">
        <v>45987.616388888891</v>
      </c>
      <c r="B559" t="s">
        <v>3082</v>
      </c>
      <c r="C559" t="s">
        <v>2928</v>
      </c>
      <c r="D559" t="s">
        <v>2939</v>
      </c>
      <c r="E559" t="s">
        <v>3083</v>
      </c>
      <c r="F559" t="s">
        <v>3084</v>
      </c>
      <c r="G559">
        <v>84724155624</v>
      </c>
      <c r="H559" t="s">
        <v>3085</v>
      </c>
      <c r="I559" t="s">
        <v>49</v>
      </c>
      <c r="J559" t="s">
        <v>34</v>
      </c>
      <c r="K559">
        <v>169</v>
      </c>
      <c r="L559">
        <v>15</v>
      </c>
      <c r="M559">
        <v>0</v>
      </c>
      <c r="N559">
        <v>0</v>
      </c>
      <c r="O559">
        <v>3</v>
      </c>
      <c r="P559">
        <v>3</v>
      </c>
      <c r="Q559">
        <v>1</v>
      </c>
      <c r="R559">
        <v>1</v>
      </c>
      <c r="S559">
        <v>5</v>
      </c>
      <c r="T559">
        <v>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50</v>
      </c>
      <c r="AC559" t="s">
        <v>35</v>
      </c>
      <c r="AD559" t="s">
        <v>34</v>
      </c>
      <c r="AE559">
        <v>1</v>
      </c>
      <c r="AF559">
        <v>0</v>
      </c>
      <c r="AG559">
        <v>0</v>
      </c>
      <c r="AL559" t="s">
        <v>34</v>
      </c>
      <c r="AM559" t="s">
        <v>34</v>
      </c>
    </row>
    <row r="560" spans="1:40" x14ac:dyDescent="0.2">
      <c r="A560" s="2">
        <v>45978.597407407397</v>
      </c>
      <c r="B560" t="s">
        <v>3203</v>
      </c>
      <c r="C560" t="s">
        <v>2928</v>
      </c>
      <c r="D560" t="s">
        <v>2939</v>
      </c>
      <c r="E560" t="s">
        <v>3204</v>
      </c>
      <c r="F560" t="s">
        <v>3205</v>
      </c>
      <c r="G560" t="s">
        <v>3206</v>
      </c>
      <c r="H560" t="s">
        <v>3207</v>
      </c>
      <c r="I560" t="s">
        <v>33</v>
      </c>
      <c r="J560" t="s">
        <v>34</v>
      </c>
      <c r="K560">
        <v>106</v>
      </c>
      <c r="L560">
        <v>40</v>
      </c>
      <c r="M560" s="4">
        <v>0</v>
      </c>
      <c r="N560" s="4">
        <v>1</v>
      </c>
      <c r="O560" s="4">
        <v>10</v>
      </c>
      <c r="P560" s="4">
        <v>2</v>
      </c>
      <c r="Q560" s="4">
        <v>0</v>
      </c>
      <c r="R560" s="4">
        <v>0</v>
      </c>
      <c r="S560" s="4">
        <v>1</v>
      </c>
      <c r="T560" s="4">
        <v>9</v>
      </c>
      <c r="U560" s="4">
        <v>4</v>
      </c>
      <c r="V560" s="4">
        <v>5</v>
      </c>
      <c r="W560" s="4">
        <v>5</v>
      </c>
      <c r="X560" s="4">
        <v>3</v>
      </c>
      <c r="Y560" s="4">
        <v>0</v>
      </c>
      <c r="Z560" s="4">
        <v>0</v>
      </c>
      <c r="AA560" s="4">
        <v>0</v>
      </c>
      <c r="AB560" t="s">
        <v>50</v>
      </c>
      <c r="AC560" t="s">
        <v>35</v>
      </c>
      <c r="AD560" t="s">
        <v>34</v>
      </c>
      <c r="AE560">
        <v>2</v>
      </c>
      <c r="AF560">
        <v>0</v>
      </c>
      <c r="AG560" t="s">
        <v>48</v>
      </c>
      <c r="AL560" t="s">
        <v>34</v>
      </c>
      <c r="AM560" t="s">
        <v>34</v>
      </c>
    </row>
    <row r="561" spans="1:40" x14ac:dyDescent="0.2">
      <c r="A561" s="2">
        <v>45985.888518518521</v>
      </c>
      <c r="B561" t="s">
        <v>3405</v>
      </c>
      <c r="C561" t="s">
        <v>2928</v>
      </c>
      <c r="D561" t="s">
        <v>2939</v>
      </c>
      <c r="E561" t="s">
        <v>3406</v>
      </c>
      <c r="F561" t="s">
        <v>3407</v>
      </c>
      <c r="G561">
        <v>79507149253</v>
      </c>
      <c r="H561" t="s">
        <v>3408</v>
      </c>
      <c r="I561" t="s">
        <v>3409</v>
      </c>
      <c r="J561" t="s">
        <v>34</v>
      </c>
      <c r="K561">
        <v>200</v>
      </c>
      <c r="L561">
        <v>30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2</v>
      </c>
      <c r="X561" s="4">
        <v>3</v>
      </c>
      <c r="Y561" s="4">
        <v>5</v>
      </c>
      <c r="Z561" s="4">
        <v>19</v>
      </c>
      <c r="AA561" s="4">
        <v>1</v>
      </c>
      <c r="AB561" t="s">
        <v>158</v>
      </c>
      <c r="AC561" t="s">
        <v>35</v>
      </c>
      <c r="AD561" t="s">
        <v>35</v>
      </c>
      <c r="AE561">
        <v>1</v>
      </c>
      <c r="AF561">
        <v>1</v>
      </c>
      <c r="AG561" t="s">
        <v>3410</v>
      </c>
      <c r="AH561">
        <v>1</v>
      </c>
      <c r="AL561" t="s">
        <v>34</v>
      </c>
      <c r="AM561" t="s">
        <v>34</v>
      </c>
    </row>
    <row r="562" spans="1:40" x14ac:dyDescent="0.2">
      <c r="A562" s="2">
        <v>45978.62060185185</v>
      </c>
      <c r="B562" t="s">
        <v>3411</v>
      </c>
      <c r="C562" t="s">
        <v>2928</v>
      </c>
      <c r="D562" t="s">
        <v>2939</v>
      </c>
      <c r="E562" t="s">
        <v>3406</v>
      </c>
      <c r="F562" t="s">
        <v>3412</v>
      </c>
      <c r="G562" t="s">
        <v>3413</v>
      </c>
      <c r="H562" t="s">
        <v>3414</v>
      </c>
      <c r="I562" t="s">
        <v>49</v>
      </c>
      <c r="J562" t="s">
        <v>114</v>
      </c>
      <c r="K562">
        <v>503</v>
      </c>
      <c r="L562">
        <v>62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4</v>
      </c>
      <c r="S562">
        <v>2</v>
      </c>
      <c r="T562">
        <v>3</v>
      </c>
      <c r="U562">
        <v>13</v>
      </c>
      <c r="V562">
        <v>11</v>
      </c>
      <c r="W562">
        <v>15</v>
      </c>
      <c r="X562">
        <v>7</v>
      </c>
      <c r="Y562">
        <v>5</v>
      </c>
      <c r="Z562">
        <v>1</v>
      </c>
      <c r="AA562">
        <v>0</v>
      </c>
      <c r="AB562" t="s">
        <v>696</v>
      </c>
      <c r="AC562" t="s">
        <v>34</v>
      </c>
      <c r="AD562" t="s">
        <v>34</v>
      </c>
      <c r="AE562">
        <v>2</v>
      </c>
      <c r="AF562">
        <v>2</v>
      </c>
      <c r="AG562" t="s">
        <v>3415</v>
      </c>
      <c r="AH562">
        <v>1</v>
      </c>
      <c r="AL562" t="s">
        <v>35</v>
      </c>
      <c r="AM562" t="s">
        <v>35</v>
      </c>
    </row>
    <row r="563" spans="1:40" x14ac:dyDescent="0.2">
      <c r="A563" s="2">
        <v>45986.504537037043</v>
      </c>
      <c r="B563" t="s">
        <v>2934</v>
      </c>
      <c r="C563" t="s">
        <v>2928</v>
      </c>
      <c r="D563" t="s">
        <v>437</v>
      </c>
      <c r="E563" t="s">
        <v>2935</v>
      </c>
      <c r="F563" t="s">
        <v>2936</v>
      </c>
      <c r="G563">
        <v>84834238222</v>
      </c>
      <c r="H563" t="s">
        <v>2937</v>
      </c>
      <c r="I563" t="s">
        <v>49</v>
      </c>
      <c r="J563" t="s">
        <v>34</v>
      </c>
      <c r="K563">
        <v>118</v>
      </c>
      <c r="L563">
        <v>59</v>
      </c>
      <c r="M563" s="4">
        <v>0</v>
      </c>
      <c r="N563" s="4">
        <v>0</v>
      </c>
      <c r="O563" s="4">
        <v>0</v>
      </c>
      <c r="P563" s="4">
        <v>1</v>
      </c>
      <c r="Q563" s="4">
        <v>2</v>
      </c>
      <c r="R563" s="4">
        <v>2</v>
      </c>
      <c r="S563" s="4">
        <v>4</v>
      </c>
      <c r="T563" s="4">
        <v>14</v>
      </c>
      <c r="U563" s="4">
        <v>6</v>
      </c>
      <c r="V563" s="4">
        <v>6</v>
      </c>
      <c r="W563" s="4">
        <v>7</v>
      </c>
      <c r="X563" s="4">
        <v>3</v>
      </c>
      <c r="Y563" s="4">
        <v>11</v>
      </c>
      <c r="Z563" s="4">
        <v>3</v>
      </c>
      <c r="AA563" s="4">
        <v>0</v>
      </c>
      <c r="AB563" t="s">
        <v>50</v>
      </c>
      <c r="AC563" t="s">
        <v>35</v>
      </c>
      <c r="AD563" t="s">
        <v>35</v>
      </c>
      <c r="AE563">
        <v>2</v>
      </c>
      <c r="AF563">
        <v>1</v>
      </c>
      <c r="AG563" t="s">
        <v>48</v>
      </c>
      <c r="AL563" t="s">
        <v>34</v>
      </c>
      <c r="AM563" t="s">
        <v>34</v>
      </c>
    </row>
    <row r="564" spans="1:40" x14ac:dyDescent="0.2">
      <c r="A564" s="2">
        <v>45985.770613425928</v>
      </c>
      <c r="B564" t="s">
        <v>2964</v>
      </c>
      <c r="C564" t="s">
        <v>2928</v>
      </c>
      <c r="D564" t="s">
        <v>437</v>
      </c>
      <c r="E564" t="s">
        <v>2965</v>
      </c>
      <c r="F564" t="s">
        <v>2966</v>
      </c>
      <c r="G564">
        <v>89155302199</v>
      </c>
      <c r="H564" t="s">
        <v>2967</v>
      </c>
      <c r="I564" t="s">
        <v>2968</v>
      </c>
      <c r="J564" t="s">
        <v>114</v>
      </c>
      <c r="K564">
        <v>657</v>
      </c>
      <c r="L564">
        <v>21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2</v>
      </c>
      <c r="U564">
        <v>4</v>
      </c>
      <c r="V564">
        <v>3</v>
      </c>
      <c r="W564">
        <v>6</v>
      </c>
      <c r="X564">
        <v>4</v>
      </c>
      <c r="Y564">
        <v>1</v>
      </c>
      <c r="Z564">
        <v>1</v>
      </c>
      <c r="AA564">
        <v>0</v>
      </c>
      <c r="AB564" t="s">
        <v>94</v>
      </c>
      <c r="AC564" t="s">
        <v>35</v>
      </c>
      <c r="AD564" t="s">
        <v>34</v>
      </c>
      <c r="AE564">
        <v>5</v>
      </c>
      <c r="AF564">
        <v>1</v>
      </c>
      <c r="AG564" t="s">
        <v>2969</v>
      </c>
      <c r="AL564" t="s">
        <v>34</v>
      </c>
      <c r="AM564" t="s">
        <v>34</v>
      </c>
    </row>
    <row r="565" spans="1:40" x14ac:dyDescent="0.2">
      <c r="A565" s="2">
        <v>45985.712372685193</v>
      </c>
      <c r="B565" t="s">
        <v>2970</v>
      </c>
      <c r="C565" t="s">
        <v>2928</v>
      </c>
      <c r="D565" t="s">
        <v>437</v>
      </c>
      <c r="E565" t="s">
        <v>2965</v>
      </c>
      <c r="F565" t="s">
        <v>2971</v>
      </c>
      <c r="G565">
        <v>89532881970</v>
      </c>
      <c r="H565" t="s">
        <v>2972</v>
      </c>
      <c r="I565" t="s">
        <v>2973</v>
      </c>
      <c r="J565" t="s">
        <v>34</v>
      </c>
      <c r="K565">
        <v>300</v>
      </c>
      <c r="L565">
        <v>60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5</v>
      </c>
      <c r="T565" s="4">
        <v>5</v>
      </c>
      <c r="U565" s="4">
        <v>5</v>
      </c>
      <c r="V565" s="4">
        <v>5</v>
      </c>
      <c r="W565" s="4">
        <v>10</v>
      </c>
      <c r="X565" s="4">
        <v>10</v>
      </c>
      <c r="Y565" s="4">
        <v>10</v>
      </c>
      <c r="Z565" s="4">
        <v>5</v>
      </c>
      <c r="AA565" s="4">
        <v>5</v>
      </c>
      <c r="AB565" t="s">
        <v>50</v>
      </c>
      <c r="AC565" t="s">
        <v>34</v>
      </c>
      <c r="AD565" t="s">
        <v>34</v>
      </c>
      <c r="AE565">
        <v>2</v>
      </c>
      <c r="AF565">
        <v>2</v>
      </c>
      <c r="AG565">
        <v>0</v>
      </c>
      <c r="AL565" t="s">
        <v>34</v>
      </c>
      <c r="AM565" t="s">
        <v>34</v>
      </c>
    </row>
    <row r="566" spans="1:40" x14ac:dyDescent="0.2">
      <c r="A566" s="2">
        <v>45987.623472222222</v>
      </c>
      <c r="B566" t="s">
        <v>2974</v>
      </c>
      <c r="C566" t="s">
        <v>2928</v>
      </c>
      <c r="D566" t="s">
        <v>437</v>
      </c>
      <c r="E566" t="s">
        <v>2965</v>
      </c>
      <c r="F566" t="s">
        <v>2975</v>
      </c>
      <c r="G566">
        <v>89191910009</v>
      </c>
      <c r="H566" t="s">
        <v>2976</v>
      </c>
      <c r="I566" t="s">
        <v>1037</v>
      </c>
      <c r="J566" t="s">
        <v>34</v>
      </c>
      <c r="K566">
        <v>420</v>
      </c>
      <c r="L566">
        <v>11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1</v>
      </c>
      <c r="T566" s="4">
        <v>0</v>
      </c>
      <c r="U566" s="4">
        <v>0</v>
      </c>
      <c r="V566" s="4">
        <v>0</v>
      </c>
      <c r="W566" s="4">
        <v>4</v>
      </c>
      <c r="X566" s="4">
        <v>3</v>
      </c>
      <c r="Y566" s="4">
        <v>3</v>
      </c>
      <c r="Z566" s="4">
        <v>0</v>
      </c>
      <c r="AA566" s="4">
        <v>0</v>
      </c>
      <c r="AB566" t="s">
        <v>50</v>
      </c>
      <c r="AC566" t="s">
        <v>35</v>
      </c>
      <c r="AD566" t="s">
        <v>34</v>
      </c>
      <c r="AE566">
        <v>0</v>
      </c>
      <c r="AF566">
        <v>0</v>
      </c>
      <c r="AG566">
        <v>0</v>
      </c>
      <c r="AL566" t="s">
        <v>34</v>
      </c>
      <c r="AM566" t="s">
        <v>34</v>
      </c>
    </row>
    <row r="567" spans="1:40" x14ac:dyDescent="0.2">
      <c r="A567" s="2">
        <v>45985.695277777777</v>
      </c>
      <c r="B567" t="s">
        <v>2977</v>
      </c>
      <c r="C567" t="s">
        <v>2928</v>
      </c>
      <c r="D567" t="s">
        <v>437</v>
      </c>
      <c r="E567" t="s">
        <v>2965</v>
      </c>
      <c r="F567" t="s">
        <v>2978</v>
      </c>
      <c r="G567" t="s">
        <v>2979</v>
      </c>
      <c r="H567" t="s">
        <v>2980</v>
      </c>
      <c r="I567" t="s">
        <v>49</v>
      </c>
      <c r="J567" t="s">
        <v>114</v>
      </c>
      <c r="K567">
        <v>280</v>
      </c>
      <c r="L567">
        <v>41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4</v>
      </c>
      <c r="W567" s="4">
        <v>8</v>
      </c>
      <c r="X567" s="4">
        <v>9</v>
      </c>
      <c r="Y567" s="4">
        <v>11</v>
      </c>
      <c r="Z567" s="4">
        <v>9</v>
      </c>
      <c r="AA567" s="4">
        <v>0</v>
      </c>
      <c r="AB567" t="s">
        <v>62</v>
      </c>
      <c r="AC567" t="s">
        <v>35</v>
      </c>
      <c r="AD567" t="s">
        <v>35</v>
      </c>
      <c r="AE567">
        <v>2</v>
      </c>
      <c r="AF567">
        <v>1</v>
      </c>
      <c r="AG567" t="s">
        <v>2981</v>
      </c>
      <c r="AH567">
        <v>1</v>
      </c>
      <c r="AL567" t="s">
        <v>35</v>
      </c>
      <c r="AM567" t="s">
        <v>34</v>
      </c>
    </row>
    <row r="568" spans="1:40" x14ac:dyDescent="0.2">
      <c r="A568" s="2">
        <v>45985.709224537037</v>
      </c>
      <c r="B568" t="s">
        <v>2982</v>
      </c>
      <c r="C568" t="s">
        <v>2928</v>
      </c>
      <c r="D568" t="s">
        <v>437</v>
      </c>
      <c r="E568" t="s">
        <v>2965</v>
      </c>
      <c r="F568" t="s">
        <v>2983</v>
      </c>
      <c r="G568" t="s">
        <v>2984</v>
      </c>
      <c r="H568" t="s">
        <v>2985</v>
      </c>
      <c r="I568" t="s">
        <v>2986</v>
      </c>
      <c r="J568" t="s">
        <v>34</v>
      </c>
      <c r="K568">
        <v>1000</v>
      </c>
      <c r="L568">
        <v>230</v>
      </c>
      <c r="M568" s="4">
        <v>21</v>
      </c>
      <c r="N568" s="4">
        <v>5</v>
      </c>
      <c r="O568" s="4">
        <v>4</v>
      </c>
      <c r="P568" s="4">
        <v>14</v>
      </c>
      <c r="Q568" s="4">
        <v>4</v>
      </c>
      <c r="R568" s="4">
        <v>21</v>
      </c>
      <c r="S568" s="4">
        <v>17</v>
      </c>
      <c r="T568" s="4">
        <v>17</v>
      </c>
      <c r="U568" s="4">
        <v>18</v>
      </c>
      <c r="V568" s="4">
        <v>27</v>
      </c>
      <c r="W568" s="4">
        <v>17</v>
      </c>
      <c r="X568" s="4">
        <v>25</v>
      </c>
      <c r="Y568" s="4">
        <v>15</v>
      </c>
      <c r="Z568" s="4">
        <v>15</v>
      </c>
      <c r="AA568" s="4">
        <v>10</v>
      </c>
      <c r="AB568" t="s">
        <v>50</v>
      </c>
      <c r="AC568" t="s">
        <v>34</v>
      </c>
      <c r="AD568" t="s">
        <v>35</v>
      </c>
      <c r="AE568">
        <v>4</v>
      </c>
      <c r="AF568">
        <v>3</v>
      </c>
      <c r="AG568" t="s">
        <v>2987</v>
      </c>
      <c r="AH568">
        <v>2</v>
      </c>
      <c r="AL568" t="s">
        <v>34</v>
      </c>
      <c r="AM568" t="s">
        <v>34</v>
      </c>
    </row>
    <row r="569" spans="1:40" x14ac:dyDescent="0.2">
      <c r="A569" s="2">
        <v>45978.684027777781</v>
      </c>
      <c r="B569" t="s">
        <v>2988</v>
      </c>
      <c r="C569" t="s">
        <v>2928</v>
      </c>
      <c r="D569" t="s">
        <v>437</v>
      </c>
      <c r="E569" t="s">
        <v>2965</v>
      </c>
      <c r="F569" t="s">
        <v>2989</v>
      </c>
      <c r="G569" t="s">
        <v>2990</v>
      </c>
      <c r="H569" t="s">
        <v>2991</v>
      </c>
      <c r="I569" t="s">
        <v>49</v>
      </c>
      <c r="J569" t="s">
        <v>34</v>
      </c>
      <c r="K569">
        <v>403</v>
      </c>
      <c r="L569">
        <v>2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189</v>
      </c>
      <c r="AC569" t="s">
        <v>35</v>
      </c>
      <c r="AD569" t="s">
        <v>34</v>
      </c>
      <c r="AE569">
        <v>0</v>
      </c>
      <c r="AF569">
        <v>0</v>
      </c>
      <c r="AG569" t="s">
        <v>48</v>
      </c>
      <c r="AL569" t="s">
        <v>35</v>
      </c>
      <c r="AM569" t="s">
        <v>34</v>
      </c>
    </row>
    <row r="570" spans="1:40" x14ac:dyDescent="0.2">
      <c r="A570" s="2">
        <v>45979.50644675926</v>
      </c>
      <c r="B570" t="s">
        <v>2992</v>
      </c>
      <c r="C570" t="s">
        <v>2928</v>
      </c>
      <c r="D570" t="s">
        <v>437</v>
      </c>
      <c r="E570" t="s">
        <v>2965</v>
      </c>
      <c r="F570" t="s">
        <v>2993</v>
      </c>
      <c r="G570">
        <v>89803335291</v>
      </c>
      <c r="H570" t="s">
        <v>2994</v>
      </c>
      <c r="I570" t="s">
        <v>471</v>
      </c>
      <c r="J570" t="s">
        <v>34</v>
      </c>
      <c r="K570">
        <v>230</v>
      </c>
      <c r="L570">
        <v>15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5</v>
      </c>
      <c r="Y570">
        <v>2</v>
      </c>
      <c r="Z570">
        <v>2</v>
      </c>
      <c r="AA570">
        <v>5</v>
      </c>
      <c r="AB570" t="s">
        <v>62</v>
      </c>
      <c r="AC570" t="s">
        <v>35</v>
      </c>
      <c r="AD570" t="s">
        <v>35</v>
      </c>
      <c r="AE570">
        <v>2</v>
      </c>
      <c r="AF570">
        <v>1</v>
      </c>
      <c r="AG570" t="s">
        <v>2995</v>
      </c>
      <c r="AH570">
        <v>2</v>
      </c>
      <c r="AL570" t="s">
        <v>35</v>
      </c>
      <c r="AM570" t="s">
        <v>34</v>
      </c>
      <c r="AN570" t="s">
        <v>2996</v>
      </c>
    </row>
    <row r="571" spans="1:40" x14ac:dyDescent="0.2">
      <c r="A571" s="2">
        <v>45985.705138888887</v>
      </c>
      <c r="B571" t="s">
        <v>3098</v>
      </c>
      <c r="C571" t="s">
        <v>2928</v>
      </c>
      <c r="D571" t="s">
        <v>437</v>
      </c>
      <c r="E571" t="s">
        <v>3099</v>
      </c>
      <c r="F571" t="s">
        <v>3100</v>
      </c>
      <c r="G571" t="s">
        <v>3101</v>
      </c>
      <c r="H571" t="s">
        <v>3102</v>
      </c>
      <c r="I571" t="s">
        <v>3103</v>
      </c>
      <c r="J571" t="s">
        <v>34</v>
      </c>
      <c r="K571">
        <v>54</v>
      </c>
      <c r="L571">
        <v>12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2</v>
      </c>
      <c r="T571">
        <v>9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t="s">
        <v>62</v>
      </c>
      <c r="AC571" t="s">
        <v>35</v>
      </c>
      <c r="AD571" t="s">
        <v>35</v>
      </c>
      <c r="AE571">
        <v>1</v>
      </c>
      <c r="AF571">
        <v>0</v>
      </c>
      <c r="AG571" t="s">
        <v>3104</v>
      </c>
      <c r="AL571" t="s">
        <v>34</v>
      </c>
      <c r="AM571" t="s">
        <v>34</v>
      </c>
    </row>
    <row r="572" spans="1:40" x14ac:dyDescent="0.2">
      <c r="A572" s="2">
        <v>45979.445532407408</v>
      </c>
      <c r="B572" t="s">
        <v>3114</v>
      </c>
      <c r="C572" t="s">
        <v>2928</v>
      </c>
      <c r="D572" t="s">
        <v>437</v>
      </c>
      <c r="E572" t="s">
        <v>3115</v>
      </c>
      <c r="F572" t="s">
        <v>3116</v>
      </c>
      <c r="G572">
        <v>823437120</v>
      </c>
      <c r="H572" t="s">
        <v>3117</v>
      </c>
      <c r="I572" t="s">
        <v>33</v>
      </c>
      <c r="J572" t="s">
        <v>34</v>
      </c>
      <c r="K572">
        <v>40</v>
      </c>
      <c r="L572">
        <v>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4</v>
      </c>
      <c r="X572">
        <v>0</v>
      </c>
      <c r="Y572">
        <v>0</v>
      </c>
      <c r="Z572">
        <v>0</v>
      </c>
      <c r="AA572">
        <v>0</v>
      </c>
      <c r="AB572" t="s">
        <v>3118</v>
      </c>
      <c r="AC572" t="s">
        <v>35</v>
      </c>
      <c r="AD572" t="s">
        <v>34</v>
      </c>
      <c r="AE572">
        <v>1</v>
      </c>
      <c r="AF572">
        <v>0</v>
      </c>
      <c r="AG572" t="s">
        <v>34</v>
      </c>
      <c r="AL572" t="s">
        <v>35</v>
      </c>
      <c r="AM572" t="s">
        <v>34</v>
      </c>
      <c r="AN572" t="s">
        <v>3119</v>
      </c>
    </row>
    <row r="573" spans="1:40" x14ac:dyDescent="0.2">
      <c r="A573" s="2">
        <v>45992.485798611109</v>
      </c>
      <c r="B573" t="s">
        <v>3124</v>
      </c>
      <c r="C573" t="s">
        <v>2928</v>
      </c>
      <c r="D573" t="s">
        <v>437</v>
      </c>
      <c r="E573" t="s">
        <v>3125</v>
      </c>
      <c r="F573" t="s">
        <v>3126</v>
      </c>
      <c r="G573">
        <v>89605609991</v>
      </c>
      <c r="H573" t="s">
        <v>3127</v>
      </c>
      <c r="I573" t="s">
        <v>136</v>
      </c>
      <c r="J573" t="s">
        <v>34</v>
      </c>
      <c r="K573">
        <v>46</v>
      </c>
      <c r="L573">
        <v>15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5</v>
      </c>
      <c r="T573">
        <v>5</v>
      </c>
      <c r="U573">
        <v>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C573" t="s">
        <v>35</v>
      </c>
      <c r="AD573" t="s">
        <v>34</v>
      </c>
      <c r="AE573">
        <v>1</v>
      </c>
      <c r="AF573">
        <v>0</v>
      </c>
      <c r="AG573">
        <v>0</v>
      </c>
      <c r="AL573" t="s">
        <v>34</v>
      </c>
      <c r="AM573" t="s">
        <v>34</v>
      </c>
    </row>
    <row r="574" spans="1:40" x14ac:dyDescent="0.2">
      <c r="A574" s="2">
        <v>45985.723553240743</v>
      </c>
      <c r="B574" t="s">
        <v>3177</v>
      </c>
      <c r="C574" t="s">
        <v>2928</v>
      </c>
      <c r="D574" t="s">
        <v>437</v>
      </c>
      <c r="E574" t="s">
        <v>3178</v>
      </c>
      <c r="F574" t="s">
        <v>3179</v>
      </c>
      <c r="G574" t="s">
        <v>3180</v>
      </c>
      <c r="H574" t="s">
        <v>3181</v>
      </c>
      <c r="I574" t="s">
        <v>49</v>
      </c>
      <c r="J574" t="s">
        <v>34</v>
      </c>
      <c r="K574">
        <v>216</v>
      </c>
      <c r="L574">
        <v>52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4</v>
      </c>
      <c r="U574">
        <v>16</v>
      </c>
      <c r="V574">
        <v>13</v>
      </c>
      <c r="W574">
        <v>4</v>
      </c>
      <c r="X574">
        <v>4</v>
      </c>
      <c r="Y574">
        <v>6</v>
      </c>
      <c r="Z574">
        <v>5</v>
      </c>
      <c r="AA574">
        <v>0</v>
      </c>
      <c r="AB574" t="s">
        <v>3182</v>
      </c>
      <c r="AC574" t="s">
        <v>35</v>
      </c>
      <c r="AD574" t="s">
        <v>34</v>
      </c>
      <c r="AE574">
        <v>2</v>
      </c>
      <c r="AF574">
        <v>1</v>
      </c>
      <c r="AG574" t="s">
        <v>3183</v>
      </c>
      <c r="AL574" t="s">
        <v>34</v>
      </c>
      <c r="AM574" t="s">
        <v>34</v>
      </c>
      <c r="AN574" t="s">
        <v>3184</v>
      </c>
    </row>
    <row r="575" spans="1:40" x14ac:dyDescent="0.2">
      <c r="A575" s="4"/>
      <c r="B575" s="4" t="s">
        <v>1672</v>
      </c>
      <c r="C575" s="4" t="s">
        <v>1553</v>
      </c>
      <c r="D575" s="4" t="s">
        <v>1593</v>
      </c>
      <c r="E575" s="4" t="s">
        <v>1673</v>
      </c>
      <c r="F575" s="4" t="s">
        <v>1674</v>
      </c>
      <c r="G575" s="4">
        <v>88137054167</v>
      </c>
      <c r="H575" s="4" t="s">
        <v>1675</v>
      </c>
      <c r="I575" s="4"/>
      <c r="J575" s="4"/>
      <c r="K575" s="27">
        <v>65</v>
      </c>
      <c r="L575" s="4">
        <v>25</v>
      </c>
      <c r="M575">
        <v>0</v>
      </c>
      <c r="N575">
        <v>0</v>
      </c>
      <c r="O575">
        <v>0</v>
      </c>
      <c r="P575">
        <v>6</v>
      </c>
      <c r="Q575">
        <v>6</v>
      </c>
      <c r="R575">
        <v>0</v>
      </c>
      <c r="S575">
        <v>0</v>
      </c>
      <c r="T575">
        <v>2</v>
      </c>
      <c r="U575">
        <v>0</v>
      </c>
      <c r="V575">
        <v>2</v>
      </c>
      <c r="W575">
        <v>6</v>
      </c>
      <c r="X575">
        <v>3</v>
      </c>
      <c r="Y575">
        <v>0</v>
      </c>
      <c r="Z575">
        <v>0</v>
      </c>
      <c r="AA575">
        <v>0</v>
      </c>
    </row>
    <row r="576" spans="1:40" x14ac:dyDescent="0.2">
      <c r="A576" s="2">
        <v>45992.593171296299</v>
      </c>
      <c r="B576" t="s">
        <v>3246</v>
      </c>
      <c r="C576" t="s">
        <v>2928</v>
      </c>
      <c r="D576" t="s">
        <v>437</v>
      </c>
      <c r="E576" t="s">
        <v>3247</v>
      </c>
      <c r="F576" t="s">
        <v>3248</v>
      </c>
      <c r="G576" t="s">
        <v>3249</v>
      </c>
      <c r="H576" t="s">
        <v>3249</v>
      </c>
      <c r="I576" t="s">
        <v>49</v>
      </c>
      <c r="J576" t="s">
        <v>34</v>
      </c>
      <c r="K576">
        <v>58</v>
      </c>
      <c r="L576">
        <v>16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5</v>
      </c>
      <c r="S576">
        <v>2</v>
      </c>
      <c r="T576">
        <v>6</v>
      </c>
      <c r="U576">
        <v>0</v>
      </c>
      <c r="V576">
        <v>1</v>
      </c>
      <c r="W576">
        <v>0</v>
      </c>
      <c r="X576">
        <v>2</v>
      </c>
      <c r="Y576">
        <v>0</v>
      </c>
      <c r="Z576">
        <v>0</v>
      </c>
      <c r="AA576">
        <v>0</v>
      </c>
      <c r="AB576" t="s">
        <v>3250</v>
      </c>
      <c r="AC576" t="s">
        <v>35</v>
      </c>
      <c r="AD576" t="s">
        <v>34</v>
      </c>
      <c r="AE576">
        <v>1</v>
      </c>
      <c r="AF576">
        <v>0</v>
      </c>
      <c r="AG576">
        <v>0</v>
      </c>
      <c r="AL576" t="s">
        <v>34</v>
      </c>
      <c r="AM576" t="s">
        <v>34</v>
      </c>
    </row>
    <row r="577" spans="1:40" x14ac:dyDescent="0.2">
      <c r="A577" s="2">
        <v>45988.491724537038</v>
      </c>
      <c r="B577" t="s">
        <v>3267</v>
      </c>
      <c r="C577" t="s">
        <v>2928</v>
      </c>
      <c r="D577" t="s">
        <v>437</v>
      </c>
      <c r="E577" t="s">
        <v>3268</v>
      </c>
      <c r="F577" t="s">
        <v>3269</v>
      </c>
      <c r="G577">
        <v>79065029577</v>
      </c>
      <c r="H577" t="s">
        <v>3270</v>
      </c>
      <c r="I577" t="s">
        <v>49</v>
      </c>
      <c r="J577" t="s">
        <v>34</v>
      </c>
      <c r="K577">
        <v>96</v>
      </c>
      <c r="L577">
        <v>2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t="s">
        <v>3271</v>
      </c>
      <c r="AC577" t="s">
        <v>35</v>
      </c>
      <c r="AD577" t="s">
        <v>34</v>
      </c>
      <c r="AE577">
        <v>0</v>
      </c>
      <c r="AF577">
        <v>0</v>
      </c>
      <c r="AG577">
        <v>0</v>
      </c>
      <c r="AL577" t="s">
        <v>35</v>
      </c>
      <c r="AM577" t="s">
        <v>34</v>
      </c>
    </row>
    <row r="578" spans="1:40" x14ac:dyDescent="0.2">
      <c r="A578" s="2">
        <v>45988.523946759262</v>
      </c>
      <c r="B578" t="s">
        <v>3296</v>
      </c>
      <c r="C578" t="s">
        <v>2928</v>
      </c>
      <c r="D578" t="s">
        <v>437</v>
      </c>
      <c r="E578" t="s">
        <v>3297</v>
      </c>
      <c r="F578" t="s">
        <v>3298</v>
      </c>
      <c r="G578">
        <v>9308214496</v>
      </c>
      <c r="H578" t="s">
        <v>3299</v>
      </c>
      <c r="I578" t="s">
        <v>3300</v>
      </c>
      <c r="J578" t="s">
        <v>34</v>
      </c>
      <c r="K578">
        <v>38</v>
      </c>
      <c r="L578">
        <v>21</v>
      </c>
      <c r="M578">
        <v>0</v>
      </c>
      <c r="N578">
        <v>0</v>
      </c>
      <c r="O578">
        <v>0</v>
      </c>
      <c r="P578">
        <v>0</v>
      </c>
      <c r="Q578">
        <v>2</v>
      </c>
      <c r="R578">
        <v>4</v>
      </c>
      <c r="S578">
        <v>0</v>
      </c>
      <c r="T578">
        <v>1</v>
      </c>
      <c r="U578">
        <v>5</v>
      </c>
      <c r="V578">
        <v>4</v>
      </c>
      <c r="W578">
        <v>2</v>
      </c>
      <c r="X578">
        <v>0</v>
      </c>
      <c r="Y578">
        <v>1</v>
      </c>
      <c r="Z578">
        <v>0</v>
      </c>
      <c r="AA578">
        <v>2</v>
      </c>
      <c r="AB578" t="s">
        <v>50</v>
      </c>
      <c r="AC578" t="s">
        <v>35</v>
      </c>
      <c r="AD578" t="s">
        <v>34</v>
      </c>
      <c r="AE578">
        <v>1</v>
      </c>
      <c r="AF578">
        <v>0</v>
      </c>
      <c r="AG578" t="s">
        <v>34</v>
      </c>
      <c r="AL578" t="s">
        <v>34</v>
      </c>
      <c r="AM578" t="s">
        <v>34</v>
      </c>
    </row>
    <row r="579" spans="1:40" x14ac:dyDescent="0.2">
      <c r="A579" s="2">
        <v>45978.595914351848</v>
      </c>
      <c r="B579" t="s">
        <v>3334</v>
      </c>
      <c r="C579" t="s">
        <v>2928</v>
      </c>
      <c r="D579" t="s">
        <v>437</v>
      </c>
      <c r="E579" t="s">
        <v>3335</v>
      </c>
      <c r="F579" t="s">
        <v>3336</v>
      </c>
      <c r="G579">
        <v>89532710902</v>
      </c>
      <c r="H579" t="s">
        <v>3337</v>
      </c>
      <c r="I579" t="s">
        <v>49</v>
      </c>
      <c r="J579" t="s">
        <v>34</v>
      </c>
      <c r="K579">
        <v>82</v>
      </c>
      <c r="L579">
        <v>2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t="s">
        <v>189</v>
      </c>
      <c r="AC579" t="s">
        <v>35</v>
      </c>
      <c r="AD579" t="s">
        <v>35</v>
      </c>
      <c r="AE579">
        <v>0</v>
      </c>
      <c r="AF579">
        <v>0</v>
      </c>
      <c r="AG579" t="s">
        <v>48</v>
      </c>
      <c r="AL579" t="s">
        <v>34</v>
      </c>
      <c r="AM579" t="s">
        <v>34</v>
      </c>
    </row>
    <row r="580" spans="1:40" x14ac:dyDescent="0.2">
      <c r="A580" s="2">
        <v>45985.676041666673</v>
      </c>
      <c r="B580" t="s">
        <v>3349</v>
      </c>
      <c r="C580" t="s">
        <v>2928</v>
      </c>
      <c r="D580" t="s">
        <v>437</v>
      </c>
      <c r="E580" t="s">
        <v>3350</v>
      </c>
      <c r="F580" t="s">
        <v>3351</v>
      </c>
      <c r="G580">
        <v>84833121316</v>
      </c>
      <c r="H580" t="s">
        <v>3352</v>
      </c>
      <c r="I580" t="s">
        <v>49</v>
      </c>
      <c r="J580" t="s">
        <v>34</v>
      </c>
      <c r="K580">
        <v>56</v>
      </c>
      <c r="L580">
        <v>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4</v>
      </c>
      <c r="V580">
        <v>2</v>
      </c>
      <c r="W580">
        <v>2</v>
      </c>
      <c r="X580">
        <v>0</v>
      </c>
      <c r="Y580">
        <v>0</v>
      </c>
      <c r="Z580">
        <v>0</v>
      </c>
      <c r="AA580">
        <v>0</v>
      </c>
      <c r="AB580" t="s">
        <v>255</v>
      </c>
      <c r="AC580" t="s">
        <v>35</v>
      </c>
      <c r="AD580" t="s">
        <v>35</v>
      </c>
      <c r="AE580">
        <v>1</v>
      </c>
      <c r="AF580">
        <v>1</v>
      </c>
      <c r="AG580" t="s">
        <v>3353</v>
      </c>
      <c r="AL580" t="s">
        <v>34</v>
      </c>
      <c r="AM580" t="s">
        <v>34</v>
      </c>
      <c r="AN580" t="s">
        <v>3354</v>
      </c>
    </row>
    <row r="581" spans="1:40" x14ac:dyDescent="0.2">
      <c r="A581" s="2">
        <v>45988.49324074074</v>
      </c>
      <c r="B581" t="s">
        <v>3376</v>
      </c>
      <c r="C581" t="s">
        <v>2928</v>
      </c>
      <c r="D581" t="s">
        <v>437</v>
      </c>
      <c r="E581" t="s">
        <v>3377</v>
      </c>
      <c r="F581" t="s">
        <v>3378</v>
      </c>
      <c r="G581" t="s">
        <v>3379</v>
      </c>
      <c r="H581" t="s">
        <v>3380</v>
      </c>
      <c r="I581" t="s">
        <v>49</v>
      </c>
      <c r="J581" t="s">
        <v>34</v>
      </c>
      <c r="K581">
        <v>69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50</v>
      </c>
      <c r="AC581" t="s">
        <v>35</v>
      </c>
      <c r="AD581" t="s">
        <v>34</v>
      </c>
      <c r="AE581">
        <v>0</v>
      </c>
      <c r="AF581">
        <v>0</v>
      </c>
      <c r="AG581">
        <v>0</v>
      </c>
      <c r="AL581" t="s">
        <v>34</v>
      </c>
      <c r="AM581" t="s">
        <v>34</v>
      </c>
    </row>
    <row r="582" spans="1:40" x14ac:dyDescent="0.2">
      <c r="A582" s="2">
        <v>45986.599988425929</v>
      </c>
      <c r="B582" t="s">
        <v>3416</v>
      </c>
      <c r="C582" t="s">
        <v>2928</v>
      </c>
      <c r="D582" t="s">
        <v>437</v>
      </c>
      <c r="E582" t="s">
        <v>3417</v>
      </c>
      <c r="F582" t="s">
        <v>3418</v>
      </c>
      <c r="G582">
        <v>4832921598</v>
      </c>
      <c r="H582" t="s">
        <v>3419</v>
      </c>
      <c r="I582" t="s">
        <v>49</v>
      </c>
      <c r="J582" t="s">
        <v>34</v>
      </c>
      <c r="K582">
        <v>79</v>
      </c>
      <c r="L582">
        <v>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9</v>
      </c>
      <c r="S582">
        <v>5</v>
      </c>
      <c r="T582">
        <v>6</v>
      </c>
      <c r="U582">
        <v>0</v>
      </c>
      <c r="V582">
        <v>0</v>
      </c>
      <c r="W582">
        <v>0</v>
      </c>
      <c r="X582">
        <v>0</v>
      </c>
      <c r="Y582">
        <v>5</v>
      </c>
      <c r="Z582">
        <v>10</v>
      </c>
      <c r="AA582">
        <v>0</v>
      </c>
      <c r="AB582" t="s">
        <v>108</v>
      </c>
      <c r="AC582" t="s">
        <v>35</v>
      </c>
      <c r="AD582" t="s">
        <v>34</v>
      </c>
      <c r="AE582">
        <v>1</v>
      </c>
      <c r="AF582">
        <v>1</v>
      </c>
      <c r="AG582" t="s">
        <v>3420</v>
      </c>
      <c r="AL582" t="s">
        <v>34</v>
      </c>
      <c r="AM582" t="s">
        <v>34</v>
      </c>
    </row>
    <row r="583" spans="1:40" x14ac:dyDescent="0.2">
      <c r="A583" s="2">
        <v>45980.833194444444</v>
      </c>
      <c r="B583" t="s">
        <v>3015</v>
      </c>
      <c r="C583" t="s">
        <v>2928</v>
      </c>
      <c r="D583" t="s">
        <v>3016</v>
      </c>
      <c r="E583" t="s">
        <v>3017</v>
      </c>
      <c r="F583" t="s">
        <v>3018</v>
      </c>
      <c r="G583" t="s">
        <v>3019</v>
      </c>
      <c r="H583" t="s">
        <v>3020</v>
      </c>
      <c r="I583" t="s">
        <v>49</v>
      </c>
      <c r="J583" t="s">
        <v>34</v>
      </c>
      <c r="K583">
        <v>484</v>
      </c>
      <c r="L583">
        <v>93</v>
      </c>
      <c r="M583" s="4">
        <v>0</v>
      </c>
      <c r="N583" s="4">
        <v>2</v>
      </c>
      <c r="O583" s="4">
        <v>2</v>
      </c>
      <c r="P583" s="4">
        <v>4</v>
      </c>
      <c r="Q583" s="4">
        <v>13</v>
      </c>
      <c r="R583" s="4">
        <v>8</v>
      </c>
      <c r="S583" s="4">
        <v>6</v>
      </c>
      <c r="T583" s="4">
        <v>5</v>
      </c>
      <c r="U583" s="4">
        <v>8</v>
      </c>
      <c r="V583" s="4">
        <v>10</v>
      </c>
      <c r="W583" s="4">
        <v>5</v>
      </c>
      <c r="X583" s="4">
        <v>6</v>
      </c>
      <c r="Y583" s="4">
        <v>18</v>
      </c>
      <c r="Z583" s="4">
        <v>6</v>
      </c>
      <c r="AA583" s="4">
        <v>0</v>
      </c>
      <c r="AB583" t="s">
        <v>101</v>
      </c>
      <c r="AC583" t="s">
        <v>35</v>
      </c>
      <c r="AD583" t="s">
        <v>34</v>
      </c>
      <c r="AE583">
        <v>4</v>
      </c>
      <c r="AF583">
        <v>1</v>
      </c>
      <c r="AG583" t="s">
        <v>3021</v>
      </c>
      <c r="AH583">
        <v>1</v>
      </c>
      <c r="AI583">
        <v>3</v>
      </c>
      <c r="AL583" t="s">
        <v>35</v>
      </c>
      <c r="AM583" t="s">
        <v>35</v>
      </c>
    </row>
    <row r="584" spans="1:40" x14ac:dyDescent="0.2">
      <c r="A584" s="2">
        <v>45982.558680555558</v>
      </c>
      <c r="B584" t="s">
        <v>3027</v>
      </c>
      <c r="C584" t="s">
        <v>2928</v>
      </c>
      <c r="D584" t="s">
        <v>3016</v>
      </c>
      <c r="E584" t="s">
        <v>3017</v>
      </c>
      <c r="F584" t="s">
        <v>3028</v>
      </c>
      <c r="G584">
        <v>8442358221</v>
      </c>
      <c r="H584" t="s">
        <v>3029</v>
      </c>
      <c r="I584" t="s">
        <v>93</v>
      </c>
      <c r="J584" t="s">
        <v>114</v>
      </c>
      <c r="K584">
        <v>850</v>
      </c>
      <c r="L584">
        <v>135</v>
      </c>
      <c r="M584">
        <v>2</v>
      </c>
      <c r="N584">
        <v>4</v>
      </c>
      <c r="O584">
        <v>5</v>
      </c>
      <c r="P584">
        <v>0</v>
      </c>
      <c r="Q584">
        <v>2</v>
      </c>
      <c r="R584">
        <v>5</v>
      </c>
      <c r="S584">
        <v>14</v>
      </c>
      <c r="T584">
        <v>23</v>
      </c>
      <c r="U584">
        <v>10</v>
      </c>
      <c r="V584">
        <v>24</v>
      </c>
      <c r="W584">
        <v>26</v>
      </c>
      <c r="X584">
        <v>15</v>
      </c>
      <c r="Y584">
        <v>5</v>
      </c>
      <c r="Z584">
        <v>0</v>
      </c>
      <c r="AA584">
        <v>0</v>
      </c>
      <c r="AB584" t="s">
        <v>62</v>
      </c>
      <c r="AC584" t="s">
        <v>35</v>
      </c>
      <c r="AD584" t="s">
        <v>35</v>
      </c>
      <c r="AE584">
        <v>5</v>
      </c>
      <c r="AF584">
        <v>1</v>
      </c>
      <c r="AG584" t="s">
        <v>3030</v>
      </c>
      <c r="AH584">
        <v>3</v>
      </c>
      <c r="AL584" t="s">
        <v>35</v>
      </c>
      <c r="AM584" t="s">
        <v>34</v>
      </c>
      <c r="AN584" t="s">
        <v>3031</v>
      </c>
    </row>
    <row r="585" spans="1:40" x14ac:dyDescent="0.2">
      <c r="A585" s="2">
        <v>45995.679305555554</v>
      </c>
      <c r="B585" t="s">
        <v>3032</v>
      </c>
      <c r="C585" t="s">
        <v>2928</v>
      </c>
      <c r="D585" t="s">
        <v>3016</v>
      </c>
      <c r="E585" t="s">
        <v>3017</v>
      </c>
      <c r="F585" t="s">
        <v>3033</v>
      </c>
      <c r="G585" t="s">
        <v>3034</v>
      </c>
      <c r="H585" t="s">
        <v>3035</v>
      </c>
      <c r="I585" t="s">
        <v>835</v>
      </c>
      <c r="J585" t="s">
        <v>34</v>
      </c>
      <c r="K585">
        <v>46</v>
      </c>
      <c r="L585">
        <v>9</v>
      </c>
      <c r="M585">
        <v>1</v>
      </c>
      <c r="N585">
        <v>2</v>
      </c>
      <c r="O585">
        <v>6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C585" t="s">
        <v>34</v>
      </c>
      <c r="AD585" t="s">
        <v>34</v>
      </c>
      <c r="AE585">
        <v>1</v>
      </c>
      <c r="AF585">
        <v>1</v>
      </c>
      <c r="AG585">
        <v>0</v>
      </c>
      <c r="AL585" t="s">
        <v>34</v>
      </c>
      <c r="AM585" t="s">
        <v>34</v>
      </c>
    </row>
    <row r="586" spans="1:40" x14ac:dyDescent="0.2">
      <c r="A586" s="2">
        <v>45987.630324074067</v>
      </c>
      <c r="B586" t="s">
        <v>3036</v>
      </c>
      <c r="C586" t="s">
        <v>2928</v>
      </c>
      <c r="D586" t="s">
        <v>3016</v>
      </c>
      <c r="E586" t="s">
        <v>3017</v>
      </c>
      <c r="F586" t="s">
        <v>3037</v>
      </c>
      <c r="G586">
        <v>89173383333</v>
      </c>
      <c r="H586" t="s">
        <v>3038</v>
      </c>
      <c r="I586" t="s">
        <v>3039</v>
      </c>
      <c r="J586" t="s">
        <v>34</v>
      </c>
      <c r="K586">
        <v>409</v>
      </c>
      <c r="L586">
        <v>10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3</v>
      </c>
      <c r="V586">
        <v>3</v>
      </c>
      <c r="W586">
        <v>4</v>
      </c>
      <c r="X586">
        <v>0</v>
      </c>
      <c r="Y586">
        <v>0</v>
      </c>
      <c r="Z586">
        <v>0</v>
      </c>
      <c r="AA586">
        <v>0</v>
      </c>
      <c r="AB586" t="s">
        <v>50</v>
      </c>
      <c r="AC586" t="s">
        <v>35</v>
      </c>
      <c r="AD586" t="s">
        <v>34</v>
      </c>
      <c r="AE586">
        <v>1</v>
      </c>
      <c r="AF586">
        <v>0</v>
      </c>
      <c r="AG586">
        <v>0</v>
      </c>
      <c r="AL586" t="s">
        <v>34</v>
      </c>
      <c r="AM586" t="s">
        <v>34</v>
      </c>
    </row>
    <row r="587" spans="1:40" x14ac:dyDescent="0.2">
      <c r="A587" s="2">
        <v>45995.668819444443</v>
      </c>
      <c r="B587" t="s">
        <v>3040</v>
      </c>
      <c r="C587" t="s">
        <v>2928</v>
      </c>
      <c r="D587" t="s">
        <v>3016</v>
      </c>
      <c r="E587" t="s">
        <v>3017</v>
      </c>
      <c r="F587" t="s">
        <v>3041</v>
      </c>
      <c r="G587">
        <v>58221</v>
      </c>
      <c r="H587" t="s">
        <v>48</v>
      </c>
      <c r="I587" t="s">
        <v>710</v>
      </c>
      <c r="J587" t="s">
        <v>34</v>
      </c>
      <c r="K587">
        <v>10</v>
      </c>
      <c r="L587">
        <v>10</v>
      </c>
      <c r="M587">
        <v>2</v>
      </c>
      <c r="N587">
        <v>2</v>
      </c>
      <c r="O587">
        <v>6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 t="s">
        <v>533</v>
      </c>
      <c r="AC587" t="s">
        <v>34</v>
      </c>
      <c r="AD587" t="s">
        <v>34</v>
      </c>
      <c r="AE587">
        <v>1</v>
      </c>
      <c r="AF587">
        <v>1</v>
      </c>
      <c r="AG587">
        <v>0</v>
      </c>
      <c r="AL587" t="s">
        <v>34</v>
      </c>
      <c r="AM587" t="s">
        <v>34</v>
      </c>
    </row>
    <row r="588" spans="1:40" x14ac:dyDescent="0.2">
      <c r="A588" s="2">
        <v>45985.788738425923</v>
      </c>
      <c r="B588" t="s">
        <v>3156</v>
      </c>
      <c r="C588" t="s">
        <v>2928</v>
      </c>
      <c r="D588" t="s">
        <v>3016</v>
      </c>
      <c r="E588" t="s">
        <v>3152</v>
      </c>
      <c r="F588" t="s">
        <v>3157</v>
      </c>
      <c r="G588">
        <v>89608894954</v>
      </c>
      <c r="H588" t="s">
        <v>3158</v>
      </c>
      <c r="I588" t="s">
        <v>3159</v>
      </c>
      <c r="J588" t="s">
        <v>34</v>
      </c>
      <c r="K588">
        <v>150</v>
      </c>
      <c r="L588">
        <v>98</v>
      </c>
      <c r="M588">
        <v>0</v>
      </c>
      <c r="N588">
        <v>0</v>
      </c>
      <c r="O588">
        <v>0</v>
      </c>
      <c r="P588">
        <v>0</v>
      </c>
      <c r="Q588">
        <v>3</v>
      </c>
      <c r="R588">
        <v>9</v>
      </c>
      <c r="S588">
        <v>8</v>
      </c>
      <c r="T588">
        <v>9</v>
      </c>
      <c r="U588">
        <v>15</v>
      </c>
      <c r="V588">
        <v>15</v>
      </c>
      <c r="W588">
        <v>17</v>
      </c>
      <c r="X588">
        <v>12</v>
      </c>
      <c r="Y588">
        <v>4</v>
      </c>
      <c r="Z588">
        <v>1</v>
      </c>
      <c r="AA588">
        <v>5</v>
      </c>
      <c r="AB588" t="s">
        <v>3160</v>
      </c>
      <c r="AC588" t="s">
        <v>35</v>
      </c>
      <c r="AD588" t="s">
        <v>34</v>
      </c>
      <c r="AE588">
        <v>2</v>
      </c>
      <c r="AF588">
        <v>1</v>
      </c>
      <c r="AG588" t="s">
        <v>3161</v>
      </c>
      <c r="AI588">
        <v>1</v>
      </c>
      <c r="AL588" t="s">
        <v>34</v>
      </c>
      <c r="AM588" t="s">
        <v>34</v>
      </c>
    </row>
    <row r="589" spans="1:40" x14ac:dyDescent="0.2">
      <c r="A589" s="2">
        <v>45988.514155092591</v>
      </c>
      <c r="B589" t="s">
        <v>3272</v>
      </c>
      <c r="C589" t="s">
        <v>2928</v>
      </c>
      <c r="D589" t="s">
        <v>3016</v>
      </c>
      <c r="E589" t="s">
        <v>3273</v>
      </c>
      <c r="F589" t="s">
        <v>3274</v>
      </c>
      <c r="G589" t="s">
        <v>3275</v>
      </c>
      <c r="H589" t="s">
        <v>3276</v>
      </c>
      <c r="I589" t="s">
        <v>49</v>
      </c>
      <c r="J589" t="s">
        <v>34</v>
      </c>
      <c r="K589">
        <v>290</v>
      </c>
      <c r="L589">
        <v>46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10</v>
      </c>
      <c r="U589">
        <v>28</v>
      </c>
      <c r="V589">
        <v>8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50</v>
      </c>
      <c r="AC589" t="s">
        <v>35</v>
      </c>
      <c r="AD589" t="s">
        <v>34</v>
      </c>
      <c r="AE589">
        <v>1</v>
      </c>
      <c r="AF589">
        <v>0</v>
      </c>
      <c r="AG589">
        <v>0</v>
      </c>
      <c r="AL589" t="s">
        <v>35</v>
      </c>
      <c r="AM589" t="s">
        <v>34</v>
      </c>
    </row>
    <row r="590" spans="1:40" x14ac:dyDescent="0.2">
      <c r="A590" s="2">
        <v>45995.676076388889</v>
      </c>
      <c r="B590" t="s">
        <v>3277</v>
      </c>
      <c r="C590" t="s">
        <v>2928</v>
      </c>
      <c r="D590" t="s">
        <v>3016</v>
      </c>
      <c r="E590" t="s">
        <v>3278</v>
      </c>
      <c r="F590" t="s">
        <v>3279</v>
      </c>
      <c r="G590">
        <v>4736049</v>
      </c>
      <c r="H590" t="s">
        <v>3280</v>
      </c>
      <c r="I590" t="s">
        <v>49</v>
      </c>
      <c r="J590" t="s">
        <v>34</v>
      </c>
      <c r="K590">
        <v>8</v>
      </c>
      <c r="L590">
        <v>8</v>
      </c>
      <c r="M590">
        <v>0</v>
      </c>
      <c r="N590">
        <v>4</v>
      </c>
      <c r="O590">
        <v>3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 t="s">
        <v>50</v>
      </c>
      <c r="AC590" t="s">
        <v>34</v>
      </c>
      <c r="AD590" t="s">
        <v>34</v>
      </c>
      <c r="AE590">
        <v>1</v>
      </c>
      <c r="AF590">
        <v>1</v>
      </c>
      <c r="AG590">
        <v>0</v>
      </c>
      <c r="AL590" t="s">
        <v>34</v>
      </c>
      <c r="AM590" t="s">
        <v>34</v>
      </c>
    </row>
    <row r="591" spans="1:40" x14ac:dyDescent="0.2">
      <c r="A591" s="2">
        <v>45988.500810185193</v>
      </c>
      <c r="B591" t="s">
        <v>3400</v>
      </c>
      <c r="C591" t="s">
        <v>2928</v>
      </c>
      <c r="D591" t="s">
        <v>3016</v>
      </c>
      <c r="E591" t="s">
        <v>3401</v>
      </c>
      <c r="F591" t="s">
        <v>3402</v>
      </c>
      <c r="G591" t="s">
        <v>3403</v>
      </c>
      <c r="H591" t="s">
        <v>3404</v>
      </c>
      <c r="I591" t="s">
        <v>49</v>
      </c>
      <c r="J591" t="s">
        <v>34</v>
      </c>
      <c r="K591">
        <v>289</v>
      </c>
      <c r="L591">
        <v>28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1</v>
      </c>
      <c r="S591" s="4">
        <v>4</v>
      </c>
      <c r="T591" s="4">
        <v>6</v>
      </c>
      <c r="U591" s="4">
        <v>2</v>
      </c>
      <c r="V591" s="4">
        <v>3</v>
      </c>
      <c r="W591" s="4">
        <v>5</v>
      </c>
      <c r="X591" s="4">
        <v>4</v>
      </c>
      <c r="Y591" s="4">
        <v>2</v>
      </c>
      <c r="Z591" s="4">
        <v>1</v>
      </c>
      <c r="AA591" s="4">
        <v>0</v>
      </c>
      <c r="AB591" t="s">
        <v>50</v>
      </c>
      <c r="AC591" t="s">
        <v>35</v>
      </c>
      <c r="AD591" t="s">
        <v>34</v>
      </c>
      <c r="AE591">
        <v>1</v>
      </c>
      <c r="AF591">
        <v>0</v>
      </c>
      <c r="AG591">
        <v>0</v>
      </c>
      <c r="AL591" t="s">
        <v>35</v>
      </c>
      <c r="AM591" t="s">
        <v>34</v>
      </c>
    </row>
    <row r="592" spans="1:40" x14ac:dyDescent="0.2">
      <c r="A592" s="2">
        <v>45999.534791666672</v>
      </c>
      <c r="B592" t="s">
        <v>3022</v>
      </c>
      <c r="C592" t="s">
        <v>2928</v>
      </c>
      <c r="D592" t="s">
        <v>3016</v>
      </c>
      <c r="E592" t="s">
        <v>3017</v>
      </c>
      <c r="F592" t="s">
        <v>3023</v>
      </c>
      <c r="G592" t="s">
        <v>3024</v>
      </c>
      <c r="H592" t="s">
        <v>3025</v>
      </c>
      <c r="I592" t="s">
        <v>3026</v>
      </c>
      <c r="J592" t="s">
        <v>34</v>
      </c>
      <c r="K592">
        <v>18</v>
      </c>
      <c r="L592">
        <v>8</v>
      </c>
      <c r="M592">
        <v>2</v>
      </c>
      <c r="N592">
        <v>2</v>
      </c>
      <c r="O592">
        <v>4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50</v>
      </c>
      <c r="AC592" t="s">
        <v>34</v>
      </c>
      <c r="AD592" t="s">
        <v>34</v>
      </c>
      <c r="AE592">
        <v>1</v>
      </c>
      <c r="AF592">
        <v>1</v>
      </c>
      <c r="AG592">
        <v>0</v>
      </c>
      <c r="AL592" t="s">
        <v>34</v>
      </c>
      <c r="AM592" t="s">
        <v>34</v>
      </c>
    </row>
    <row r="593" spans="1:39" x14ac:dyDescent="0.2">
      <c r="A593" s="2">
        <v>45988.506122685183</v>
      </c>
      <c r="B593" t="s">
        <v>3151</v>
      </c>
      <c r="C593" t="s">
        <v>2928</v>
      </c>
      <c r="D593" t="s">
        <v>3016</v>
      </c>
      <c r="E593" t="s">
        <v>3152</v>
      </c>
      <c r="F593" t="s">
        <v>3153</v>
      </c>
      <c r="G593" t="s">
        <v>3154</v>
      </c>
      <c r="H593" t="s">
        <v>3155</v>
      </c>
      <c r="I593" t="s">
        <v>49</v>
      </c>
      <c r="J593" t="s">
        <v>34</v>
      </c>
      <c r="K593">
        <v>376</v>
      </c>
      <c r="L593">
        <v>84</v>
      </c>
      <c r="M593" s="4">
        <v>3</v>
      </c>
      <c r="N593" s="4">
        <v>0</v>
      </c>
      <c r="O593" s="4">
        <v>0</v>
      </c>
      <c r="P593" s="4">
        <v>1</v>
      </c>
      <c r="Q593" s="4">
        <v>3</v>
      </c>
      <c r="R593" s="4">
        <v>9</v>
      </c>
      <c r="S593" s="4">
        <v>0</v>
      </c>
      <c r="T593" s="4">
        <v>10</v>
      </c>
      <c r="U593" s="4">
        <v>20</v>
      </c>
      <c r="V593" s="4">
        <v>20</v>
      </c>
      <c r="W593" s="4">
        <v>5</v>
      </c>
      <c r="X593" s="4">
        <v>4</v>
      </c>
      <c r="Y593" s="4">
        <v>5</v>
      </c>
      <c r="Z593" s="4">
        <v>2</v>
      </c>
      <c r="AA593" s="4">
        <v>2</v>
      </c>
      <c r="AB593" t="s">
        <v>50</v>
      </c>
      <c r="AC593" t="s">
        <v>35</v>
      </c>
      <c r="AD593" t="s">
        <v>34</v>
      </c>
      <c r="AE593">
        <v>1</v>
      </c>
      <c r="AF593">
        <v>0</v>
      </c>
      <c r="AG593">
        <v>0</v>
      </c>
      <c r="AL593" t="s">
        <v>35</v>
      </c>
      <c r="AM593" t="s">
        <v>34</v>
      </c>
    </row>
    <row r="594" spans="1:39" x14ac:dyDescent="0.2">
      <c r="A594" s="2">
        <v>45988.587557870371</v>
      </c>
      <c r="B594" t="s">
        <v>2949</v>
      </c>
      <c r="C594" t="s">
        <v>2928</v>
      </c>
      <c r="D594" t="s">
        <v>2950</v>
      </c>
      <c r="E594" t="s">
        <v>2951</v>
      </c>
      <c r="F594" t="s">
        <v>2952</v>
      </c>
      <c r="G594" t="s">
        <v>2953</v>
      </c>
      <c r="H594" t="s">
        <v>2954</v>
      </c>
      <c r="I594" t="s">
        <v>41</v>
      </c>
      <c r="J594" t="s">
        <v>34</v>
      </c>
      <c r="K594">
        <v>78</v>
      </c>
      <c r="L594">
        <v>16</v>
      </c>
      <c r="M594">
        <v>0</v>
      </c>
      <c r="N594">
        <v>0</v>
      </c>
      <c r="O594">
        <v>0</v>
      </c>
      <c r="P594">
        <v>0</v>
      </c>
      <c r="Q594">
        <v>6</v>
      </c>
      <c r="R594">
        <v>8</v>
      </c>
      <c r="S594">
        <v>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50</v>
      </c>
      <c r="AC594" t="s">
        <v>35</v>
      </c>
      <c r="AD594" t="s">
        <v>34</v>
      </c>
      <c r="AE594">
        <v>1</v>
      </c>
      <c r="AF594">
        <v>0</v>
      </c>
      <c r="AG594">
        <v>0</v>
      </c>
      <c r="AL594" t="s">
        <v>34</v>
      </c>
      <c r="AM594" t="s">
        <v>34</v>
      </c>
    </row>
    <row r="595" spans="1:39" x14ac:dyDescent="0.2">
      <c r="A595" s="2">
        <v>45982.457650462973</v>
      </c>
      <c r="B595" t="s">
        <v>2997</v>
      </c>
      <c r="C595" t="s">
        <v>2928</v>
      </c>
      <c r="D595" t="s">
        <v>2950</v>
      </c>
      <c r="E595" t="s">
        <v>2998</v>
      </c>
      <c r="F595" t="s">
        <v>2999</v>
      </c>
      <c r="G595" t="s">
        <v>3000</v>
      </c>
      <c r="H595" t="s">
        <v>3001</v>
      </c>
      <c r="I595" t="s">
        <v>49</v>
      </c>
      <c r="J595" t="s">
        <v>34</v>
      </c>
      <c r="K595">
        <v>150</v>
      </c>
      <c r="L595">
        <v>69</v>
      </c>
      <c r="M595" s="4">
        <v>0</v>
      </c>
      <c r="N595" s="4">
        <v>0</v>
      </c>
      <c r="O595" s="4">
        <v>2</v>
      </c>
      <c r="P595" s="4">
        <v>1</v>
      </c>
      <c r="Q595" s="4">
        <v>8</v>
      </c>
      <c r="R595" s="4">
        <v>14</v>
      </c>
      <c r="S595" s="4">
        <v>20</v>
      </c>
      <c r="T595" s="4">
        <v>14</v>
      </c>
      <c r="U595" s="4">
        <v>5</v>
      </c>
      <c r="V595" s="4">
        <v>3</v>
      </c>
      <c r="W595" s="4">
        <v>1</v>
      </c>
      <c r="X595" s="4">
        <v>1</v>
      </c>
      <c r="Y595" s="4">
        <v>0</v>
      </c>
      <c r="Z595" s="4">
        <v>0</v>
      </c>
      <c r="AA595" s="4">
        <v>0</v>
      </c>
      <c r="AB595" t="s">
        <v>50</v>
      </c>
      <c r="AC595" t="s">
        <v>35</v>
      </c>
      <c r="AD595" t="s">
        <v>34</v>
      </c>
      <c r="AE595">
        <v>2</v>
      </c>
      <c r="AF595">
        <v>1</v>
      </c>
      <c r="AG595" t="s">
        <v>3002</v>
      </c>
      <c r="AL595" t="s">
        <v>34</v>
      </c>
      <c r="AM595" t="s">
        <v>34</v>
      </c>
    </row>
    <row r="596" spans="1:39" x14ac:dyDescent="0.2">
      <c r="A596" s="2">
        <v>45980.616215277783</v>
      </c>
      <c r="B596" t="s">
        <v>3009</v>
      </c>
      <c r="C596" t="s">
        <v>2928</v>
      </c>
      <c r="D596" t="s">
        <v>2950</v>
      </c>
      <c r="E596" t="s">
        <v>3010</v>
      </c>
      <c r="F596" t="s">
        <v>3011</v>
      </c>
      <c r="G596" t="s">
        <v>3012</v>
      </c>
      <c r="H596" t="s">
        <v>3013</v>
      </c>
      <c r="I596" t="s">
        <v>33</v>
      </c>
      <c r="J596" t="s">
        <v>34</v>
      </c>
      <c r="K596">
        <v>114</v>
      </c>
      <c r="L596">
        <v>19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2</v>
      </c>
      <c r="U596" s="4">
        <v>1</v>
      </c>
      <c r="V596" s="4">
        <v>2</v>
      </c>
      <c r="W596" s="4">
        <v>6</v>
      </c>
      <c r="X596" s="4">
        <v>4</v>
      </c>
      <c r="Y596" s="4">
        <v>2</v>
      </c>
      <c r="Z596" s="4">
        <v>1</v>
      </c>
      <c r="AA596" s="4">
        <v>1</v>
      </c>
      <c r="AB596" t="s">
        <v>50</v>
      </c>
      <c r="AC596" t="s">
        <v>35</v>
      </c>
      <c r="AD596" t="s">
        <v>35</v>
      </c>
      <c r="AE596">
        <v>1</v>
      </c>
      <c r="AF596">
        <v>0</v>
      </c>
      <c r="AG596" t="s">
        <v>3014</v>
      </c>
      <c r="AL596" t="s">
        <v>35</v>
      </c>
      <c r="AM596" t="s">
        <v>34</v>
      </c>
    </row>
    <row r="597" spans="1:39" x14ac:dyDescent="0.2">
      <c r="A597" s="2">
        <v>45989.563414351847</v>
      </c>
      <c r="B597" t="s">
        <v>3042</v>
      </c>
      <c r="C597" t="s">
        <v>2928</v>
      </c>
      <c r="D597" t="s">
        <v>2950</v>
      </c>
      <c r="E597" t="s">
        <v>3043</v>
      </c>
      <c r="F597" t="s">
        <v>3044</v>
      </c>
      <c r="G597" t="s">
        <v>3045</v>
      </c>
      <c r="H597" t="s">
        <v>3046</v>
      </c>
      <c r="I597" t="s">
        <v>33</v>
      </c>
      <c r="J597" t="s">
        <v>34</v>
      </c>
      <c r="K597">
        <v>369</v>
      </c>
      <c r="L597">
        <v>62</v>
      </c>
      <c r="M597" s="4">
        <v>0</v>
      </c>
      <c r="N597" s="4">
        <v>0</v>
      </c>
      <c r="O597" s="4">
        <v>5</v>
      </c>
      <c r="P597" s="4">
        <v>6</v>
      </c>
      <c r="Q597" s="4">
        <v>4</v>
      </c>
      <c r="R597" s="4">
        <v>9</v>
      </c>
      <c r="S597" s="4">
        <v>10</v>
      </c>
      <c r="T597" s="4">
        <v>0</v>
      </c>
      <c r="U597" s="4">
        <v>0</v>
      </c>
      <c r="V597" s="4">
        <v>3</v>
      </c>
      <c r="W597" s="4">
        <v>5</v>
      </c>
      <c r="X597" s="4">
        <v>5</v>
      </c>
      <c r="Y597" s="4">
        <v>7</v>
      </c>
      <c r="Z597" s="4">
        <v>5</v>
      </c>
      <c r="AA597" s="4">
        <v>3</v>
      </c>
      <c r="AB597" t="s">
        <v>50</v>
      </c>
      <c r="AC597" t="s">
        <v>35</v>
      </c>
      <c r="AD597" t="s">
        <v>34</v>
      </c>
      <c r="AE597">
        <v>1</v>
      </c>
      <c r="AF597">
        <v>1</v>
      </c>
      <c r="AG597">
        <v>0</v>
      </c>
      <c r="AL597" t="s">
        <v>35</v>
      </c>
      <c r="AM597" t="s">
        <v>34</v>
      </c>
    </row>
    <row r="598" spans="1:39" x14ac:dyDescent="0.2">
      <c r="A598" s="2">
        <v>45982.514826388891</v>
      </c>
      <c r="B598" t="s">
        <v>3047</v>
      </c>
      <c r="C598" t="s">
        <v>2928</v>
      </c>
      <c r="D598" t="s">
        <v>2950</v>
      </c>
      <c r="E598" t="s">
        <v>3048</v>
      </c>
      <c r="F598" t="s">
        <v>3049</v>
      </c>
      <c r="G598" t="s">
        <v>3050</v>
      </c>
      <c r="H598" t="s">
        <v>3051</v>
      </c>
      <c r="I598" t="s">
        <v>3052</v>
      </c>
      <c r="J598" t="s">
        <v>188</v>
      </c>
      <c r="K598">
        <v>319</v>
      </c>
      <c r="L598">
        <v>107</v>
      </c>
      <c r="M598" s="4">
        <v>0</v>
      </c>
      <c r="N598" s="4">
        <v>1</v>
      </c>
      <c r="O598" s="4">
        <v>2</v>
      </c>
      <c r="P598" s="4">
        <v>6</v>
      </c>
      <c r="Q598" s="4">
        <v>9</v>
      </c>
      <c r="R598" s="4">
        <v>8</v>
      </c>
      <c r="S598" s="4">
        <v>11</v>
      </c>
      <c r="T598" s="4">
        <v>15</v>
      </c>
      <c r="U598" s="4">
        <v>10</v>
      </c>
      <c r="V598" s="4">
        <v>12</v>
      </c>
      <c r="W598" s="4">
        <v>10</v>
      </c>
      <c r="X598" s="4">
        <v>11</v>
      </c>
      <c r="Y598" s="4">
        <v>9</v>
      </c>
      <c r="Z598" s="4">
        <v>3</v>
      </c>
      <c r="AA598" s="4">
        <v>0</v>
      </c>
      <c r="AB598" t="s">
        <v>50</v>
      </c>
      <c r="AC598" t="s">
        <v>34</v>
      </c>
      <c r="AD598" t="s">
        <v>34</v>
      </c>
      <c r="AE598">
        <v>7</v>
      </c>
      <c r="AF598">
        <v>5</v>
      </c>
      <c r="AG598" t="s">
        <v>3053</v>
      </c>
      <c r="AH598">
        <v>5</v>
      </c>
      <c r="AI598">
        <v>1</v>
      </c>
      <c r="AJ598">
        <v>1</v>
      </c>
      <c r="AL598" t="s">
        <v>35</v>
      </c>
      <c r="AM598" t="s">
        <v>35</v>
      </c>
    </row>
    <row r="599" spans="1:39" x14ac:dyDescent="0.2">
      <c r="A599" s="2">
        <v>45989.579664351862</v>
      </c>
      <c r="B599" t="s">
        <v>3054</v>
      </c>
      <c r="C599" t="s">
        <v>2928</v>
      </c>
      <c r="D599" t="s">
        <v>2950</v>
      </c>
      <c r="E599" t="s">
        <v>3048</v>
      </c>
      <c r="F599" t="s">
        <v>3055</v>
      </c>
      <c r="G599" t="s">
        <v>3056</v>
      </c>
      <c r="H599" t="s">
        <v>48</v>
      </c>
      <c r="I599" t="s">
        <v>710</v>
      </c>
      <c r="J599" t="s">
        <v>34</v>
      </c>
      <c r="K599">
        <v>43</v>
      </c>
      <c r="L599">
        <v>43</v>
      </c>
      <c r="M599">
        <v>0</v>
      </c>
      <c r="N599">
        <v>0</v>
      </c>
      <c r="O599">
        <v>0</v>
      </c>
      <c r="P599">
        <v>0</v>
      </c>
      <c r="Q599">
        <v>11</v>
      </c>
      <c r="R599">
        <v>10</v>
      </c>
      <c r="S599">
        <v>3</v>
      </c>
      <c r="T599">
        <v>5</v>
      </c>
      <c r="U599">
        <v>4</v>
      </c>
      <c r="V599">
        <v>4</v>
      </c>
      <c r="W599">
        <v>0</v>
      </c>
      <c r="X599">
        <v>6</v>
      </c>
      <c r="Y599">
        <v>0</v>
      </c>
      <c r="Z599">
        <v>0</v>
      </c>
      <c r="AA599">
        <v>0</v>
      </c>
      <c r="AB599" t="s">
        <v>299</v>
      </c>
      <c r="AC599" t="s">
        <v>34</v>
      </c>
      <c r="AD599" t="s">
        <v>34</v>
      </c>
      <c r="AE599">
        <v>2</v>
      </c>
      <c r="AF599">
        <v>0</v>
      </c>
      <c r="AG599" t="s">
        <v>48</v>
      </c>
      <c r="AL599" t="s">
        <v>34</v>
      </c>
      <c r="AM599" t="s">
        <v>34</v>
      </c>
    </row>
    <row r="600" spans="1:39" x14ac:dyDescent="0.2">
      <c r="A600" s="2">
        <v>45988.578229166669</v>
      </c>
      <c r="B600" t="s">
        <v>3057</v>
      </c>
      <c r="C600" t="s">
        <v>2928</v>
      </c>
      <c r="D600" t="s">
        <v>2950</v>
      </c>
      <c r="E600" t="s">
        <v>3048</v>
      </c>
      <c r="F600" t="s">
        <v>3058</v>
      </c>
      <c r="G600">
        <v>89155430913</v>
      </c>
      <c r="H600" t="s">
        <v>3059</v>
      </c>
      <c r="I600" t="s">
        <v>710</v>
      </c>
      <c r="J600" t="s">
        <v>34</v>
      </c>
      <c r="K600">
        <v>24</v>
      </c>
      <c r="L600">
        <v>24</v>
      </c>
      <c r="M600">
        <v>7</v>
      </c>
      <c r="N600">
        <v>3</v>
      </c>
      <c r="O600">
        <v>4</v>
      </c>
      <c r="P600">
        <v>5</v>
      </c>
      <c r="Q600">
        <v>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50</v>
      </c>
      <c r="AC600" t="s">
        <v>34</v>
      </c>
      <c r="AD600" t="s">
        <v>34</v>
      </c>
      <c r="AE600">
        <v>2</v>
      </c>
      <c r="AF600">
        <v>1</v>
      </c>
      <c r="AG600">
        <v>0</v>
      </c>
      <c r="AL600" t="s">
        <v>34</v>
      </c>
      <c r="AM600" t="s">
        <v>34</v>
      </c>
    </row>
    <row r="601" spans="1:39" x14ac:dyDescent="0.2">
      <c r="A601" s="2">
        <v>45989.561215277783</v>
      </c>
      <c r="B601" t="s">
        <v>3060</v>
      </c>
      <c r="C601" t="s">
        <v>2928</v>
      </c>
      <c r="D601" t="s">
        <v>2950</v>
      </c>
      <c r="E601" t="s">
        <v>3048</v>
      </c>
      <c r="F601" t="s">
        <v>3061</v>
      </c>
      <c r="G601">
        <v>89038544765</v>
      </c>
      <c r="H601" t="s">
        <v>3062</v>
      </c>
      <c r="I601" t="s">
        <v>3063</v>
      </c>
      <c r="J601" t="s">
        <v>34</v>
      </c>
      <c r="K601">
        <v>69</v>
      </c>
      <c r="L601">
        <v>69</v>
      </c>
      <c r="M601" s="4">
        <v>0</v>
      </c>
      <c r="N601" s="4">
        <v>0</v>
      </c>
      <c r="O601" s="4">
        <v>7</v>
      </c>
      <c r="P601" s="4">
        <v>5</v>
      </c>
      <c r="Q601" s="4">
        <v>9</v>
      </c>
      <c r="R601" s="4">
        <v>12</v>
      </c>
      <c r="S601" s="4">
        <v>0</v>
      </c>
      <c r="T601" s="4">
        <v>5</v>
      </c>
      <c r="U601" s="4">
        <v>14</v>
      </c>
      <c r="V601" s="4">
        <v>7</v>
      </c>
      <c r="W601" s="4">
        <v>8</v>
      </c>
      <c r="X601" s="4">
        <v>2</v>
      </c>
      <c r="Y601" s="4">
        <v>0</v>
      </c>
      <c r="Z601" s="4">
        <v>0</v>
      </c>
      <c r="AA601" s="4">
        <v>0</v>
      </c>
      <c r="AB601" t="s">
        <v>50</v>
      </c>
      <c r="AC601" t="s">
        <v>34</v>
      </c>
      <c r="AD601" t="s">
        <v>34</v>
      </c>
      <c r="AE601">
        <v>2</v>
      </c>
      <c r="AF601">
        <v>1</v>
      </c>
      <c r="AG601">
        <v>0</v>
      </c>
      <c r="AL601" t="s">
        <v>34</v>
      </c>
      <c r="AM601" t="s">
        <v>34</v>
      </c>
    </row>
    <row r="602" spans="1:39" x14ac:dyDescent="0.2">
      <c r="A602" s="2">
        <v>45978.662291666667</v>
      </c>
      <c r="B602" t="s">
        <v>3064</v>
      </c>
      <c r="C602" t="s">
        <v>2928</v>
      </c>
      <c r="D602" t="s">
        <v>2950</v>
      </c>
      <c r="E602" t="s">
        <v>3048</v>
      </c>
      <c r="F602" t="s">
        <v>3065</v>
      </c>
      <c r="G602">
        <v>2635916</v>
      </c>
      <c r="H602" t="s">
        <v>3066</v>
      </c>
      <c r="I602" t="s">
        <v>49</v>
      </c>
      <c r="J602" t="s">
        <v>34</v>
      </c>
      <c r="K602">
        <v>331</v>
      </c>
      <c r="L602">
        <v>65</v>
      </c>
      <c r="M602">
        <v>12</v>
      </c>
      <c r="N602">
        <v>3</v>
      </c>
      <c r="O602">
        <v>2</v>
      </c>
      <c r="P602">
        <v>3</v>
      </c>
      <c r="Q602">
        <v>5</v>
      </c>
      <c r="R602">
        <v>4</v>
      </c>
      <c r="S602">
        <v>8</v>
      </c>
      <c r="T602">
        <v>9</v>
      </c>
      <c r="U602">
        <v>5</v>
      </c>
      <c r="V602">
        <v>5</v>
      </c>
      <c r="W602">
        <v>8</v>
      </c>
      <c r="X602">
        <v>1</v>
      </c>
      <c r="Y602">
        <v>0</v>
      </c>
      <c r="Z602">
        <v>0</v>
      </c>
      <c r="AA602">
        <v>0</v>
      </c>
      <c r="AB602" t="s">
        <v>3067</v>
      </c>
      <c r="AC602" t="s">
        <v>35</v>
      </c>
      <c r="AD602" t="s">
        <v>35</v>
      </c>
      <c r="AE602">
        <v>3</v>
      </c>
      <c r="AF602">
        <v>3</v>
      </c>
      <c r="AG602" t="s">
        <v>56</v>
      </c>
      <c r="AL602" t="s">
        <v>35</v>
      </c>
      <c r="AM602" t="s">
        <v>35</v>
      </c>
    </row>
    <row r="603" spans="1:39" x14ac:dyDescent="0.2">
      <c r="A603" s="2">
        <v>45987.640104166669</v>
      </c>
      <c r="B603" t="s">
        <v>3068</v>
      </c>
      <c r="C603" t="s">
        <v>2928</v>
      </c>
      <c r="D603" t="s">
        <v>2950</v>
      </c>
      <c r="E603" t="s">
        <v>3069</v>
      </c>
      <c r="F603" t="s">
        <v>3070</v>
      </c>
      <c r="G603">
        <v>84737193130</v>
      </c>
      <c r="H603" t="s">
        <v>3071</v>
      </c>
      <c r="I603" t="s">
        <v>33</v>
      </c>
      <c r="J603" t="s">
        <v>34</v>
      </c>
      <c r="K603">
        <v>390</v>
      </c>
      <c r="L603">
        <v>57</v>
      </c>
      <c r="M603">
        <v>0</v>
      </c>
      <c r="N603">
        <v>0</v>
      </c>
      <c r="O603">
        <v>12</v>
      </c>
      <c r="P603">
        <v>13</v>
      </c>
      <c r="Q603">
        <v>10</v>
      </c>
      <c r="R603">
        <v>15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7</v>
      </c>
      <c r="AA603">
        <v>0</v>
      </c>
      <c r="AB603" t="s">
        <v>50</v>
      </c>
      <c r="AC603" t="s">
        <v>35</v>
      </c>
      <c r="AD603" t="s">
        <v>34</v>
      </c>
      <c r="AE603">
        <v>1</v>
      </c>
      <c r="AF603">
        <v>0</v>
      </c>
      <c r="AG603">
        <v>0</v>
      </c>
      <c r="AL603" t="s">
        <v>35</v>
      </c>
      <c r="AM603" t="s">
        <v>34</v>
      </c>
    </row>
    <row r="604" spans="1:39" x14ac:dyDescent="0.2">
      <c r="A604" s="2">
        <v>45992.59579861111</v>
      </c>
      <c r="B604" t="s">
        <v>3072</v>
      </c>
      <c r="C604" t="s">
        <v>2928</v>
      </c>
      <c r="D604" t="s">
        <v>2950</v>
      </c>
      <c r="E604" t="s">
        <v>3073</v>
      </c>
      <c r="F604" t="s">
        <v>3074</v>
      </c>
      <c r="G604" t="s">
        <v>3075</v>
      </c>
      <c r="H604" t="s">
        <v>3076</v>
      </c>
      <c r="I604" t="s">
        <v>49</v>
      </c>
      <c r="J604" t="s">
        <v>34</v>
      </c>
      <c r="K604">
        <v>152</v>
      </c>
      <c r="L604">
        <v>20</v>
      </c>
      <c r="M604">
        <v>0</v>
      </c>
      <c r="N604">
        <v>0</v>
      </c>
      <c r="O604">
        <v>6</v>
      </c>
      <c r="P604">
        <v>8</v>
      </c>
      <c r="Q604">
        <v>2</v>
      </c>
      <c r="R604">
        <v>0</v>
      </c>
      <c r="S604">
        <v>2</v>
      </c>
      <c r="T604">
        <v>0</v>
      </c>
      <c r="U604">
        <v>0</v>
      </c>
      <c r="V604">
        <v>0</v>
      </c>
      <c r="W604">
        <v>2</v>
      </c>
      <c r="X604">
        <v>0</v>
      </c>
      <c r="Y604">
        <v>0</v>
      </c>
      <c r="Z604">
        <v>0</v>
      </c>
      <c r="AA604">
        <v>0</v>
      </c>
      <c r="AB604" t="s">
        <v>50</v>
      </c>
      <c r="AC604" t="s">
        <v>35</v>
      </c>
      <c r="AD604" t="s">
        <v>35</v>
      </c>
      <c r="AE604">
        <v>1</v>
      </c>
      <c r="AF604">
        <v>0</v>
      </c>
      <c r="AG604">
        <v>0</v>
      </c>
      <c r="AL604" t="s">
        <v>35</v>
      </c>
      <c r="AM604" t="s">
        <v>34</v>
      </c>
    </row>
    <row r="605" spans="1:39" x14ac:dyDescent="0.2">
      <c r="A605" s="2">
        <v>45978.626250000001</v>
      </c>
      <c r="B605" t="s">
        <v>3134</v>
      </c>
      <c r="C605" t="s">
        <v>2928</v>
      </c>
      <c r="D605" t="s">
        <v>2950</v>
      </c>
      <c r="E605" t="s">
        <v>3135</v>
      </c>
      <c r="F605" t="s">
        <v>3136</v>
      </c>
      <c r="G605">
        <v>84736322516</v>
      </c>
      <c r="H605" t="s">
        <v>3137</v>
      </c>
      <c r="I605" t="s">
        <v>49</v>
      </c>
      <c r="J605" t="s">
        <v>34</v>
      </c>
      <c r="K605">
        <v>239</v>
      </c>
      <c r="L605">
        <v>68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4</v>
      </c>
      <c r="S605">
        <v>4</v>
      </c>
      <c r="T605">
        <v>4</v>
      </c>
      <c r="U605">
        <v>16</v>
      </c>
      <c r="V605">
        <v>16</v>
      </c>
      <c r="W605">
        <v>11</v>
      </c>
      <c r="X605">
        <v>7</v>
      </c>
      <c r="Y605">
        <v>4</v>
      </c>
      <c r="Z605">
        <v>1</v>
      </c>
      <c r="AA605">
        <v>0</v>
      </c>
      <c r="AB605" t="s">
        <v>584</v>
      </c>
      <c r="AC605" t="s">
        <v>34</v>
      </c>
      <c r="AD605" t="s">
        <v>34</v>
      </c>
      <c r="AE605">
        <v>3</v>
      </c>
      <c r="AF605">
        <v>2</v>
      </c>
      <c r="AG605" t="s">
        <v>34</v>
      </c>
      <c r="AL605" t="s">
        <v>35</v>
      </c>
      <c r="AM605" t="s">
        <v>34</v>
      </c>
    </row>
    <row r="606" spans="1:39" x14ac:dyDescent="0.2">
      <c r="A606" s="2">
        <v>45992.656354166669</v>
      </c>
      <c r="B606" t="s">
        <v>3162</v>
      </c>
      <c r="C606" t="s">
        <v>2928</v>
      </c>
      <c r="D606" t="s">
        <v>2950</v>
      </c>
      <c r="E606" t="s">
        <v>3163</v>
      </c>
      <c r="F606" t="s">
        <v>3164</v>
      </c>
      <c r="G606" t="s">
        <v>3165</v>
      </c>
      <c r="H606" t="s">
        <v>3166</v>
      </c>
      <c r="I606" t="s">
        <v>33</v>
      </c>
      <c r="J606" t="s">
        <v>34</v>
      </c>
      <c r="K606">
        <v>83</v>
      </c>
      <c r="L606">
        <v>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C606" t="s">
        <v>35</v>
      </c>
      <c r="AD606" t="s">
        <v>34</v>
      </c>
      <c r="AE606">
        <v>1</v>
      </c>
      <c r="AF606">
        <v>0</v>
      </c>
      <c r="AG606">
        <v>0</v>
      </c>
      <c r="AL606" t="s">
        <v>34</v>
      </c>
      <c r="AM606" t="s">
        <v>34</v>
      </c>
    </row>
    <row r="607" spans="1:39" x14ac:dyDescent="0.2">
      <c r="A607" s="2">
        <v>45992.489155092589</v>
      </c>
      <c r="B607" t="s">
        <v>3241</v>
      </c>
      <c r="C607" t="s">
        <v>2928</v>
      </c>
      <c r="D607" t="s">
        <v>2950</v>
      </c>
      <c r="E607" t="s">
        <v>3242</v>
      </c>
      <c r="F607" t="s">
        <v>3243</v>
      </c>
      <c r="G607" t="s">
        <v>3244</v>
      </c>
      <c r="H607" t="s">
        <v>3245</v>
      </c>
      <c r="I607" t="s">
        <v>49</v>
      </c>
      <c r="J607" t="s">
        <v>34</v>
      </c>
      <c r="K607">
        <v>79</v>
      </c>
      <c r="L607">
        <v>16</v>
      </c>
      <c r="M607">
        <v>0</v>
      </c>
      <c r="N607">
        <v>0</v>
      </c>
      <c r="O607">
        <v>7</v>
      </c>
      <c r="P607">
        <v>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50</v>
      </c>
      <c r="AC607" t="s">
        <v>34</v>
      </c>
      <c r="AD607" t="s">
        <v>34</v>
      </c>
      <c r="AE607">
        <v>1</v>
      </c>
      <c r="AF607">
        <v>0</v>
      </c>
      <c r="AG607">
        <v>0</v>
      </c>
      <c r="AL607" t="s">
        <v>34</v>
      </c>
      <c r="AM607" t="s">
        <v>34</v>
      </c>
    </row>
    <row r="608" spans="1:39" x14ac:dyDescent="0.2">
      <c r="A608" s="2">
        <v>45989.432500000003</v>
      </c>
      <c r="B608" t="s">
        <v>3281</v>
      </c>
      <c r="C608" t="s">
        <v>2928</v>
      </c>
      <c r="D608" t="s">
        <v>2950</v>
      </c>
      <c r="E608" t="s">
        <v>3282</v>
      </c>
      <c r="F608" t="s">
        <v>3283</v>
      </c>
      <c r="G608" t="s">
        <v>3284</v>
      </c>
      <c r="H608" t="s">
        <v>3285</v>
      </c>
      <c r="I608" t="s">
        <v>49</v>
      </c>
      <c r="J608" t="s">
        <v>34</v>
      </c>
      <c r="K608">
        <v>219</v>
      </c>
      <c r="L608">
        <v>23</v>
      </c>
      <c r="M608">
        <v>0</v>
      </c>
      <c r="N608">
        <v>0</v>
      </c>
      <c r="O608">
        <v>9</v>
      </c>
      <c r="P608">
        <v>10</v>
      </c>
      <c r="Q608">
        <v>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50</v>
      </c>
      <c r="AC608" t="s">
        <v>35</v>
      </c>
      <c r="AD608" t="s">
        <v>34</v>
      </c>
      <c r="AE608">
        <v>1</v>
      </c>
      <c r="AF608">
        <v>0</v>
      </c>
      <c r="AG608">
        <v>0</v>
      </c>
      <c r="AL608" t="s">
        <v>35</v>
      </c>
      <c r="AM608" t="s">
        <v>34</v>
      </c>
    </row>
    <row r="609" spans="1:40" x14ac:dyDescent="0.2">
      <c r="A609" s="2">
        <v>45979.584687499999</v>
      </c>
      <c r="B609" t="s">
        <v>3291</v>
      </c>
      <c r="C609" t="s">
        <v>2928</v>
      </c>
      <c r="D609" t="s">
        <v>2950</v>
      </c>
      <c r="E609" t="s">
        <v>3292</v>
      </c>
      <c r="F609" t="s">
        <v>3293</v>
      </c>
      <c r="G609" t="s">
        <v>3294</v>
      </c>
      <c r="H609" t="s">
        <v>3295</v>
      </c>
      <c r="I609" t="s">
        <v>33</v>
      </c>
      <c r="J609" t="s">
        <v>34</v>
      </c>
      <c r="K609">
        <v>250</v>
      </c>
      <c r="L609">
        <v>28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2</v>
      </c>
      <c r="T609">
        <v>5</v>
      </c>
      <c r="U609">
        <v>13</v>
      </c>
      <c r="V609">
        <v>0</v>
      </c>
      <c r="W609">
        <v>2</v>
      </c>
      <c r="X609">
        <v>2</v>
      </c>
      <c r="Y609">
        <v>2</v>
      </c>
      <c r="Z609">
        <v>2</v>
      </c>
      <c r="AA609">
        <v>0</v>
      </c>
      <c r="AB609" t="s">
        <v>50</v>
      </c>
      <c r="AC609" t="s">
        <v>35</v>
      </c>
      <c r="AD609" t="s">
        <v>34</v>
      </c>
      <c r="AE609">
        <v>1</v>
      </c>
      <c r="AF609">
        <v>1</v>
      </c>
      <c r="AG609" t="s">
        <v>56</v>
      </c>
      <c r="AL609" t="s">
        <v>35</v>
      </c>
      <c r="AM609" t="s">
        <v>34</v>
      </c>
      <c r="AN609" t="s">
        <v>56</v>
      </c>
    </row>
    <row r="610" spans="1:40" x14ac:dyDescent="0.2">
      <c r="A610" s="2">
        <v>45985.706307870372</v>
      </c>
      <c r="B610" t="s">
        <v>3320</v>
      </c>
      <c r="C610" t="s">
        <v>2928</v>
      </c>
      <c r="D610" t="s">
        <v>2950</v>
      </c>
      <c r="E610" t="s">
        <v>3321</v>
      </c>
      <c r="F610" t="s">
        <v>3322</v>
      </c>
      <c r="G610">
        <v>74736226880</v>
      </c>
      <c r="H610" t="s">
        <v>3323</v>
      </c>
      <c r="I610" t="s">
        <v>49</v>
      </c>
      <c r="J610" t="s">
        <v>34</v>
      </c>
      <c r="K610">
        <v>180</v>
      </c>
      <c r="L610">
        <v>60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10</v>
      </c>
      <c r="T610">
        <v>10</v>
      </c>
      <c r="U610">
        <v>10</v>
      </c>
      <c r="V610">
        <v>10</v>
      </c>
      <c r="W610">
        <v>10</v>
      </c>
      <c r="X610">
        <v>10</v>
      </c>
      <c r="Y610">
        <v>0</v>
      </c>
      <c r="Z610">
        <v>0</v>
      </c>
      <c r="AA610">
        <v>0</v>
      </c>
      <c r="AB610" t="s">
        <v>50</v>
      </c>
      <c r="AC610" t="s">
        <v>35</v>
      </c>
      <c r="AD610" t="s">
        <v>34</v>
      </c>
      <c r="AE610">
        <v>4</v>
      </c>
      <c r="AF610">
        <v>1</v>
      </c>
      <c r="AG610" t="s">
        <v>48</v>
      </c>
      <c r="AL610" t="s">
        <v>35</v>
      </c>
      <c r="AM610" t="s">
        <v>34</v>
      </c>
      <c r="AN610" t="s">
        <v>3324</v>
      </c>
    </row>
    <row r="611" spans="1:40" x14ac:dyDescent="0.2">
      <c r="A611" s="2">
        <v>45993.427152777767</v>
      </c>
      <c r="B611" t="s">
        <v>3325</v>
      </c>
      <c r="C611" t="s">
        <v>2928</v>
      </c>
      <c r="D611" t="s">
        <v>2950</v>
      </c>
      <c r="E611" t="s">
        <v>3321</v>
      </c>
      <c r="F611" t="s">
        <v>3326</v>
      </c>
      <c r="G611" t="s">
        <v>3327</v>
      </c>
      <c r="H611" t="s">
        <v>3328</v>
      </c>
      <c r="I611" t="s">
        <v>49</v>
      </c>
      <c r="J611" t="s">
        <v>34</v>
      </c>
      <c r="K611">
        <v>135</v>
      </c>
      <c r="L611">
        <v>20</v>
      </c>
      <c r="M611">
        <v>0</v>
      </c>
      <c r="N611">
        <v>0</v>
      </c>
      <c r="O611">
        <v>5</v>
      </c>
      <c r="P611">
        <v>6</v>
      </c>
      <c r="Q611">
        <v>2</v>
      </c>
      <c r="R611">
        <v>2</v>
      </c>
      <c r="S611">
        <v>2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2</v>
      </c>
      <c r="Z611">
        <v>0</v>
      </c>
      <c r="AA611">
        <v>0</v>
      </c>
      <c r="AB611" t="s">
        <v>50</v>
      </c>
      <c r="AC611" t="s">
        <v>35</v>
      </c>
      <c r="AD611" t="s">
        <v>34</v>
      </c>
      <c r="AE611">
        <v>1</v>
      </c>
      <c r="AF611">
        <v>0</v>
      </c>
      <c r="AG611" t="s">
        <v>48</v>
      </c>
      <c r="AL611" t="s">
        <v>34</v>
      </c>
      <c r="AM611" t="s">
        <v>34</v>
      </c>
    </row>
    <row r="612" spans="1:40" x14ac:dyDescent="0.2">
      <c r="A612" s="2">
        <v>45989.428229166668</v>
      </c>
      <c r="B612" t="s">
        <v>3329</v>
      </c>
      <c r="C612" t="s">
        <v>2928</v>
      </c>
      <c r="D612" t="s">
        <v>2950</v>
      </c>
      <c r="E612" t="s">
        <v>3330</v>
      </c>
      <c r="F612" t="s">
        <v>3331</v>
      </c>
      <c r="G612" t="s">
        <v>3332</v>
      </c>
      <c r="H612" t="s">
        <v>3333</v>
      </c>
      <c r="I612" t="s">
        <v>49</v>
      </c>
      <c r="J612" t="s">
        <v>34</v>
      </c>
      <c r="K612">
        <v>158</v>
      </c>
      <c r="L612">
        <v>41</v>
      </c>
      <c r="M612" s="4">
        <v>0</v>
      </c>
      <c r="N612" s="4">
        <v>0</v>
      </c>
      <c r="O612" s="4">
        <v>1</v>
      </c>
      <c r="P612" s="4">
        <v>1</v>
      </c>
      <c r="Q612" s="4">
        <v>1</v>
      </c>
      <c r="R612" s="4">
        <v>4</v>
      </c>
      <c r="S612" s="4">
        <v>5</v>
      </c>
      <c r="T612" s="4">
        <v>3</v>
      </c>
      <c r="U612" s="4">
        <v>3</v>
      </c>
      <c r="V612" s="4">
        <v>3</v>
      </c>
      <c r="W612" s="4">
        <v>7</v>
      </c>
      <c r="X612" s="4">
        <v>7</v>
      </c>
      <c r="Y612" s="4">
        <v>6</v>
      </c>
      <c r="Z612" s="4">
        <v>0</v>
      </c>
      <c r="AA612" s="4">
        <v>0</v>
      </c>
      <c r="AB612" t="s">
        <v>50</v>
      </c>
      <c r="AC612" t="s">
        <v>35</v>
      </c>
      <c r="AD612" t="s">
        <v>34</v>
      </c>
      <c r="AE612">
        <v>1</v>
      </c>
      <c r="AF612">
        <v>0</v>
      </c>
      <c r="AG612">
        <v>0</v>
      </c>
      <c r="AL612" t="s">
        <v>34</v>
      </c>
      <c r="AM612" t="s">
        <v>34</v>
      </c>
    </row>
    <row r="613" spans="1:40" x14ac:dyDescent="0.2">
      <c r="A613" s="2">
        <v>45989.97025741898</v>
      </c>
      <c r="B613" t="s">
        <v>1728</v>
      </c>
      <c r="C613" t="s">
        <v>1553</v>
      </c>
      <c r="D613" t="s">
        <v>566</v>
      </c>
      <c r="E613" t="s">
        <v>1729</v>
      </c>
      <c r="F613" t="s">
        <v>1730</v>
      </c>
      <c r="G613">
        <v>9318033337</v>
      </c>
      <c r="H613" t="s">
        <v>1731</v>
      </c>
      <c r="I613" t="s">
        <v>689</v>
      </c>
      <c r="J613" t="s">
        <v>34</v>
      </c>
      <c r="K613">
        <v>40</v>
      </c>
      <c r="L613">
        <v>20</v>
      </c>
      <c r="M613">
        <v>0</v>
      </c>
      <c r="N613">
        <v>0</v>
      </c>
      <c r="O613">
        <v>0</v>
      </c>
      <c r="P613">
        <v>3</v>
      </c>
      <c r="Q613">
        <v>4</v>
      </c>
      <c r="R613">
        <v>0</v>
      </c>
      <c r="S613">
        <v>2</v>
      </c>
      <c r="T613">
        <v>0</v>
      </c>
      <c r="U613">
        <v>0</v>
      </c>
      <c r="V613">
        <v>0</v>
      </c>
      <c r="W613">
        <v>1</v>
      </c>
      <c r="X613">
        <v>8</v>
      </c>
      <c r="Y613">
        <v>0</v>
      </c>
      <c r="Z613">
        <v>2</v>
      </c>
      <c r="AA613">
        <v>0</v>
      </c>
      <c r="AB613" t="s">
        <v>1732</v>
      </c>
      <c r="AC613" t="s">
        <v>35</v>
      </c>
      <c r="AD613" t="s">
        <v>35</v>
      </c>
      <c r="AE613">
        <v>1</v>
      </c>
      <c r="AF613">
        <v>0</v>
      </c>
      <c r="AG613" t="s">
        <v>1733</v>
      </c>
      <c r="AL613" t="s">
        <v>34</v>
      </c>
      <c r="AM613" t="s">
        <v>34</v>
      </c>
      <c r="AN613" t="s">
        <v>1734</v>
      </c>
    </row>
    <row r="614" spans="1:40" x14ac:dyDescent="0.2">
      <c r="A614" s="2">
        <v>45979.389652777783</v>
      </c>
      <c r="B614" t="s">
        <v>3426</v>
      </c>
      <c r="C614" t="s">
        <v>2928</v>
      </c>
      <c r="D614" t="s">
        <v>2950</v>
      </c>
      <c r="E614" t="s">
        <v>3427</v>
      </c>
      <c r="F614" t="s">
        <v>3428</v>
      </c>
      <c r="G614" t="s">
        <v>3429</v>
      </c>
      <c r="H614" t="s">
        <v>3430</v>
      </c>
      <c r="I614" t="s">
        <v>33</v>
      </c>
      <c r="J614" t="s">
        <v>34</v>
      </c>
      <c r="K614">
        <v>141</v>
      </c>
      <c r="L614">
        <v>37</v>
      </c>
      <c r="M614">
        <v>0</v>
      </c>
      <c r="N614">
        <v>0</v>
      </c>
      <c r="O614">
        <v>0</v>
      </c>
      <c r="P614">
        <v>3</v>
      </c>
      <c r="Q614">
        <v>5</v>
      </c>
      <c r="R614">
        <v>6</v>
      </c>
      <c r="S614">
        <v>6</v>
      </c>
      <c r="T614">
        <v>4</v>
      </c>
      <c r="U614">
        <v>3</v>
      </c>
      <c r="V614">
        <v>2</v>
      </c>
      <c r="W614">
        <v>2</v>
      </c>
      <c r="X614">
        <v>2</v>
      </c>
      <c r="Y614">
        <v>2</v>
      </c>
      <c r="Z614">
        <v>1</v>
      </c>
      <c r="AA614">
        <v>1</v>
      </c>
      <c r="AC614" t="s">
        <v>35</v>
      </c>
      <c r="AD614" t="s">
        <v>34</v>
      </c>
      <c r="AE614">
        <v>3</v>
      </c>
      <c r="AF614">
        <v>0</v>
      </c>
      <c r="AG614" t="s">
        <v>3431</v>
      </c>
      <c r="AL614" t="s">
        <v>35</v>
      </c>
      <c r="AM614" t="s">
        <v>34</v>
      </c>
    </row>
    <row r="615" spans="1:40" x14ac:dyDescent="0.2">
      <c r="A615" s="2">
        <v>45992.491099537037</v>
      </c>
      <c r="B615" t="s">
        <v>2960</v>
      </c>
      <c r="C615" t="s">
        <v>2928</v>
      </c>
      <c r="D615" t="s">
        <v>741</v>
      </c>
      <c r="E615" t="s">
        <v>2961</v>
      </c>
      <c r="F615" t="s">
        <v>2962</v>
      </c>
      <c r="G615">
        <v>8484386593</v>
      </c>
      <c r="H615" t="s">
        <v>2963</v>
      </c>
      <c r="I615" t="s">
        <v>49</v>
      </c>
      <c r="J615" t="s">
        <v>34</v>
      </c>
      <c r="K615">
        <v>167</v>
      </c>
      <c r="L615">
        <v>25</v>
      </c>
      <c r="M615">
        <v>2</v>
      </c>
      <c r="N615">
        <v>8</v>
      </c>
      <c r="O615">
        <v>6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2</v>
      </c>
      <c r="Y615">
        <v>3</v>
      </c>
      <c r="Z615">
        <v>2</v>
      </c>
      <c r="AA615">
        <v>0</v>
      </c>
      <c r="AB615" t="s">
        <v>50</v>
      </c>
      <c r="AC615" t="s">
        <v>34</v>
      </c>
      <c r="AD615" t="s">
        <v>34</v>
      </c>
      <c r="AE615">
        <v>1</v>
      </c>
      <c r="AF615">
        <v>1</v>
      </c>
      <c r="AG615">
        <v>0</v>
      </c>
      <c r="AL615" t="s">
        <v>34</v>
      </c>
      <c r="AM615" t="s">
        <v>34</v>
      </c>
    </row>
    <row r="616" spans="1:40" x14ac:dyDescent="0.2">
      <c r="A616" s="2">
        <v>45985.706018518518</v>
      </c>
      <c r="B616" t="s">
        <v>3138</v>
      </c>
      <c r="C616" t="s">
        <v>2928</v>
      </c>
      <c r="D616" t="s">
        <v>741</v>
      </c>
      <c r="E616" t="s">
        <v>3139</v>
      </c>
      <c r="F616" t="s">
        <v>3140</v>
      </c>
      <c r="G616">
        <v>4842403632</v>
      </c>
      <c r="H616" t="s">
        <v>3141</v>
      </c>
      <c r="I616" t="s">
        <v>49</v>
      </c>
      <c r="J616" t="s">
        <v>114</v>
      </c>
      <c r="K616">
        <v>800</v>
      </c>
      <c r="L616">
        <v>37</v>
      </c>
      <c r="M616">
        <v>20</v>
      </c>
      <c r="N616">
        <v>0</v>
      </c>
      <c r="O616">
        <v>0</v>
      </c>
      <c r="P616">
        <v>1</v>
      </c>
      <c r="Q616">
        <v>2</v>
      </c>
      <c r="R616">
        <v>0</v>
      </c>
      <c r="S616">
        <v>3</v>
      </c>
      <c r="T616">
        <v>1</v>
      </c>
      <c r="U616">
        <v>3</v>
      </c>
      <c r="V616">
        <v>0</v>
      </c>
      <c r="W616">
        <v>2</v>
      </c>
      <c r="X616">
        <v>1</v>
      </c>
      <c r="Y616">
        <v>2</v>
      </c>
      <c r="Z616">
        <v>1</v>
      </c>
      <c r="AA616">
        <v>1</v>
      </c>
      <c r="AB616" t="s">
        <v>255</v>
      </c>
      <c r="AC616" t="s">
        <v>35</v>
      </c>
      <c r="AD616" t="s">
        <v>35</v>
      </c>
      <c r="AE616">
        <v>2</v>
      </c>
      <c r="AF616">
        <v>2</v>
      </c>
      <c r="AG616">
        <v>0</v>
      </c>
      <c r="AL616" t="s">
        <v>35</v>
      </c>
      <c r="AM616" t="s">
        <v>35</v>
      </c>
      <c r="AN616" t="s">
        <v>56</v>
      </c>
    </row>
    <row r="617" spans="1:40" x14ac:dyDescent="0.2">
      <c r="A617" s="2">
        <v>45979.423495370371</v>
      </c>
      <c r="B617" t="s">
        <v>3142</v>
      </c>
      <c r="C617" t="s">
        <v>2928</v>
      </c>
      <c r="D617" t="s">
        <v>741</v>
      </c>
      <c r="E617" t="s">
        <v>3139</v>
      </c>
      <c r="F617" t="s">
        <v>3143</v>
      </c>
      <c r="G617" t="s">
        <v>3144</v>
      </c>
      <c r="H617" t="s">
        <v>3145</v>
      </c>
      <c r="I617" t="s">
        <v>49</v>
      </c>
      <c r="J617" t="s">
        <v>114</v>
      </c>
      <c r="K617">
        <v>958</v>
      </c>
      <c r="L617">
        <v>33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15</v>
      </c>
      <c r="Y617">
        <v>18</v>
      </c>
      <c r="Z617">
        <v>0</v>
      </c>
      <c r="AA617">
        <v>0</v>
      </c>
      <c r="AB617" t="s">
        <v>50</v>
      </c>
      <c r="AC617" t="s">
        <v>35</v>
      </c>
      <c r="AD617" t="s">
        <v>34</v>
      </c>
      <c r="AE617">
        <v>3</v>
      </c>
      <c r="AF617">
        <v>0</v>
      </c>
      <c r="AG617" t="s">
        <v>48</v>
      </c>
      <c r="AL617" t="s">
        <v>35</v>
      </c>
      <c r="AM617" t="s">
        <v>34</v>
      </c>
    </row>
    <row r="618" spans="1:40" x14ac:dyDescent="0.2">
      <c r="A618" s="2">
        <v>45986.468518518523</v>
      </c>
      <c r="B618" t="s">
        <v>3146</v>
      </c>
      <c r="C618" t="s">
        <v>2928</v>
      </c>
      <c r="D618" t="s">
        <v>741</v>
      </c>
      <c r="E618" t="s">
        <v>3139</v>
      </c>
      <c r="F618" t="s">
        <v>3147</v>
      </c>
      <c r="G618" t="s">
        <v>3148</v>
      </c>
      <c r="H618" t="s">
        <v>3149</v>
      </c>
      <c r="I618" t="s">
        <v>49</v>
      </c>
      <c r="J618" t="s">
        <v>34</v>
      </c>
      <c r="K618">
        <v>266</v>
      </c>
      <c r="L618">
        <v>139</v>
      </c>
      <c r="M618" s="4">
        <v>17</v>
      </c>
      <c r="N618" s="4">
        <v>2</v>
      </c>
      <c r="O618" s="4">
        <v>8</v>
      </c>
      <c r="P618" s="4">
        <v>6</v>
      </c>
      <c r="Q618" s="4">
        <v>8</v>
      </c>
      <c r="R618" s="4">
        <v>9</v>
      </c>
      <c r="S618" s="4">
        <v>13</v>
      </c>
      <c r="T618" s="4">
        <v>14</v>
      </c>
      <c r="U618" s="4">
        <v>15</v>
      </c>
      <c r="V618" s="4">
        <v>10</v>
      </c>
      <c r="W618" s="4">
        <v>16</v>
      </c>
      <c r="X618" s="4">
        <v>9</v>
      </c>
      <c r="Y618" s="4">
        <v>8</v>
      </c>
      <c r="Z618" s="4">
        <v>4</v>
      </c>
      <c r="AA618" s="4">
        <v>0</v>
      </c>
      <c r="AB618" t="s">
        <v>50</v>
      </c>
      <c r="AC618" t="s">
        <v>35</v>
      </c>
      <c r="AD618" t="s">
        <v>34</v>
      </c>
      <c r="AE618">
        <v>4</v>
      </c>
      <c r="AF618">
        <v>3</v>
      </c>
      <c r="AG618" t="s">
        <v>3150</v>
      </c>
      <c r="AL618" t="s">
        <v>35</v>
      </c>
      <c r="AM618" t="s">
        <v>35</v>
      </c>
    </row>
    <row r="619" spans="1:40" x14ac:dyDescent="0.2">
      <c r="A619" s="2">
        <v>45989.566203703696</v>
      </c>
      <c r="B619" t="s">
        <v>3173</v>
      </c>
      <c r="C619" t="s">
        <v>2928</v>
      </c>
      <c r="D619" t="s">
        <v>741</v>
      </c>
      <c r="E619" t="s">
        <v>369</v>
      </c>
      <c r="F619" t="s">
        <v>3174</v>
      </c>
      <c r="G619">
        <v>84845655671</v>
      </c>
      <c r="H619" t="s">
        <v>3175</v>
      </c>
      <c r="I619" t="s">
        <v>49</v>
      </c>
      <c r="J619" t="s">
        <v>34</v>
      </c>
      <c r="K619">
        <v>137</v>
      </c>
      <c r="L619">
        <v>9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2</v>
      </c>
      <c r="W619">
        <v>2</v>
      </c>
      <c r="X619">
        <v>2</v>
      </c>
      <c r="Y619">
        <v>1</v>
      </c>
      <c r="Z619">
        <v>2</v>
      </c>
      <c r="AA619">
        <v>0</v>
      </c>
      <c r="AB619" t="s">
        <v>50</v>
      </c>
      <c r="AC619" t="s">
        <v>35</v>
      </c>
      <c r="AD619" t="s">
        <v>34</v>
      </c>
      <c r="AE619">
        <v>2</v>
      </c>
      <c r="AF619">
        <v>0</v>
      </c>
      <c r="AG619" t="s">
        <v>3176</v>
      </c>
      <c r="AH619">
        <v>1</v>
      </c>
      <c r="AL619" t="s">
        <v>34</v>
      </c>
      <c r="AM619" t="s">
        <v>34</v>
      </c>
    </row>
    <row r="620" spans="1:40" x14ac:dyDescent="0.2">
      <c r="A620" s="2">
        <v>45989.43650462963</v>
      </c>
      <c r="B620" t="s">
        <v>3185</v>
      </c>
      <c r="C620" t="s">
        <v>2928</v>
      </c>
      <c r="D620" t="s">
        <v>741</v>
      </c>
      <c r="E620" t="s">
        <v>3186</v>
      </c>
      <c r="F620" t="s">
        <v>3187</v>
      </c>
      <c r="G620">
        <v>89206131969</v>
      </c>
      <c r="H620" t="s">
        <v>3188</v>
      </c>
      <c r="I620" t="s">
        <v>49</v>
      </c>
      <c r="J620" t="s">
        <v>34</v>
      </c>
      <c r="K620">
        <v>292</v>
      </c>
      <c r="L620">
        <v>70</v>
      </c>
      <c r="M620" s="4">
        <v>7</v>
      </c>
      <c r="N620" s="4">
        <v>8</v>
      </c>
      <c r="O620" s="4">
        <v>3</v>
      </c>
      <c r="P620" s="4">
        <v>0</v>
      </c>
      <c r="Q620" s="4">
        <v>3</v>
      </c>
      <c r="R620" s="4">
        <v>11</v>
      </c>
      <c r="S620" s="4">
        <v>5</v>
      </c>
      <c r="T620" s="4">
        <v>11</v>
      </c>
      <c r="U620" s="4">
        <v>9</v>
      </c>
      <c r="V620" s="4">
        <v>3</v>
      </c>
      <c r="W620" s="4">
        <v>7</v>
      </c>
      <c r="X620" s="4">
        <v>2</v>
      </c>
      <c r="Y620" s="4">
        <v>1</v>
      </c>
      <c r="Z620" s="4">
        <v>0</v>
      </c>
      <c r="AA620" s="4">
        <v>0</v>
      </c>
      <c r="AB620" t="s">
        <v>50</v>
      </c>
      <c r="AC620" t="s">
        <v>35</v>
      </c>
      <c r="AD620" t="s">
        <v>34</v>
      </c>
      <c r="AE620">
        <v>1</v>
      </c>
      <c r="AF620">
        <v>1</v>
      </c>
      <c r="AG620">
        <v>0</v>
      </c>
      <c r="AL620" t="s">
        <v>35</v>
      </c>
      <c r="AM620" t="s">
        <v>34</v>
      </c>
    </row>
    <row r="621" spans="1:40" x14ac:dyDescent="0.2">
      <c r="A621" s="2">
        <v>45989.574166666673</v>
      </c>
      <c r="B621" t="s">
        <v>3208</v>
      </c>
      <c r="C621" t="s">
        <v>2928</v>
      </c>
      <c r="D621" t="s">
        <v>3209</v>
      </c>
      <c r="E621" t="s">
        <v>3210</v>
      </c>
      <c r="F621" t="s">
        <v>3211</v>
      </c>
      <c r="G621">
        <v>89202664967</v>
      </c>
      <c r="H621" t="s">
        <v>3212</v>
      </c>
      <c r="I621" t="s">
        <v>100</v>
      </c>
      <c r="J621" t="s">
        <v>34</v>
      </c>
      <c r="K621">
        <v>109</v>
      </c>
      <c r="L621">
        <v>37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4</v>
      </c>
      <c r="U621" s="4">
        <v>4</v>
      </c>
      <c r="V621" s="4">
        <v>4</v>
      </c>
      <c r="W621" s="4">
        <v>6</v>
      </c>
      <c r="X621" s="4">
        <v>4</v>
      </c>
      <c r="Y621" s="4">
        <v>6</v>
      </c>
      <c r="Z621" s="4">
        <v>7</v>
      </c>
      <c r="AA621" s="4">
        <v>2</v>
      </c>
      <c r="AB621" t="s">
        <v>3213</v>
      </c>
      <c r="AC621" t="s">
        <v>34</v>
      </c>
      <c r="AD621" t="s">
        <v>34</v>
      </c>
      <c r="AE621">
        <v>1</v>
      </c>
      <c r="AF621">
        <v>0</v>
      </c>
      <c r="AG621">
        <v>0</v>
      </c>
      <c r="AL621" t="s">
        <v>34</v>
      </c>
      <c r="AM621" t="s">
        <v>34</v>
      </c>
    </row>
    <row r="622" spans="1:40" x14ac:dyDescent="0.2">
      <c r="A622" s="2">
        <v>45978.686435185176</v>
      </c>
      <c r="B622" t="s">
        <v>3214</v>
      </c>
      <c r="C622" t="s">
        <v>2928</v>
      </c>
      <c r="D622" t="s">
        <v>3209</v>
      </c>
      <c r="E622" t="s">
        <v>3210</v>
      </c>
      <c r="F622" t="s">
        <v>3215</v>
      </c>
      <c r="G622">
        <v>89202664967</v>
      </c>
      <c r="H622" t="s">
        <v>3212</v>
      </c>
      <c r="I622" t="s">
        <v>3216</v>
      </c>
      <c r="J622" t="s">
        <v>34</v>
      </c>
      <c r="K622">
        <v>70</v>
      </c>
      <c r="L622">
        <v>70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2</v>
      </c>
      <c r="T622">
        <v>7</v>
      </c>
      <c r="U622">
        <v>10</v>
      </c>
      <c r="V622">
        <v>7</v>
      </c>
      <c r="W622">
        <v>7</v>
      </c>
      <c r="X622">
        <v>11</v>
      </c>
      <c r="Y622">
        <v>9</v>
      </c>
      <c r="Z622">
        <v>17</v>
      </c>
      <c r="AA622">
        <v>0</v>
      </c>
      <c r="AB622" t="s">
        <v>3217</v>
      </c>
      <c r="AC622" t="s">
        <v>34</v>
      </c>
      <c r="AD622" t="s">
        <v>35</v>
      </c>
      <c r="AE622">
        <v>1</v>
      </c>
      <c r="AF622">
        <v>1</v>
      </c>
      <c r="AG622" t="s">
        <v>3218</v>
      </c>
      <c r="AL622" t="s">
        <v>34</v>
      </c>
      <c r="AM622" t="s">
        <v>34</v>
      </c>
      <c r="AN622" t="s">
        <v>3219</v>
      </c>
    </row>
    <row r="623" spans="1:40" x14ac:dyDescent="0.2">
      <c r="A623" s="2">
        <v>45992.598194444443</v>
      </c>
      <c r="B623" t="s">
        <v>3220</v>
      </c>
      <c r="C623" t="s">
        <v>2928</v>
      </c>
      <c r="D623" t="s">
        <v>3209</v>
      </c>
      <c r="E623" t="s">
        <v>3210</v>
      </c>
      <c r="F623" t="s">
        <v>3221</v>
      </c>
      <c r="G623" t="s">
        <v>3222</v>
      </c>
      <c r="H623" t="s">
        <v>3223</v>
      </c>
      <c r="I623" t="s">
        <v>49</v>
      </c>
      <c r="J623" t="s">
        <v>114</v>
      </c>
      <c r="K623">
        <v>244</v>
      </c>
      <c r="L623">
        <v>30</v>
      </c>
      <c r="M623">
        <v>0</v>
      </c>
      <c r="N623">
        <v>0</v>
      </c>
      <c r="O623">
        <v>10</v>
      </c>
      <c r="P623">
        <v>0</v>
      </c>
      <c r="Q623">
        <v>0</v>
      </c>
      <c r="R623">
        <v>0</v>
      </c>
      <c r="S623">
        <v>0</v>
      </c>
      <c r="T623">
        <v>15</v>
      </c>
      <c r="U623">
        <v>0</v>
      </c>
      <c r="V623">
        <v>0</v>
      </c>
      <c r="W623">
        <v>0</v>
      </c>
      <c r="X623">
        <v>5</v>
      </c>
      <c r="Y623">
        <v>0</v>
      </c>
      <c r="Z623">
        <v>0</v>
      </c>
      <c r="AA623">
        <v>0</v>
      </c>
      <c r="AB623" t="s">
        <v>3224</v>
      </c>
      <c r="AC623" t="s">
        <v>34</v>
      </c>
      <c r="AD623" t="s">
        <v>34</v>
      </c>
      <c r="AE623">
        <v>1</v>
      </c>
      <c r="AF623">
        <v>0</v>
      </c>
      <c r="AG623">
        <v>0</v>
      </c>
      <c r="AL623" t="s">
        <v>35</v>
      </c>
      <c r="AM623" t="s">
        <v>34</v>
      </c>
    </row>
    <row r="624" spans="1:40" x14ac:dyDescent="0.2">
      <c r="A624" s="2">
        <v>45988.575902777768</v>
      </c>
      <c r="B624" t="s">
        <v>3355</v>
      </c>
      <c r="C624" t="s">
        <v>2928</v>
      </c>
      <c r="D624" t="s">
        <v>3209</v>
      </c>
      <c r="E624" t="s">
        <v>3356</v>
      </c>
      <c r="F624" t="s">
        <v>3357</v>
      </c>
      <c r="G624">
        <v>89045244820</v>
      </c>
      <c r="H624" t="s">
        <v>3358</v>
      </c>
      <c r="I624" t="s">
        <v>33</v>
      </c>
      <c r="J624" t="s">
        <v>34</v>
      </c>
      <c r="K624">
        <v>235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1</v>
      </c>
      <c r="S624">
        <v>3</v>
      </c>
      <c r="T624">
        <v>3</v>
      </c>
      <c r="U624">
        <v>0</v>
      </c>
      <c r="V624">
        <v>1</v>
      </c>
      <c r="W624">
        <v>1</v>
      </c>
      <c r="X624">
        <v>1</v>
      </c>
      <c r="Y624">
        <v>2</v>
      </c>
      <c r="Z624">
        <v>0</v>
      </c>
      <c r="AA624">
        <v>0</v>
      </c>
      <c r="AB624" t="s">
        <v>3359</v>
      </c>
      <c r="AC624" t="s">
        <v>34</v>
      </c>
      <c r="AD624" t="s">
        <v>34</v>
      </c>
      <c r="AE624">
        <v>0</v>
      </c>
      <c r="AF624">
        <v>0</v>
      </c>
      <c r="AG624">
        <v>0</v>
      </c>
      <c r="AL624" t="s">
        <v>35</v>
      </c>
      <c r="AM624" t="s">
        <v>34</v>
      </c>
      <c r="AN624" t="s">
        <v>3360</v>
      </c>
    </row>
    <row r="625" spans="1:40" x14ac:dyDescent="0.2">
      <c r="A625" s="2">
        <v>45981.759629629632</v>
      </c>
      <c r="B625" t="s">
        <v>3109</v>
      </c>
      <c r="C625" t="s">
        <v>2928</v>
      </c>
      <c r="D625" t="s">
        <v>3209</v>
      </c>
      <c r="E625" t="s">
        <v>3110</v>
      </c>
      <c r="F625" t="s">
        <v>3111</v>
      </c>
      <c r="G625" t="s">
        <v>3112</v>
      </c>
      <c r="H625" t="s">
        <v>3113</v>
      </c>
      <c r="I625" t="s">
        <v>93</v>
      </c>
      <c r="J625" t="s">
        <v>34</v>
      </c>
      <c r="K625">
        <v>465</v>
      </c>
      <c r="L625">
        <v>2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1</v>
      </c>
      <c r="AA625">
        <v>0</v>
      </c>
      <c r="AB625" t="s">
        <v>62</v>
      </c>
      <c r="AC625" t="s">
        <v>35</v>
      </c>
      <c r="AD625" t="s">
        <v>35</v>
      </c>
      <c r="AE625">
        <v>1</v>
      </c>
      <c r="AF625">
        <v>0</v>
      </c>
      <c r="AG625" t="s">
        <v>48</v>
      </c>
      <c r="AL625" t="s">
        <v>35</v>
      </c>
      <c r="AM625" t="s">
        <v>34</v>
      </c>
    </row>
    <row r="626" spans="1:40" x14ac:dyDescent="0.2">
      <c r="A626" s="2">
        <v>45985.692025462973</v>
      </c>
      <c r="B626" t="s">
        <v>3077</v>
      </c>
      <c r="C626" t="s">
        <v>2928</v>
      </c>
      <c r="D626" t="s">
        <v>3078</v>
      </c>
      <c r="E626" t="s">
        <v>3079</v>
      </c>
      <c r="F626" t="s">
        <v>3080</v>
      </c>
      <c r="G626">
        <v>84746121120</v>
      </c>
      <c r="H626" t="s">
        <v>3081</v>
      </c>
      <c r="I626" t="s">
        <v>33</v>
      </c>
      <c r="J626" t="s">
        <v>34</v>
      </c>
      <c r="K626">
        <v>235</v>
      </c>
      <c r="L626">
        <v>15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3</v>
      </c>
      <c r="V626">
        <v>4</v>
      </c>
      <c r="W626">
        <v>3</v>
      </c>
      <c r="X626">
        <v>3</v>
      </c>
      <c r="Y626">
        <v>2</v>
      </c>
      <c r="Z626">
        <v>0</v>
      </c>
      <c r="AA626">
        <v>0</v>
      </c>
      <c r="AB626" t="s">
        <v>50</v>
      </c>
      <c r="AC626" t="s">
        <v>35</v>
      </c>
      <c r="AD626" t="s">
        <v>35</v>
      </c>
      <c r="AE626">
        <v>3</v>
      </c>
      <c r="AF626">
        <v>0</v>
      </c>
      <c r="AG626" t="s">
        <v>48</v>
      </c>
      <c r="AL626" t="s">
        <v>35</v>
      </c>
      <c r="AM626" t="s">
        <v>34</v>
      </c>
      <c r="AN626" t="s">
        <v>56</v>
      </c>
    </row>
    <row r="627" spans="1:40" x14ac:dyDescent="0.2">
      <c r="A627" s="2">
        <v>45993.429178240738</v>
      </c>
      <c r="B627" t="s">
        <v>3092</v>
      </c>
      <c r="C627" t="s">
        <v>2928</v>
      </c>
      <c r="D627" t="s">
        <v>3078</v>
      </c>
      <c r="E627" t="s">
        <v>3093</v>
      </c>
      <c r="F627" t="s">
        <v>3094</v>
      </c>
      <c r="G627" t="s">
        <v>3095</v>
      </c>
      <c r="H627" t="s">
        <v>3096</v>
      </c>
      <c r="I627" t="s">
        <v>49</v>
      </c>
      <c r="J627" t="s">
        <v>34</v>
      </c>
      <c r="K627">
        <v>102</v>
      </c>
      <c r="L627">
        <v>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3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3097</v>
      </c>
      <c r="AC627" t="s">
        <v>35</v>
      </c>
      <c r="AD627" t="s">
        <v>34</v>
      </c>
      <c r="AE627">
        <v>0</v>
      </c>
      <c r="AF627">
        <v>0</v>
      </c>
      <c r="AG627">
        <v>0</v>
      </c>
      <c r="AL627" t="s">
        <v>34</v>
      </c>
      <c r="AM627" t="s">
        <v>34</v>
      </c>
    </row>
    <row r="628" spans="1:40" x14ac:dyDescent="0.2">
      <c r="A628" s="2">
        <v>45988.573240740741</v>
      </c>
      <c r="B628" t="s">
        <v>3105</v>
      </c>
      <c r="C628" t="s">
        <v>2928</v>
      </c>
      <c r="D628" t="s">
        <v>3078</v>
      </c>
      <c r="E628" t="s">
        <v>3106</v>
      </c>
      <c r="F628" t="s">
        <v>3107</v>
      </c>
      <c r="G628">
        <v>89205242009</v>
      </c>
      <c r="H628" t="s">
        <v>3108</v>
      </c>
      <c r="I628" t="s">
        <v>1886</v>
      </c>
      <c r="J628" t="s">
        <v>34</v>
      </c>
      <c r="K628">
        <v>346</v>
      </c>
      <c r="L628">
        <v>17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5</v>
      </c>
      <c r="U628">
        <v>5</v>
      </c>
      <c r="V628">
        <v>5</v>
      </c>
      <c r="W628">
        <v>0</v>
      </c>
      <c r="X628">
        <v>0</v>
      </c>
      <c r="Y628">
        <v>2</v>
      </c>
      <c r="Z628">
        <v>0</v>
      </c>
      <c r="AA628">
        <v>0</v>
      </c>
      <c r="AC628" t="s">
        <v>35</v>
      </c>
      <c r="AD628" t="s">
        <v>34</v>
      </c>
      <c r="AE628">
        <v>0</v>
      </c>
      <c r="AF628">
        <v>0</v>
      </c>
      <c r="AG628">
        <v>0</v>
      </c>
      <c r="AL628" t="s">
        <v>35</v>
      </c>
      <c r="AM628" t="s">
        <v>34</v>
      </c>
    </row>
    <row r="629" spans="1:40" x14ac:dyDescent="0.2">
      <c r="A629" s="2">
        <v>45979.860486111109</v>
      </c>
      <c r="B629" t="s">
        <v>3231</v>
      </c>
      <c r="C629" t="s">
        <v>2928</v>
      </c>
      <c r="D629" t="s">
        <v>3078</v>
      </c>
      <c r="E629" t="s">
        <v>3232</v>
      </c>
      <c r="F629" t="s">
        <v>3233</v>
      </c>
      <c r="G629">
        <v>84742274941</v>
      </c>
      <c r="H629" t="s">
        <v>3234</v>
      </c>
      <c r="I629" t="s">
        <v>49</v>
      </c>
      <c r="J629" t="s">
        <v>34</v>
      </c>
      <c r="K629">
        <v>566</v>
      </c>
      <c r="L629">
        <v>59</v>
      </c>
      <c r="M629">
        <v>0</v>
      </c>
      <c r="N629">
        <v>0</v>
      </c>
      <c r="O629">
        <v>0</v>
      </c>
      <c r="P629">
        <v>0</v>
      </c>
      <c r="Q629">
        <v>3</v>
      </c>
      <c r="R629">
        <v>3</v>
      </c>
      <c r="S629">
        <v>2</v>
      </c>
      <c r="T629">
        <v>3</v>
      </c>
      <c r="U629">
        <v>8</v>
      </c>
      <c r="V629">
        <v>8</v>
      </c>
      <c r="W629">
        <v>12</v>
      </c>
      <c r="X629">
        <v>5</v>
      </c>
      <c r="Y629">
        <v>8</v>
      </c>
      <c r="Z629">
        <v>6</v>
      </c>
      <c r="AA629">
        <v>1</v>
      </c>
      <c r="AB629" t="s">
        <v>62</v>
      </c>
      <c r="AC629" t="s">
        <v>34</v>
      </c>
      <c r="AD629" t="s">
        <v>34</v>
      </c>
      <c r="AE629">
        <v>1</v>
      </c>
      <c r="AF629">
        <v>0</v>
      </c>
      <c r="AG629" t="s">
        <v>3235</v>
      </c>
      <c r="AH629">
        <v>1</v>
      </c>
      <c r="AL629" t="s">
        <v>34</v>
      </c>
      <c r="AM629" t="s">
        <v>34</v>
      </c>
      <c r="AN629" t="s">
        <v>3236</v>
      </c>
    </row>
    <row r="630" spans="1:40" x14ac:dyDescent="0.2">
      <c r="A630" s="2">
        <v>45989.571585648147</v>
      </c>
      <c r="B630" t="s">
        <v>3237</v>
      </c>
      <c r="C630" t="s">
        <v>2928</v>
      </c>
      <c r="D630" t="s">
        <v>3078</v>
      </c>
      <c r="E630" t="s">
        <v>3232</v>
      </c>
      <c r="F630" t="s">
        <v>3238</v>
      </c>
      <c r="G630" t="s">
        <v>3239</v>
      </c>
      <c r="H630" t="s">
        <v>3240</v>
      </c>
      <c r="I630" t="s">
        <v>93</v>
      </c>
      <c r="J630" t="s">
        <v>114</v>
      </c>
      <c r="K630">
        <v>765</v>
      </c>
      <c r="L630">
        <v>45</v>
      </c>
      <c r="M630">
        <v>0</v>
      </c>
      <c r="N630">
        <v>0</v>
      </c>
      <c r="O630">
        <v>0</v>
      </c>
      <c r="P630">
        <v>0</v>
      </c>
      <c r="Q630">
        <v>10</v>
      </c>
      <c r="R630">
        <v>7</v>
      </c>
      <c r="S630">
        <v>0</v>
      </c>
      <c r="T630">
        <v>6</v>
      </c>
      <c r="U630">
        <v>0</v>
      </c>
      <c r="V630">
        <v>0</v>
      </c>
      <c r="W630">
        <v>6</v>
      </c>
      <c r="X630">
        <v>3</v>
      </c>
      <c r="Y630">
        <v>3</v>
      </c>
      <c r="Z630">
        <v>6</v>
      </c>
      <c r="AA630">
        <v>4</v>
      </c>
      <c r="AB630" t="s">
        <v>126</v>
      </c>
      <c r="AC630" t="s">
        <v>34</v>
      </c>
      <c r="AD630" t="s">
        <v>34</v>
      </c>
      <c r="AE630">
        <v>1</v>
      </c>
      <c r="AF630">
        <v>1</v>
      </c>
      <c r="AG630">
        <v>0</v>
      </c>
      <c r="AL630" t="s">
        <v>35</v>
      </c>
      <c r="AM630" t="s">
        <v>34</v>
      </c>
    </row>
    <row r="631" spans="1:40" x14ac:dyDescent="0.2">
      <c r="A631" s="2">
        <v>45992.492789351847</v>
      </c>
      <c r="B631" t="s">
        <v>3371</v>
      </c>
      <c r="C631" t="s">
        <v>2928</v>
      </c>
      <c r="D631" t="s">
        <v>3078</v>
      </c>
      <c r="E631" t="s">
        <v>3448</v>
      </c>
      <c r="F631" t="s">
        <v>3449</v>
      </c>
      <c r="G631" t="s">
        <v>3450</v>
      </c>
      <c r="H631" t="s">
        <v>3451</v>
      </c>
      <c r="I631" t="s">
        <v>33</v>
      </c>
      <c r="J631" t="s">
        <v>34</v>
      </c>
      <c r="K631">
        <v>98</v>
      </c>
      <c r="L631">
        <v>21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4</v>
      </c>
      <c r="T631">
        <v>8</v>
      </c>
      <c r="U631">
        <v>0</v>
      </c>
      <c r="V631">
        <v>0</v>
      </c>
      <c r="W631">
        <v>4</v>
      </c>
      <c r="X631">
        <v>0</v>
      </c>
      <c r="Y631">
        <v>1</v>
      </c>
      <c r="Z631">
        <v>2</v>
      </c>
      <c r="AA631">
        <v>1</v>
      </c>
      <c r="AB631" t="s">
        <v>50</v>
      </c>
      <c r="AC631" t="s">
        <v>34</v>
      </c>
      <c r="AD631" t="s">
        <v>34</v>
      </c>
      <c r="AE631">
        <v>1</v>
      </c>
      <c r="AF631">
        <v>0</v>
      </c>
      <c r="AG631">
        <v>0</v>
      </c>
      <c r="AL631" t="s">
        <v>34</v>
      </c>
      <c r="AM631" t="s">
        <v>34</v>
      </c>
    </row>
    <row r="632" spans="1:40" x14ac:dyDescent="0.2">
      <c r="A632" s="2">
        <v>45988.565358796302</v>
      </c>
      <c r="B632" t="s">
        <v>3086</v>
      </c>
      <c r="C632" t="s">
        <v>2928</v>
      </c>
      <c r="D632" t="s">
        <v>3087</v>
      </c>
      <c r="E632" t="s">
        <v>3088</v>
      </c>
      <c r="F632" t="s">
        <v>3089</v>
      </c>
      <c r="G632">
        <v>74864921858</v>
      </c>
      <c r="H632" t="s">
        <v>3090</v>
      </c>
      <c r="I632" t="s">
        <v>3091</v>
      </c>
      <c r="J632" t="s">
        <v>34</v>
      </c>
      <c r="K632">
        <v>79</v>
      </c>
      <c r="L632">
        <v>22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4</v>
      </c>
      <c r="S632">
        <v>11</v>
      </c>
      <c r="T632">
        <v>4</v>
      </c>
      <c r="U632">
        <v>0</v>
      </c>
      <c r="V632">
        <v>0</v>
      </c>
      <c r="W632">
        <v>3</v>
      </c>
      <c r="X632">
        <v>0</v>
      </c>
      <c r="Y632">
        <v>0</v>
      </c>
      <c r="Z632">
        <v>0</v>
      </c>
      <c r="AA632">
        <v>0</v>
      </c>
      <c r="AC632" t="s">
        <v>35</v>
      </c>
      <c r="AD632" t="s">
        <v>34</v>
      </c>
      <c r="AE632">
        <v>0</v>
      </c>
      <c r="AF632">
        <v>0</v>
      </c>
      <c r="AG632">
        <v>0</v>
      </c>
      <c r="AL632" t="s">
        <v>34</v>
      </c>
      <c r="AM632" t="s">
        <v>34</v>
      </c>
    </row>
    <row r="633" spans="1:40" x14ac:dyDescent="0.2">
      <c r="A633" s="2">
        <v>45979.706886574073</v>
      </c>
      <c r="B633" t="s">
        <v>3225</v>
      </c>
      <c r="C633" t="s">
        <v>2928</v>
      </c>
      <c r="D633" t="s">
        <v>3087</v>
      </c>
      <c r="E633" t="s">
        <v>3226</v>
      </c>
      <c r="F633" t="s">
        <v>3227</v>
      </c>
      <c r="G633" t="s">
        <v>3228</v>
      </c>
      <c r="H633" t="s">
        <v>3229</v>
      </c>
      <c r="I633" t="s">
        <v>49</v>
      </c>
      <c r="J633" t="s">
        <v>34</v>
      </c>
      <c r="K633">
        <v>219</v>
      </c>
      <c r="L633">
        <v>34</v>
      </c>
      <c r="M633">
        <v>0</v>
      </c>
      <c r="N633">
        <v>0</v>
      </c>
      <c r="O633">
        <v>0</v>
      </c>
      <c r="P633">
        <v>1</v>
      </c>
      <c r="Q633">
        <v>1</v>
      </c>
      <c r="R633">
        <v>6</v>
      </c>
      <c r="S633">
        <v>4</v>
      </c>
      <c r="T633">
        <v>5</v>
      </c>
      <c r="U633">
        <v>9</v>
      </c>
      <c r="V633">
        <v>4</v>
      </c>
      <c r="W633">
        <v>2</v>
      </c>
      <c r="X633">
        <v>0</v>
      </c>
      <c r="Y633">
        <v>2</v>
      </c>
      <c r="Z633">
        <v>0</v>
      </c>
      <c r="AA633">
        <v>0</v>
      </c>
      <c r="AB633" t="s">
        <v>50</v>
      </c>
      <c r="AC633" t="s">
        <v>35</v>
      </c>
      <c r="AD633" t="s">
        <v>34</v>
      </c>
      <c r="AE633">
        <v>2</v>
      </c>
      <c r="AF633">
        <v>0</v>
      </c>
      <c r="AG633" t="s">
        <v>3230</v>
      </c>
      <c r="AL633" t="s">
        <v>35</v>
      </c>
      <c r="AM633" t="s">
        <v>34</v>
      </c>
    </row>
    <row r="634" spans="1:40" x14ac:dyDescent="0.2">
      <c r="A634" s="2">
        <v>45979.66134259259</v>
      </c>
      <c r="B634" t="s">
        <v>3263</v>
      </c>
      <c r="C634" t="s">
        <v>2928</v>
      </c>
      <c r="D634" t="s">
        <v>3087</v>
      </c>
      <c r="E634" t="s">
        <v>3264</v>
      </c>
      <c r="F634" t="s">
        <v>3265</v>
      </c>
      <c r="G634">
        <v>79536217791</v>
      </c>
      <c r="H634" t="s">
        <v>3266</v>
      </c>
      <c r="I634" t="s">
        <v>49</v>
      </c>
      <c r="J634" t="s">
        <v>34</v>
      </c>
      <c r="K634">
        <v>74</v>
      </c>
      <c r="L634">
        <v>10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2</v>
      </c>
      <c r="V634">
        <v>3</v>
      </c>
      <c r="W634">
        <v>3</v>
      </c>
      <c r="X634">
        <v>1</v>
      </c>
      <c r="Y634">
        <v>1</v>
      </c>
      <c r="Z634">
        <v>0</v>
      </c>
      <c r="AA634">
        <v>0</v>
      </c>
      <c r="AB634" t="s">
        <v>50</v>
      </c>
      <c r="AC634" t="s">
        <v>35</v>
      </c>
      <c r="AD634" t="s">
        <v>35</v>
      </c>
      <c r="AE634">
        <v>2</v>
      </c>
      <c r="AF634">
        <v>0</v>
      </c>
      <c r="AG634">
        <v>0</v>
      </c>
      <c r="AL634" t="s">
        <v>34</v>
      </c>
      <c r="AM634" t="s">
        <v>34</v>
      </c>
    </row>
    <row r="635" spans="1:40" x14ac:dyDescent="0.2">
      <c r="A635" s="2">
        <v>45982.610497685193</v>
      </c>
      <c r="B635" t="s">
        <v>3301</v>
      </c>
      <c r="C635" t="s">
        <v>2928</v>
      </c>
      <c r="D635" t="s">
        <v>3087</v>
      </c>
      <c r="E635" t="s">
        <v>3302</v>
      </c>
      <c r="F635" t="s">
        <v>3303</v>
      </c>
      <c r="G635">
        <v>4862307347</v>
      </c>
      <c r="H635" t="s">
        <v>3304</v>
      </c>
      <c r="I635" t="s">
        <v>49</v>
      </c>
      <c r="J635" t="s">
        <v>114</v>
      </c>
      <c r="K635">
        <v>1340</v>
      </c>
      <c r="L635">
        <v>109</v>
      </c>
      <c r="M635">
        <v>24</v>
      </c>
      <c r="N635">
        <v>6</v>
      </c>
      <c r="O635">
        <v>7</v>
      </c>
      <c r="P635">
        <v>6</v>
      </c>
      <c r="Q635">
        <v>2</v>
      </c>
      <c r="R635">
        <v>5</v>
      </c>
      <c r="S635">
        <v>5</v>
      </c>
      <c r="T635">
        <v>14</v>
      </c>
      <c r="U635">
        <v>8</v>
      </c>
      <c r="V635">
        <v>8</v>
      </c>
      <c r="W635">
        <v>13</v>
      </c>
      <c r="X635">
        <v>5</v>
      </c>
      <c r="Y635">
        <v>5</v>
      </c>
      <c r="Z635">
        <v>1</v>
      </c>
      <c r="AA635">
        <v>0</v>
      </c>
      <c r="AB635" t="s">
        <v>50</v>
      </c>
      <c r="AC635" t="s">
        <v>35</v>
      </c>
      <c r="AD635" t="s">
        <v>35</v>
      </c>
      <c r="AE635">
        <v>6</v>
      </c>
      <c r="AF635">
        <v>1</v>
      </c>
      <c r="AG635" t="s">
        <v>3305</v>
      </c>
      <c r="AL635" t="s">
        <v>35</v>
      </c>
      <c r="AM635" t="s">
        <v>35</v>
      </c>
    </row>
    <row r="636" spans="1:40" x14ac:dyDescent="0.2">
      <c r="A636" s="2">
        <v>45989.443738425929</v>
      </c>
      <c r="B636" t="s">
        <v>3306</v>
      </c>
      <c r="C636" t="s">
        <v>2928</v>
      </c>
      <c r="D636" t="s">
        <v>3087</v>
      </c>
      <c r="E636" t="s">
        <v>3302</v>
      </c>
      <c r="F636" t="s">
        <v>3307</v>
      </c>
      <c r="G636">
        <v>79527670233</v>
      </c>
      <c r="H636" t="s">
        <v>3308</v>
      </c>
      <c r="I636" t="s">
        <v>49</v>
      </c>
      <c r="J636" t="s">
        <v>34</v>
      </c>
      <c r="K636">
        <v>14</v>
      </c>
      <c r="L636">
        <v>14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2</v>
      </c>
      <c r="U636" s="4">
        <v>0</v>
      </c>
      <c r="V636" s="4">
        <v>3</v>
      </c>
      <c r="W636" s="4">
        <v>5</v>
      </c>
      <c r="X636" s="4">
        <v>4</v>
      </c>
      <c r="Y636" s="4">
        <v>0</v>
      </c>
      <c r="Z636" s="4">
        <v>0</v>
      </c>
      <c r="AA636" s="4">
        <v>0</v>
      </c>
      <c r="AB636" t="s">
        <v>3309</v>
      </c>
      <c r="AC636" t="s">
        <v>34</v>
      </c>
      <c r="AD636" t="s">
        <v>34</v>
      </c>
      <c r="AE636">
        <v>1</v>
      </c>
      <c r="AF636">
        <v>1</v>
      </c>
      <c r="AG636">
        <v>0</v>
      </c>
      <c r="AL636" t="s">
        <v>34</v>
      </c>
      <c r="AM636" t="s">
        <v>34</v>
      </c>
    </row>
    <row r="637" spans="1:40" x14ac:dyDescent="0.2">
      <c r="A637" s="2">
        <v>45989.445439814823</v>
      </c>
      <c r="B637" t="s">
        <v>3310</v>
      </c>
      <c r="C637" t="s">
        <v>2928</v>
      </c>
      <c r="D637" t="s">
        <v>3087</v>
      </c>
      <c r="E637" t="s">
        <v>3302</v>
      </c>
      <c r="F637" t="s">
        <v>3311</v>
      </c>
      <c r="G637" t="s">
        <v>3312</v>
      </c>
      <c r="H637" t="s">
        <v>3313</v>
      </c>
      <c r="I637" t="s">
        <v>835</v>
      </c>
      <c r="J637" t="s">
        <v>34</v>
      </c>
      <c r="K637">
        <v>67</v>
      </c>
      <c r="L637">
        <v>19</v>
      </c>
      <c r="M637">
        <v>19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 t="s">
        <v>50</v>
      </c>
      <c r="AC637" t="s">
        <v>34</v>
      </c>
      <c r="AD637" t="s">
        <v>34</v>
      </c>
      <c r="AE637">
        <v>1</v>
      </c>
      <c r="AF637">
        <v>1</v>
      </c>
      <c r="AG637">
        <v>0</v>
      </c>
      <c r="AL637" t="s">
        <v>34</v>
      </c>
      <c r="AM637" t="s">
        <v>34</v>
      </c>
    </row>
    <row r="638" spans="1:40" x14ac:dyDescent="0.2">
      <c r="A638" s="2">
        <v>45979.389270833337</v>
      </c>
      <c r="B638" t="s">
        <v>3314</v>
      </c>
      <c r="C638" t="s">
        <v>2928</v>
      </c>
      <c r="D638" t="s">
        <v>3087</v>
      </c>
      <c r="E638" t="s">
        <v>3315</v>
      </c>
      <c r="F638" t="s">
        <v>3316</v>
      </c>
      <c r="G638" t="s">
        <v>3317</v>
      </c>
      <c r="H638" t="s">
        <v>3318</v>
      </c>
      <c r="I638" t="s">
        <v>49</v>
      </c>
      <c r="J638" t="s">
        <v>34</v>
      </c>
      <c r="K638">
        <v>1556</v>
      </c>
      <c r="L638">
        <v>33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3</v>
      </c>
      <c r="W638">
        <v>4</v>
      </c>
      <c r="X638">
        <v>9</v>
      </c>
      <c r="Y638">
        <v>9</v>
      </c>
      <c r="Z638">
        <v>8</v>
      </c>
      <c r="AA638">
        <v>0</v>
      </c>
      <c r="AB638" t="s">
        <v>50</v>
      </c>
      <c r="AC638" t="s">
        <v>35</v>
      </c>
      <c r="AD638" t="s">
        <v>35</v>
      </c>
      <c r="AE638">
        <v>14</v>
      </c>
      <c r="AF638">
        <v>0</v>
      </c>
      <c r="AG638" t="s">
        <v>3319</v>
      </c>
      <c r="AH638">
        <v>1</v>
      </c>
      <c r="AL638" t="s">
        <v>35</v>
      </c>
      <c r="AM638" t="s">
        <v>34</v>
      </c>
    </row>
    <row r="639" spans="1:40" x14ac:dyDescent="0.2">
      <c r="A639" s="2">
        <v>45981.692291666674</v>
      </c>
      <c r="B639" t="s">
        <v>2927</v>
      </c>
      <c r="C639" t="s">
        <v>2928</v>
      </c>
      <c r="D639" t="s">
        <v>2929</v>
      </c>
      <c r="E639" t="s">
        <v>2930</v>
      </c>
      <c r="F639" t="s">
        <v>2931</v>
      </c>
      <c r="G639">
        <v>89156176138</v>
      </c>
      <c r="H639" t="s">
        <v>2932</v>
      </c>
      <c r="I639" t="s">
        <v>33</v>
      </c>
      <c r="J639" t="s">
        <v>34</v>
      </c>
      <c r="K639">
        <v>45</v>
      </c>
      <c r="L639">
        <v>22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3</v>
      </c>
      <c r="S639">
        <v>6</v>
      </c>
      <c r="T639">
        <v>7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2</v>
      </c>
      <c r="AA639">
        <v>1</v>
      </c>
      <c r="AB639" t="s">
        <v>94</v>
      </c>
      <c r="AC639" t="s">
        <v>35</v>
      </c>
      <c r="AD639" t="s">
        <v>35</v>
      </c>
      <c r="AE639">
        <v>1</v>
      </c>
      <c r="AF639">
        <v>0</v>
      </c>
      <c r="AG639" t="s">
        <v>2933</v>
      </c>
      <c r="AL639" t="s">
        <v>34</v>
      </c>
      <c r="AM639" t="s">
        <v>34</v>
      </c>
    </row>
    <row r="640" spans="1:40" x14ac:dyDescent="0.2">
      <c r="A640" s="2">
        <v>45992.66783564815</v>
      </c>
      <c r="B640" t="s">
        <v>3120</v>
      </c>
      <c r="C640" t="s">
        <v>2928</v>
      </c>
      <c r="D640" t="s">
        <v>2929</v>
      </c>
      <c r="E640" t="s">
        <v>3121</v>
      </c>
      <c r="F640" t="s">
        <v>3122</v>
      </c>
      <c r="G640">
        <v>79537462200</v>
      </c>
      <c r="H640" t="s">
        <v>3123</v>
      </c>
      <c r="I640" t="s">
        <v>33</v>
      </c>
      <c r="J640" t="s">
        <v>34</v>
      </c>
      <c r="K640">
        <v>98</v>
      </c>
      <c r="L640">
        <v>12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5</v>
      </c>
      <c r="S640">
        <v>1</v>
      </c>
      <c r="T640">
        <v>1</v>
      </c>
      <c r="U640">
        <v>0</v>
      </c>
      <c r="V640">
        <v>0</v>
      </c>
      <c r="W640">
        <v>0</v>
      </c>
      <c r="X640">
        <v>2</v>
      </c>
      <c r="Y640">
        <v>2</v>
      </c>
      <c r="Z640">
        <v>0</v>
      </c>
      <c r="AA640">
        <v>0</v>
      </c>
      <c r="AC640" t="s">
        <v>35</v>
      </c>
      <c r="AD640" t="s">
        <v>34</v>
      </c>
      <c r="AE640">
        <v>1</v>
      </c>
      <c r="AF640">
        <v>1</v>
      </c>
      <c r="AG640">
        <v>0</v>
      </c>
      <c r="AL640" t="s">
        <v>34</v>
      </c>
      <c r="AM640" t="s">
        <v>34</v>
      </c>
    </row>
    <row r="641" spans="1:40" x14ac:dyDescent="0.2">
      <c r="A641" s="2">
        <v>45978.749803240738</v>
      </c>
      <c r="B641" t="s">
        <v>3189</v>
      </c>
      <c r="C641" t="s">
        <v>2928</v>
      </c>
      <c r="D641" t="s">
        <v>2929</v>
      </c>
      <c r="E641" t="s">
        <v>3190</v>
      </c>
      <c r="F641" t="s">
        <v>3191</v>
      </c>
      <c r="G641">
        <v>84914350679</v>
      </c>
      <c r="H641" t="s">
        <v>3192</v>
      </c>
      <c r="I641" t="s">
        <v>33</v>
      </c>
      <c r="J641" t="s">
        <v>34</v>
      </c>
      <c r="K641">
        <v>184</v>
      </c>
      <c r="L641">
        <v>32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3</v>
      </c>
      <c r="S641">
        <v>8</v>
      </c>
      <c r="T641">
        <v>10</v>
      </c>
      <c r="U641">
        <v>2</v>
      </c>
      <c r="V641">
        <v>3</v>
      </c>
      <c r="W641">
        <v>1</v>
      </c>
      <c r="X641">
        <v>0</v>
      </c>
      <c r="Y641">
        <v>2</v>
      </c>
      <c r="Z641">
        <v>0</v>
      </c>
      <c r="AA641">
        <v>1</v>
      </c>
      <c r="AB641" t="s">
        <v>50</v>
      </c>
      <c r="AC641" t="s">
        <v>35</v>
      </c>
      <c r="AD641" t="s">
        <v>35</v>
      </c>
      <c r="AE641">
        <v>1</v>
      </c>
      <c r="AF641">
        <v>0</v>
      </c>
      <c r="AG641" t="s">
        <v>3193</v>
      </c>
      <c r="AH641">
        <v>1</v>
      </c>
      <c r="AL641" t="s">
        <v>34</v>
      </c>
      <c r="AM641" t="s">
        <v>34</v>
      </c>
      <c r="AN641" t="s">
        <v>3194</v>
      </c>
    </row>
    <row r="642" spans="1:40" x14ac:dyDescent="0.2">
      <c r="A642" s="2">
        <v>45992.604930555557</v>
      </c>
      <c r="B642" t="s">
        <v>3195</v>
      </c>
      <c r="C642" t="s">
        <v>2928</v>
      </c>
      <c r="D642" t="s">
        <v>2929</v>
      </c>
      <c r="E642" t="s">
        <v>3190</v>
      </c>
      <c r="F642" t="s">
        <v>3196</v>
      </c>
      <c r="G642">
        <v>84914351775</v>
      </c>
      <c r="H642" t="s">
        <v>3197</v>
      </c>
      <c r="I642" t="s">
        <v>49</v>
      </c>
      <c r="J642" t="s">
        <v>34</v>
      </c>
      <c r="K642">
        <v>49</v>
      </c>
      <c r="L642">
        <v>2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2</v>
      </c>
      <c r="Y642">
        <v>0</v>
      </c>
      <c r="Z642">
        <v>0</v>
      </c>
      <c r="AA642">
        <v>0</v>
      </c>
      <c r="AC642" t="s">
        <v>35</v>
      </c>
      <c r="AD642" t="s">
        <v>34</v>
      </c>
      <c r="AE642">
        <v>0</v>
      </c>
      <c r="AF642">
        <v>0</v>
      </c>
      <c r="AG642">
        <v>0</v>
      </c>
      <c r="AL642" t="s">
        <v>34</v>
      </c>
      <c r="AM642" t="s">
        <v>34</v>
      </c>
    </row>
    <row r="643" spans="1:40" x14ac:dyDescent="0.2">
      <c r="A643" s="2">
        <v>45988.532546296286</v>
      </c>
      <c r="B643" t="s">
        <v>3286</v>
      </c>
      <c r="C643" t="s">
        <v>2928</v>
      </c>
      <c r="D643" t="s">
        <v>2929</v>
      </c>
      <c r="E643" t="s">
        <v>3287</v>
      </c>
      <c r="F643" t="s">
        <v>3288</v>
      </c>
      <c r="G643" t="s">
        <v>3289</v>
      </c>
      <c r="H643" t="s">
        <v>3290</v>
      </c>
      <c r="I643" t="s">
        <v>33</v>
      </c>
      <c r="J643" t="s">
        <v>34</v>
      </c>
      <c r="K643">
        <v>103</v>
      </c>
      <c r="L643">
        <v>2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1</v>
      </c>
      <c r="AA643">
        <v>0</v>
      </c>
      <c r="AB643" t="s">
        <v>50</v>
      </c>
      <c r="AC643" t="s">
        <v>35</v>
      </c>
      <c r="AD643" t="s">
        <v>34</v>
      </c>
      <c r="AE643">
        <v>0</v>
      </c>
      <c r="AF643">
        <v>0</v>
      </c>
      <c r="AG643">
        <v>0</v>
      </c>
      <c r="AL643" t="s">
        <v>34</v>
      </c>
      <c r="AM643" t="s">
        <v>34</v>
      </c>
    </row>
    <row r="644" spans="1:40" x14ac:dyDescent="0.2">
      <c r="A644" s="2">
        <v>45992.600416666668</v>
      </c>
      <c r="B644" t="s">
        <v>3361</v>
      </c>
      <c r="C644" t="s">
        <v>2928</v>
      </c>
      <c r="D644" t="s">
        <v>2929</v>
      </c>
      <c r="E644" t="s">
        <v>3362</v>
      </c>
      <c r="F644" t="s">
        <v>3363</v>
      </c>
      <c r="G644" t="s">
        <v>3364</v>
      </c>
      <c r="H644" t="s">
        <v>3365</v>
      </c>
      <c r="I644" t="s">
        <v>49</v>
      </c>
      <c r="J644" t="s">
        <v>34</v>
      </c>
      <c r="K644">
        <v>487</v>
      </c>
      <c r="L644">
        <v>23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2</v>
      </c>
      <c r="U644">
        <v>3</v>
      </c>
      <c r="V644">
        <v>6</v>
      </c>
      <c r="W644">
        <v>3</v>
      </c>
      <c r="X644">
        <v>3</v>
      </c>
      <c r="Y644">
        <v>6</v>
      </c>
      <c r="Z644">
        <v>0</v>
      </c>
      <c r="AA644">
        <v>0</v>
      </c>
      <c r="AB644" t="s">
        <v>50</v>
      </c>
      <c r="AC644" t="s">
        <v>35</v>
      </c>
      <c r="AD644" t="s">
        <v>34</v>
      </c>
      <c r="AE644">
        <v>1</v>
      </c>
      <c r="AF644">
        <v>1</v>
      </c>
      <c r="AG644">
        <v>0</v>
      </c>
      <c r="AL644" t="s">
        <v>35</v>
      </c>
      <c r="AM644" t="s">
        <v>34</v>
      </c>
    </row>
    <row r="645" spans="1:40" x14ac:dyDescent="0.2">
      <c r="A645" s="2">
        <v>45982.557696759257</v>
      </c>
      <c r="B645" t="s">
        <v>3366</v>
      </c>
      <c r="C645" t="s">
        <v>2928</v>
      </c>
      <c r="D645" t="s">
        <v>2929</v>
      </c>
      <c r="E645" t="s">
        <v>3362</v>
      </c>
      <c r="F645" t="s">
        <v>3367</v>
      </c>
      <c r="G645" t="s">
        <v>3368</v>
      </c>
      <c r="H645" t="s">
        <v>3369</v>
      </c>
      <c r="I645" t="s">
        <v>49</v>
      </c>
      <c r="J645" t="s">
        <v>114</v>
      </c>
      <c r="K645">
        <v>504</v>
      </c>
      <c r="L645">
        <v>43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7</v>
      </c>
      <c r="T645">
        <v>7</v>
      </c>
      <c r="U645">
        <v>7</v>
      </c>
      <c r="V645">
        <v>7</v>
      </c>
      <c r="W645">
        <v>7</v>
      </c>
      <c r="X645">
        <v>7</v>
      </c>
      <c r="Y645">
        <v>1</v>
      </c>
      <c r="Z645">
        <v>0</v>
      </c>
      <c r="AA645">
        <v>0</v>
      </c>
      <c r="AB645" t="s">
        <v>189</v>
      </c>
      <c r="AC645" t="s">
        <v>34</v>
      </c>
      <c r="AD645" t="s">
        <v>35</v>
      </c>
      <c r="AE645">
        <v>1</v>
      </c>
      <c r="AF645">
        <v>0</v>
      </c>
      <c r="AG645" t="s">
        <v>3370</v>
      </c>
      <c r="AI645">
        <v>1</v>
      </c>
      <c r="AL645" t="s">
        <v>35</v>
      </c>
      <c r="AM645" t="s">
        <v>35</v>
      </c>
    </row>
    <row r="646" spans="1:40" x14ac:dyDescent="0.2">
      <c r="A646" s="2">
        <v>45989.577164351853</v>
      </c>
      <c r="B646" t="s">
        <v>3456</v>
      </c>
      <c r="C646" t="s">
        <v>2928</v>
      </c>
      <c r="D646" t="s">
        <v>2929</v>
      </c>
      <c r="E646" t="s">
        <v>3457</v>
      </c>
      <c r="F646" t="s">
        <v>3458</v>
      </c>
      <c r="G646" t="s">
        <v>3459</v>
      </c>
      <c r="H646" t="s">
        <v>3460</v>
      </c>
      <c r="I646" t="s">
        <v>49</v>
      </c>
      <c r="J646" t="s">
        <v>34</v>
      </c>
      <c r="K646">
        <v>27</v>
      </c>
      <c r="L646">
        <v>27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5</v>
      </c>
      <c r="T646">
        <v>4</v>
      </c>
      <c r="U646">
        <v>4</v>
      </c>
      <c r="V646">
        <v>3</v>
      </c>
      <c r="W646">
        <v>6</v>
      </c>
      <c r="X646">
        <v>5</v>
      </c>
      <c r="Y646">
        <v>0</v>
      </c>
      <c r="Z646">
        <v>0</v>
      </c>
      <c r="AA646">
        <v>0</v>
      </c>
      <c r="AB646" t="s">
        <v>50</v>
      </c>
      <c r="AC646" t="s">
        <v>34</v>
      </c>
      <c r="AD646" t="s">
        <v>34</v>
      </c>
      <c r="AE646">
        <v>1</v>
      </c>
      <c r="AF646">
        <v>1</v>
      </c>
      <c r="AG646" t="s">
        <v>48</v>
      </c>
      <c r="AL646" t="s">
        <v>34</v>
      </c>
      <c r="AM646" t="s">
        <v>34</v>
      </c>
    </row>
    <row r="647" spans="1:40" x14ac:dyDescent="0.2">
      <c r="A647" s="2">
        <v>45993.438518518517</v>
      </c>
      <c r="B647" t="s">
        <v>3381</v>
      </c>
      <c r="C647" t="s">
        <v>2928</v>
      </c>
      <c r="D647" t="s">
        <v>3382</v>
      </c>
      <c r="E647" t="s">
        <v>3383</v>
      </c>
      <c r="F647" t="s">
        <v>3384</v>
      </c>
      <c r="G647">
        <v>74812307205</v>
      </c>
      <c r="H647" t="s">
        <v>3385</v>
      </c>
      <c r="I647" t="s">
        <v>835</v>
      </c>
      <c r="J647" t="s">
        <v>34</v>
      </c>
      <c r="K647">
        <v>257</v>
      </c>
      <c r="L647">
        <v>26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5</v>
      </c>
      <c r="W647">
        <v>4</v>
      </c>
      <c r="X647">
        <v>6</v>
      </c>
      <c r="Y647">
        <v>4</v>
      </c>
      <c r="Z647">
        <v>1</v>
      </c>
      <c r="AA647">
        <v>6</v>
      </c>
      <c r="AB647" t="s">
        <v>108</v>
      </c>
      <c r="AC647" t="s">
        <v>35</v>
      </c>
      <c r="AD647" t="s">
        <v>34</v>
      </c>
      <c r="AE647">
        <v>1</v>
      </c>
      <c r="AF647">
        <v>1</v>
      </c>
      <c r="AG647">
        <v>0</v>
      </c>
      <c r="AL647" t="s">
        <v>34</v>
      </c>
      <c r="AM647" t="s">
        <v>34</v>
      </c>
    </row>
    <row r="648" spans="1:40" x14ac:dyDescent="0.2">
      <c r="A648" s="2">
        <v>45992.494525462957</v>
      </c>
      <c r="B648" t="s">
        <v>3386</v>
      </c>
      <c r="C648" t="s">
        <v>2928</v>
      </c>
      <c r="D648" t="s">
        <v>3382</v>
      </c>
      <c r="E648" t="s">
        <v>3383</v>
      </c>
      <c r="F648" t="s">
        <v>3387</v>
      </c>
      <c r="G648">
        <v>79038903790</v>
      </c>
      <c r="H648" t="s">
        <v>3388</v>
      </c>
      <c r="I648" t="s">
        <v>471</v>
      </c>
      <c r="J648" t="s">
        <v>34</v>
      </c>
      <c r="K648">
        <v>98</v>
      </c>
      <c r="L648">
        <v>12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</v>
      </c>
      <c r="T648">
        <v>2</v>
      </c>
      <c r="U648">
        <v>0</v>
      </c>
      <c r="V648">
        <v>0</v>
      </c>
      <c r="W648">
        <v>2</v>
      </c>
      <c r="X648">
        <v>0</v>
      </c>
      <c r="Y648">
        <v>0</v>
      </c>
      <c r="Z648">
        <v>4</v>
      </c>
      <c r="AA648">
        <v>2</v>
      </c>
      <c r="AB648" t="s">
        <v>50</v>
      </c>
      <c r="AC648" t="s">
        <v>35</v>
      </c>
      <c r="AD648" t="s">
        <v>34</v>
      </c>
      <c r="AE648">
        <v>1</v>
      </c>
      <c r="AF648">
        <v>0</v>
      </c>
      <c r="AG648">
        <v>0</v>
      </c>
      <c r="AL648" t="s">
        <v>34</v>
      </c>
      <c r="AM648" t="s">
        <v>34</v>
      </c>
    </row>
    <row r="649" spans="1:40" x14ac:dyDescent="0.2">
      <c r="A649" s="2">
        <v>45980.628564814811</v>
      </c>
      <c r="B649" t="s">
        <v>3389</v>
      </c>
      <c r="C649" t="s">
        <v>2928</v>
      </c>
      <c r="D649" t="s">
        <v>3382</v>
      </c>
      <c r="E649" t="s">
        <v>3383</v>
      </c>
      <c r="F649" t="s">
        <v>3390</v>
      </c>
      <c r="G649">
        <v>784812310450</v>
      </c>
      <c r="H649" t="s">
        <v>3391</v>
      </c>
      <c r="I649" t="s">
        <v>49</v>
      </c>
      <c r="J649" t="s">
        <v>114</v>
      </c>
      <c r="K649">
        <v>845</v>
      </c>
      <c r="L649">
        <v>60</v>
      </c>
      <c r="M649">
        <v>0</v>
      </c>
      <c r="N649">
        <v>0</v>
      </c>
      <c r="O649">
        <v>0</v>
      </c>
      <c r="P649">
        <v>2</v>
      </c>
      <c r="Q649">
        <v>8</v>
      </c>
      <c r="R649">
        <v>8</v>
      </c>
      <c r="S649">
        <v>6</v>
      </c>
      <c r="T649">
        <v>5</v>
      </c>
      <c r="U649">
        <v>4</v>
      </c>
      <c r="V649">
        <v>5</v>
      </c>
      <c r="W649">
        <v>5</v>
      </c>
      <c r="X649">
        <v>5</v>
      </c>
      <c r="Y649">
        <v>6</v>
      </c>
      <c r="Z649">
        <v>6</v>
      </c>
      <c r="AA649">
        <v>0</v>
      </c>
      <c r="AB649" t="s">
        <v>3392</v>
      </c>
      <c r="AC649" t="s">
        <v>35</v>
      </c>
      <c r="AD649" t="s">
        <v>35</v>
      </c>
      <c r="AE649">
        <v>1</v>
      </c>
      <c r="AF649">
        <v>0</v>
      </c>
      <c r="AG649" t="s">
        <v>3393</v>
      </c>
      <c r="AL649" t="s">
        <v>35</v>
      </c>
      <c r="AM649" t="s">
        <v>35</v>
      </c>
      <c r="AN649" t="s">
        <v>3394</v>
      </c>
    </row>
    <row r="650" spans="1:40" x14ac:dyDescent="0.2">
      <c r="A650" s="2">
        <v>45989.674814814818</v>
      </c>
      <c r="B650" t="s">
        <v>3452</v>
      </c>
      <c r="C650" t="s">
        <v>2928</v>
      </c>
      <c r="D650" t="s">
        <v>3382</v>
      </c>
      <c r="E650" t="s">
        <v>3453</v>
      </c>
      <c r="F650" t="s">
        <v>3454</v>
      </c>
      <c r="G650">
        <v>84813921462</v>
      </c>
      <c r="H650" t="s">
        <v>3455</v>
      </c>
      <c r="I650" t="s">
        <v>33</v>
      </c>
      <c r="J650" t="s">
        <v>34</v>
      </c>
      <c r="K650">
        <v>42</v>
      </c>
      <c r="L650">
        <v>5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2</v>
      </c>
      <c r="T650">
        <v>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2959</v>
      </c>
      <c r="AC650" t="s">
        <v>35</v>
      </c>
      <c r="AD650" t="s">
        <v>34</v>
      </c>
      <c r="AE650">
        <v>0</v>
      </c>
      <c r="AF650">
        <v>0</v>
      </c>
      <c r="AG650">
        <v>0</v>
      </c>
      <c r="AL650" t="s">
        <v>34</v>
      </c>
      <c r="AM650" t="s">
        <v>34</v>
      </c>
    </row>
    <row r="651" spans="1:40" x14ac:dyDescent="0.2">
      <c r="A651" s="2">
        <v>45989.676898148151</v>
      </c>
      <c r="B651" t="s">
        <v>3461</v>
      </c>
      <c r="C651" t="s">
        <v>2928</v>
      </c>
      <c r="D651" t="s">
        <v>3382</v>
      </c>
      <c r="E651" t="s">
        <v>3462</v>
      </c>
      <c r="F651" t="s">
        <v>3463</v>
      </c>
      <c r="G651">
        <v>89107841844</v>
      </c>
      <c r="H651" t="s">
        <v>48</v>
      </c>
      <c r="I651" t="s">
        <v>1037</v>
      </c>
      <c r="J651" t="s">
        <v>34</v>
      </c>
      <c r="K651">
        <v>65</v>
      </c>
      <c r="L651">
        <v>21</v>
      </c>
      <c r="M651">
        <v>11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2</v>
      </c>
      <c r="V651">
        <v>3</v>
      </c>
      <c r="W651">
        <v>2</v>
      </c>
      <c r="X651">
        <v>2</v>
      </c>
      <c r="Y651">
        <v>0</v>
      </c>
      <c r="Z651">
        <v>0</v>
      </c>
      <c r="AA651">
        <v>0</v>
      </c>
      <c r="AB651" t="s">
        <v>50</v>
      </c>
      <c r="AC651" t="s">
        <v>35</v>
      </c>
      <c r="AD651" t="s">
        <v>34</v>
      </c>
      <c r="AE651">
        <v>1</v>
      </c>
      <c r="AF651">
        <v>1</v>
      </c>
      <c r="AG651">
        <v>0</v>
      </c>
      <c r="AL651" t="s">
        <v>34</v>
      </c>
      <c r="AM651" t="s">
        <v>34</v>
      </c>
    </row>
    <row r="652" spans="1:40" x14ac:dyDescent="0.2">
      <c r="A652" s="2">
        <v>45989.638541666667</v>
      </c>
      <c r="B652" t="s">
        <v>3371</v>
      </c>
      <c r="C652" t="s">
        <v>2928</v>
      </c>
      <c r="D652" t="s">
        <v>3382</v>
      </c>
      <c r="E652" t="s">
        <v>3372</v>
      </c>
      <c r="F652" t="s">
        <v>3373</v>
      </c>
      <c r="G652" t="s">
        <v>3374</v>
      </c>
      <c r="H652" t="s">
        <v>3375</v>
      </c>
      <c r="I652" t="s">
        <v>33</v>
      </c>
      <c r="J652" t="s">
        <v>34</v>
      </c>
      <c r="K652">
        <v>140</v>
      </c>
      <c r="L652">
        <v>83</v>
      </c>
      <c r="M652">
        <v>10</v>
      </c>
      <c r="N652">
        <v>1</v>
      </c>
      <c r="O652">
        <v>2</v>
      </c>
      <c r="P652">
        <v>2</v>
      </c>
      <c r="Q652">
        <v>3</v>
      </c>
      <c r="R652">
        <v>3</v>
      </c>
      <c r="S652">
        <v>3</v>
      </c>
      <c r="T652">
        <v>8</v>
      </c>
      <c r="U652">
        <v>8</v>
      </c>
      <c r="V652">
        <v>10</v>
      </c>
      <c r="W652">
        <v>5</v>
      </c>
      <c r="X652">
        <v>8</v>
      </c>
      <c r="Y652">
        <v>5</v>
      </c>
      <c r="Z652">
        <v>10</v>
      </c>
      <c r="AA652">
        <v>5</v>
      </c>
      <c r="AB652" t="s">
        <v>62</v>
      </c>
      <c r="AC652" t="s">
        <v>34</v>
      </c>
      <c r="AD652" t="s">
        <v>35</v>
      </c>
      <c r="AE652">
        <v>1</v>
      </c>
      <c r="AF652">
        <v>0</v>
      </c>
      <c r="AG652" t="s">
        <v>34</v>
      </c>
      <c r="AL652" t="s">
        <v>35</v>
      </c>
      <c r="AM652" t="s">
        <v>35</v>
      </c>
    </row>
    <row r="653" spans="1:40" x14ac:dyDescent="0.2">
      <c r="A653" s="2">
        <v>45994.419687499998</v>
      </c>
      <c r="B653" t="s">
        <v>3128</v>
      </c>
      <c r="C653" t="s">
        <v>2928</v>
      </c>
      <c r="D653" t="s">
        <v>3129</v>
      </c>
      <c r="E653" t="s">
        <v>3130</v>
      </c>
      <c r="F653" t="s">
        <v>3131</v>
      </c>
      <c r="G653">
        <v>74755225343</v>
      </c>
      <c r="H653" t="s">
        <v>3132</v>
      </c>
      <c r="I653" t="s">
        <v>33</v>
      </c>
      <c r="J653" t="s">
        <v>34</v>
      </c>
      <c r="K653">
        <v>236</v>
      </c>
      <c r="L653">
        <v>8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6</v>
      </c>
      <c r="Z653">
        <v>2</v>
      </c>
      <c r="AA653">
        <v>0</v>
      </c>
      <c r="AB653" t="s">
        <v>3133</v>
      </c>
      <c r="AC653" t="s">
        <v>35</v>
      </c>
      <c r="AD653" t="s">
        <v>34</v>
      </c>
      <c r="AE653">
        <v>0</v>
      </c>
      <c r="AF653">
        <v>0</v>
      </c>
      <c r="AG653">
        <v>0</v>
      </c>
      <c r="AL653" t="s">
        <v>34</v>
      </c>
      <c r="AM653" t="s">
        <v>34</v>
      </c>
    </row>
    <row r="654" spans="1:40" x14ac:dyDescent="0.2">
      <c r="A654" s="2">
        <v>45978.984293981477</v>
      </c>
      <c r="B654" t="s">
        <v>3251</v>
      </c>
      <c r="C654" t="s">
        <v>2928</v>
      </c>
      <c r="D654" t="s">
        <v>3129</v>
      </c>
      <c r="E654" t="s">
        <v>3252</v>
      </c>
      <c r="F654" t="s">
        <v>3253</v>
      </c>
      <c r="G654" t="s">
        <v>3254</v>
      </c>
      <c r="H654" t="s">
        <v>3255</v>
      </c>
      <c r="I654" t="s">
        <v>3256</v>
      </c>
      <c r="J654" t="s">
        <v>34</v>
      </c>
      <c r="K654">
        <v>50</v>
      </c>
      <c r="L654">
        <v>35</v>
      </c>
      <c r="M654">
        <v>0</v>
      </c>
      <c r="N654">
        <v>0</v>
      </c>
      <c r="O654">
        <v>0</v>
      </c>
      <c r="P654">
        <v>2</v>
      </c>
      <c r="Q654">
        <v>3</v>
      </c>
      <c r="R654">
        <v>3</v>
      </c>
      <c r="S654">
        <v>5</v>
      </c>
      <c r="T654">
        <v>9</v>
      </c>
      <c r="U654">
        <v>5</v>
      </c>
      <c r="V654">
        <v>7</v>
      </c>
      <c r="W654">
        <v>1</v>
      </c>
      <c r="X654">
        <v>0</v>
      </c>
      <c r="Y654">
        <v>0</v>
      </c>
      <c r="Z654">
        <v>0</v>
      </c>
      <c r="AA654">
        <v>0</v>
      </c>
      <c r="AB654" t="s">
        <v>62</v>
      </c>
      <c r="AC654" t="s">
        <v>35</v>
      </c>
      <c r="AD654" t="s">
        <v>34</v>
      </c>
      <c r="AE654">
        <v>1</v>
      </c>
      <c r="AF654">
        <v>0</v>
      </c>
      <c r="AG654" t="s">
        <v>3257</v>
      </c>
      <c r="AL654" t="s">
        <v>35</v>
      </c>
      <c r="AM654" t="s">
        <v>34</v>
      </c>
      <c r="AN654" t="s">
        <v>3258</v>
      </c>
    </row>
    <row r="655" spans="1:40" x14ac:dyDescent="0.2">
      <c r="A655" s="2">
        <v>45979.483993055554</v>
      </c>
      <c r="B655" t="s">
        <v>3259</v>
      </c>
      <c r="C655" t="s">
        <v>2928</v>
      </c>
      <c r="D655" t="s">
        <v>3129</v>
      </c>
      <c r="E655" t="s">
        <v>3252</v>
      </c>
      <c r="F655" t="s">
        <v>3260</v>
      </c>
      <c r="G655">
        <v>89156641005</v>
      </c>
      <c r="H655" t="s">
        <v>3261</v>
      </c>
      <c r="I655" t="s">
        <v>93</v>
      </c>
      <c r="J655" t="s">
        <v>34</v>
      </c>
      <c r="K655">
        <v>114</v>
      </c>
      <c r="L655">
        <v>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299</v>
      </c>
      <c r="AC655" t="s">
        <v>35</v>
      </c>
      <c r="AD655" t="s">
        <v>35</v>
      </c>
      <c r="AE655">
        <v>1</v>
      </c>
      <c r="AF655">
        <v>0</v>
      </c>
      <c r="AG655" t="s">
        <v>3262</v>
      </c>
      <c r="AL655" t="s">
        <v>35</v>
      </c>
      <c r="AM655" t="s">
        <v>34</v>
      </c>
    </row>
    <row r="656" spans="1:40" x14ac:dyDescent="0.2">
      <c r="A656" s="2">
        <v>45979.653634259259</v>
      </c>
      <c r="B656" t="s">
        <v>3395</v>
      </c>
      <c r="C656" t="s">
        <v>2928</v>
      </c>
      <c r="D656" t="s">
        <v>3129</v>
      </c>
      <c r="E656" t="s">
        <v>3396</v>
      </c>
      <c r="F656" t="s">
        <v>3397</v>
      </c>
      <c r="G656">
        <v>4753226173</v>
      </c>
      <c r="H656" t="s">
        <v>3398</v>
      </c>
      <c r="I656" t="s">
        <v>3395</v>
      </c>
      <c r="J656" t="s">
        <v>34</v>
      </c>
      <c r="K656">
        <v>60</v>
      </c>
      <c r="L656">
        <v>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2</v>
      </c>
      <c r="W656">
        <v>0</v>
      </c>
      <c r="X656">
        <v>0</v>
      </c>
      <c r="Y656">
        <v>1</v>
      </c>
      <c r="Z656">
        <v>0</v>
      </c>
      <c r="AA656">
        <v>0</v>
      </c>
      <c r="AB656" t="s">
        <v>62</v>
      </c>
      <c r="AC656" t="s">
        <v>35</v>
      </c>
      <c r="AD656" t="s">
        <v>35</v>
      </c>
      <c r="AE656">
        <v>1</v>
      </c>
      <c r="AF656">
        <v>1</v>
      </c>
      <c r="AG656" t="s">
        <v>3399</v>
      </c>
      <c r="AL656" t="s">
        <v>34</v>
      </c>
      <c r="AM656" t="s">
        <v>34</v>
      </c>
      <c r="AN656" t="s">
        <v>48</v>
      </c>
    </row>
    <row r="657" spans="1:40" x14ac:dyDescent="0.2">
      <c r="A657" s="2">
        <v>45979.449548611112</v>
      </c>
      <c r="B657" t="s">
        <v>3421</v>
      </c>
      <c r="C657" t="s">
        <v>2928</v>
      </c>
      <c r="D657" t="s">
        <v>3129</v>
      </c>
      <c r="E657" t="s">
        <v>3422</v>
      </c>
      <c r="F657" t="s">
        <v>3423</v>
      </c>
      <c r="G657">
        <v>84752783204</v>
      </c>
      <c r="H657" t="s">
        <v>3424</v>
      </c>
      <c r="I657" t="s">
        <v>93</v>
      </c>
      <c r="J657" t="s">
        <v>518</v>
      </c>
      <c r="K657">
        <v>1125</v>
      </c>
      <c r="L657">
        <v>49</v>
      </c>
      <c r="M657" s="4">
        <v>12</v>
      </c>
      <c r="N657" s="4">
        <v>1</v>
      </c>
      <c r="O657" s="4">
        <v>0</v>
      </c>
      <c r="P657" s="4">
        <v>6</v>
      </c>
      <c r="Q657" s="4">
        <v>8</v>
      </c>
      <c r="R657" s="4">
        <v>8</v>
      </c>
      <c r="S657" s="4">
        <v>8</v>
      </c>
      <c r="T657" s="4">
        <v>4</v>
      </c>
      <c r="U657" s="4">
        <v>2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t="s">
        <v>317</v>
      </c>
      <c r="AC657" t="s">
        <v>34</v>
      </c>
      <c r="AD657" t="s">
        <v>34</v>
      </c>
      <c r="AE657">
        <v>1</v>
      </c>
      <c r="AF657">
        <v>0</v>
      </c>
      <c r="AG657" t="s">
        <v>3425</v>
      </c>
      <c r="AH657">
        <v>1</v>
      </c>
      <c r="AL657" t="s">
        <v>35</v>
      </c>
      <c r="AM657" t="s">
        <v>34</v>
      </c>
    </row>
    <row r="658" spans="1:40" x14ac:dyDescent="0.2">
      <c r="A658" s="2">
        <v>45992.602835648147</v>
      </c>
      <c r="B658" t="s">
        <v>2955</v>
      </c>
      <c r="C658" t="s">
        <v>2928</v>
      </c>
      <c r="D658" t="s">
        <v>2872</v>
      </c>
      <c r="E658" t="s">
        <v>2956</v>
      </c>
      <c r="F658" t="s">
        <v>2957</v>
      </c>
      <c r="G658">
        <v>84876121596</v>
      </c>
      <c r="H658" t="s">
        <v>2958</v>
      </c>
      <c r="I658" t="s">
        <v>33</v>
      </c>
      <c r="J658" t="s">
        <v>34</v>
      </c>
      <c r="K658">
        <v>67</v>
      </c>
      <c r="L658">
        <v>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1</v>
      </c>
      <c r="Z658">
        <v>0</v>
      </c>
      <c r="AA658">
        <v>0</v>
      </c>
      <c r="AB658" t="s">
        <v>2959</v>
      </c>
      <c r="AC658" t="s">
        <v>35</v>
      </c>
      <c r="AD658" t="s">
        <v>34</v>
      </c>
      <c r="AE658">
        <v>0</v>
      </c>
      <c r="AF658">
        <v>0</v>
      </c>
      <c r="AG658">
        <v>0</v>
      </c>
      <c r="AL658" t="s">
        <v>34</v>
      </c>
      <c r="AM658" t="s">
        <v>34</v>
      </c>
    </row>
    <row r="659" spans="1:40" x14ac:dyDescent="0.2">
      <c r="A659" s="2">
        <v>45988.530486111107</v>
      </c>
      <c r="B659" t="s">
        <v>3167</v>
      </c>
      <c r="C659" t="s">
        <v>2928</v>
      </c>
      <c r="D659" t="s">
        <v>2872</v>
      </c>
      <c r="E659" t="s">
        <v>3168</v>
      </c>
      <c r="F659" t="s">
        <v>3169</v>
      </c>
      <c r="G659" t="s">
        <v>3170</v>
      </c>
      <c r="H659" t="s">
        <v>3171</v>
      </c>
      <c r="I659" t="s">
        <v>33</v>
      </c>
      <c r="J659" t="s">
        <v>34</v>
      </c>
      <c r="K659">
        <v>87</v>
      </c>
      <c r="L659">
        <v>10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5</v>
      </c>
      <c r="T659">
        <v>0</v>
      </c>
      <c r="U659">
        <v>0</v>
      </c>
      <c r="V659">
        <v>3</v>
      </c>
      <c r="W659">
        <v>0</v>
      </c>
      <c r="X659">
        <v>0</v>
      </c>
      <c r="Y659">
        <v>0</v>
      </c>
      <c r="Z659">
        <v>1</v>
      </c>
      <c r="AA659">
        <v>1</v>
      </c>
      <c r="AB659" t="s">
        <v>3172</v>
      </c>
      <c r="AC659" t="s">
        <v>35</v>
      </c>
      <c r="AD659" t="s">
        <v>34</v>
      </c>
      <c r="AE659">
        <v>0</v>
      </c>
      <c r="AF659">
        <v>0</v>
      </c>
      <c r="AG659">
        <v>0</v>
      </c>
      <c r="AL659" t="s">
        <v>35</v>
      </c>
      <c r="AM659" t="s">
        <v>34</v>
      </c>
    </row>
    <row r="660" spans="1:40" x14ac:dyDescent="0.2">
      <c r="A660" s="2">
        <v>45978.711099537039</v>
      </c>
      <c r="B660" t="s">
        <v>3338</v>
      </c>
      <c r="C660" t="s">
        <v>2928</v>
      </c>
      <c r="D660" t="s">
        <v>2872</v>
      </c>
      <c r="E660" t="s">
        <v>3339</v>
      </c>
      <c r="F660" t="s">
        <v>3340</v>
      </c>
      <c r="G660" t="s">
        <v>3341</v>
      </c>
      <c r="H660" t="s">
        <v>3342</v>
      </c>
      <c r="I660" t="s">
        <v>33</v>
      </c>
      <c r="J660" t="s">
        <v>34</v>
      </c>
      <c r="K660">
        <v>64</v>
      </c>
      <c r="L660">
        <v>7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4</v>
      </c>
      <c r="X660">
        <v>0</v>
      </c>
      <c r="Y660">
        <v>1</v>
      </c>
      <c r="Z660">
        <v>1</v>
      </c>
      <c r="AA660">
        <v>0</v>
      </c>
      <c r="AB660" t="s">
        <v>50</v>
      </c>
      <c r="AC660" t="s">
        <v>35</v>
      </c>
      <c r="AD660" t="s">
        <v>35</v>
      </c>
      <c r="AE660">
        <v>1</v>
      </c>
      <c r="AF660">
        <v>0</v>
      </c>
      <c r="AG660" t="s">
        <v>3343</v>
      </c>
      <c r="AL660" t="s">
        <v>35</v>
      </c>
      <c r="AM660" t="s">
        <v>34</v>
      </c>
    </row>
    <row r="661" spans="1:40" x14ac:dyDescent="0.2">
      <c r="A661" s="2">
        <v>45985.440497685187</v>
      </c>
      <c r="B661" t="s">
        <v>3432</v>
      </c>
      <c r="C661" t="s">
        <v>2928</v>
      </c>
      <c r="D661" t="s">
        <v>2872</v>
      </c>
      <c r="E661" t="s">
        <v>3433</v>
      </c>
      <c r="F661" t="s">
        <v>3434</v>
      </c>
      <c r="G661">
        <v>74872525287</v>
      </c>
      <c r="H661" t="s">
        <v>3435</v>
      </c>
      <c r="I661" t="s">
        <v>3436</v>
      </c>
      <c r="J661" t="s">
        <v>188</v>
      </c>
      <c r="K661">
        <v>339</v>
      </c>
      <c r="L661">
        <v>107</v>
      </c>
      <c r="M661">
        <v>8</v>
      </c>
      <c r="N661">
        <v>4</v>
      </c>
      <c r="O661">
        <v>3</v>
      </c>
      <c r="P661">
        <v>11</v>
      </c>
      <c r="Q661">
        <v>8</v>
      </c>
      <c r="R661">
        <v>10</v>
      </c>
      <c r="S661">
        <v>7</v>
      </c>
      <c r="T661">
        <v>9</v>
      </c>
      <c r="U661">
        <v>10</v>
      </c>
      <c r="V661">
        <v>9</v>
      </c>
      <c r="W661">
        <v>12</v>
      </c>
      <c r="X661">
        <v>11</v>
      </c>
      <c r="Y661">
        <v>4</v>
      </c>
      <c r="Z661">
        <v>1</v>
      </c>
      <c r="AA661">
        <v>0</v>
      </c>
      <c r="AB661" t="s">
        <v>207</v>
      </c>
      <c r="AC661" t="s">
        <v>34</v>
      </c>
      <c r="AD661" t="s">
        <v>34</v>
      </c>
      <c r="AE661">
        <v>6</v>
      </c>
      <c r="AF661">
        <v>2</v>
      </c>
      <c r="AG661" t="s">
        <v>3437</v>
      </c>
      <c r="AH661">
        <v>3</v>
      </c>
      <c r="AI661">
        <v>1</v>
      </c>
      <c r="AL661" t="s">
        <v>34</v>
      </c>
      <c r="AM661" t="s">
        <v>34</v>
      </c>
      <c r="AN661" t="s">
        <v>48</v>
      </c>
    </row>
    <row r="662" spans="1:40" x14ac:dyDescent="0.2">
      <c r="A662" s="2">
        <v>45987.646284722221</v>
      </c>
      <c r="B662" t="s">
        <v>3438</v>
      </c>
      <c r="C662" t="s">
        <v>2928</v>
      </c>
      <c r="D662" t="s">
        <v>2872</v>
      </c>
      <c r="E662" t="s">
        <v>3433</v>
      </c>
      <c r="F662" t="s">
        <v>3439</v>
      </c>
      <c r="G662">
        <v>89066234265</v>
      </c>
      <c r="H662" t="s">
        <v>3440</v>
      </c>
      <c r="I662" t="s">
        <v>710</v>
      </c>
      <c r="J662" t="s">
        <v>34</v>
      </c>
      <c r="K662">
        <v>92</v>
      </c>
      <c r="L662">
        <v>92</v>
      </c>
      <c r="M662" s="4">
        <v>17</v>
      </c>
      <c r="N662" s="4">
        <v>6</v>
      </c>
      <c r="O662" s="4">
        <v>4</v>
      </c>
      <c r="P662" s="4">
        <v>4</v>
      </c>
      <c r="Q662" s="4">
        <v>4</v>
      </c>
      <c r="R662" s="4">
        <v>4</v>
      </c>
      <c r="S662" s="4">
        <v>0</v>
      </c>
      <c r="T662" s="4">
        <v>0</v>
      </c>
      <c r="U662" s="4">
        <v>0</v>
      </c>
      <c r="V662" s="4">
        <v>0</v>
      </c>
      <c r="W662" s="4">
        <v>12</v>
      </c>
      <c r="X662" s="4">
        <v>12</v>
      </c>
      <c r="Y662" s="4">
        <v>14</v>
      </c>
      <c r="Z662" s="4">
        <v>15</v>
      </c>
      <c r="AA662" s="4">
        <v>0</v>
      </c>
      <c r="AB662" t="s">
        <v>696</v>
      </c>
      <c r="AC662" t="s">
        <v>34</v>
      </c>
      <c r="AD662" t="s">
        <v>34</v>
      </c>
      <c r="AE662">
        <v>3</v>
      </c>
      <c r="AF662">
        <v>0</v>
      </c>
      <c r="AG662">
        <v>0</v>
      </c>
      <c r="AL662" t="s">
        <v>34</v>
      </c>
      <c r="AM662" t="s">
        <v>34</v>
      </c>
    </row>
    <row r="663" spans="1:40" x14ac:dyDescent="0.2">
      <c r="A663" s="2">
        <v>45979.426249999997</v>
      </c>
      <c r="B663" t="s">
        <v>3441</v>
      </c>
      <c r="C663" t="s">
        <v>2928</v>
      </c>
      <c r="D663" t="s">
        <v>2872</v>
      </c>
      <c r="E663" t="s">
        <v>3433</v>
      </c>
      <c r="F663" t="s">
        <v>3442</v>
      </c>
      <c r="G663">
        <v>74872724824</v>
      </c>
      <c r="H663" t="s">
        <v>3443</v>
      </c>
      <c r="I663" t="s">
        <v>49</v>
      </c>
      <c r="J663" t="s">
        <v>34</v>
      </c>
      <c r="K663">
        <v>161</v>
      </c>
      <c r="L663">
        <v>14</v>
      </c>
      <c r="M663">
        <v>0</v>
      </c>
      <c r="N663">
        <v>0</v>
      </c>
      <c r="O663">
        <v>1</v>
      </c>
      <c r="P663">
        <v>1</v>
      </c>
      <c r="Q663">
        <v>2</v>
      </c>
      <c r="R663">
        <v>2</v>
      </c>
      <c r="S663">
        <v>4</v>
      </c>
      <c r="T663">
        <v>1</v>
      </c>
      <c r="U663">
        <v>1</v>
      </c>
      <c r="V663">
        <v>2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131</v>
      </c>
      <c r="AC663" t="s">
        <v>34</v>
      </c>
      <c r="AD663" t="s">
        <v>34</v>
      </c>
      <c r="AE663">
        <v>1</v>
      </c>
      <c r="AF663">
        <v>0</v>
      </c>
      <c r="AG663" t="s">
        <v>48</v>
      </c>
      <c r="AL663" t="s">
        <v>35</v>
      </c>
      <c r="AM663" t="s">
        <v>35</v>
      </c>
    </row>
    <row r="664" spans="1:40" x14ac:dyDescent="0.2">
      <c r="A664" s="2">
        <v>45985.669317129628</v>
      </c>
      <c r="B664" t="s">
        <v>3444</v>
      </c>
      <c r="C664" t="s">
        <v>2928</v>
      </c>
      <c r="D664" t="s">
        <v>2872</v>
      </c>
      <c r="E664" t="s">
        <v>3433</v>
      </c>
      <c r="F664" t="s">
        <v>3445</v>
      </c>
      <c r="G664">
        <v>84872269771</v>
      </c>
      <c r="H664" t="s">
        <v>3446</v>
      </c>
      <c r="I664" t="s">
        <v>49</v>
      </c>
      <c r="J664" t="s">
        <v>34</v>
      </c>
      <c r="K664">
        <v>550</v>
      </c>
      <c r="L664">
        <v>50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13</v>
      </c>
      <c r="T664">
        <v>12</v>
      </c>
      <c r="U664">
        <v>10</v>
      </c>
      <c r="V664">
        <v>10</v>
      </c>
      <c r="W664">
        <v>5</v>
      </c>
      <c r="X664">
        <v>0</v>
      </c>
      <c r="Y664">
        <v>0</v>
      </c>
      <c r="Z664">
        <v>0</v>
      </c>
      <c r="AA664">
        <v>0</v>
      </c>
      <c r="AB664" t="s">
        <v>317</v>
      </c>
      <c r="AC664" t="s">
        <v>34</v>
      </c>
      <c r="AD664" t="s">
        <v>34</v>
      </c>
      <c r="AE664">
        <v>2</v>
      </c>
      <c r="AF664">
        <v>0</v>
      </c>
      <c r="AG664" t="s">
        <v>3447</v>
      </c>
      <c r="AH664">
        <v>1</v>
      </c>
      <c r="AL664" t="s">
        <v>35</v>
      </c>
      <c r="AM664" t="s">
        <v>34</v>
      </c>
    </row>
    <row r="665" spans="1:40" x14ac:dyDescent="0.2">
      <c r="A665" s="2">
        <v>45993.923587962963</v>
      </c>
      <c r="B665" t="s">
        <v>3810</v>
      </c>
      <c r="C665" t="s">
        <v>3465</v>
      </c>
      <c r="D665" t="s">
        <v>3520</v>
      </c>
      <c r="E665" t="s">
        <v>3811</v>
      </c>
      <c r="F665" t="s">
        <v>3812</v>
      </c>
      <c r="G665">
        <v>89885925902</v>
      </c>
      <c r="H665" t="s">
        <v>3813</v>
      </c>
      <c r="I665" t="s">
        <v>558</v>
      </c>
      <c r="J665" t="s">
        <v>34</v>
      </c>
      <c r="K665">
        <v>50</v>
      </c>
      <c r="L665">
        <v>16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5</v>
      </c>
      <c r="T665">
        <v>2</v>
      </c>
      <c r="U665">
        <v>3</v>
      </c>
      <c r="V665">
        <v>2</v>
      </c>
      <c r="W665">
        <v>1</v>
      </c>
      <c r="X665">
        <v>0</v>
      </c>
      <c r="Y665">
        <v>1</v>
      </c>
      <c r="Z665">
        <v>2</v>
      </c>
      <c r="AA665">
        <v>0</v>
      </c>
      <c r="AB665" t="s">
        <v>108</v>
      </c>
      <c r="AC665" t="s">
        <v>35</v>
      </c>
      <c r="AD665" t="s">
        <v>35</v>
      </c>
      <c r="AE665">
        <v>3</v>
      </c>
      <c r="AF665">
        <v>0</v>
      </c>
      <c r="AG665" t="s">
        <v>3814</v>
      </c>
      <c r="AL665" t="s">
        <v>35</v>
      </c>
      <c r="AM665" t="s">
        <v>34</v>
      </c>
    </row>
    <row r="666" spans="1:40" x14ac:dyDescent="0.2">
      <c r="A666" s="2">
        <v>45992.858263888891</v>
      </c>
      <c r="B666" t="s">
        <v>3848</v>
      </c>
      <c r="C666" t="s">
        <v>3465</v>
      </c>
      <c r="D666" t="s">
        <v>3520</v>
      </c>
      <c r="E666" t="s">
        <v>3849</v>
      </c>
      <c r="F666" t="s">
        <v>3850</v>
      </c>
      <c r="G666">
        <v>8514291048</v>
      </c>
      <c r="H666" t="s">
        <v>3851</v>
      </c>
      <c r="I666" t="s">
        <v>33</v>
      </c>
      <c r="J666" t="s">
        <v>34</v>
      </c>
      <c r="K666">
        <v>198</v>
      </c>
      <c r="L666">
        <v>20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14</v>
      </c>
      <c r="V666">
        <v>3</v>
      </c>
      <c r="W666">
        <v>2</v>
      </c>
      <c r="X666">
        <v>0</v>
      </c>
      <c r="Y666">
        <v>1</v>
      </c>
      <c r="Z666">
        <v>0</v>
      </c>
      <c r="AA666">
        <v>0</v>
      </c>
      <c r="AB666" t="s">
        <v>50</v>
      </c>
      <c r="AC666" t="s">
        <v>35</v>
      </c>
      <c r="AD666" t="s">
        <v>35</v>
      </c>
      <c r="AE666">
        <v>1</v>
      </c>
      <c r="AF666">
        <v>0</v>
      </c>
      <c r="AG666">
        <v>0</v>
      </c>
      <c r="AL666" t="s">
        <v>34</v>
      </c>
      <c r="AM666" t="s">
        <v>34</v>
      </c>
    </row>
    <row r="667" spans="1:40" x14ac:dyDescent="0.2">
      <c r="A667" s="2">
        <v>46003.236769606483</v>
      </c>
      <c r="B667" t="s">
        <v>213</v>
      </c>
      <c r="C667" t="s">
        <v>28</v>
      </c>
      <c r="D667" t="s">
        <v>29</v>
      </c>
      <c r="E667" t="s">
        <v>214</v>
      </c>
      <c r="F667" t="s">
        <v>215</v>
      </c>
      <c r="G667">
        <v>84237222502</v>
      </c>
      <c r="H667" t="s">
        <v>216</v>
      </c>
      <c r="I667" t="s">
        <v>49</v>
      </c>
      <c r="J667" t="s">
        <v>34</v>
      </c>
      <c r="K667">
        <v>153</v>
      </c>
      <c r="L667">
        <v>66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2</v>
      </c>
      <c r="S667">
        <v>7</v>
      </c>
      <c r="T667">
        <v>8</v>
      </c>
      <c r="U667">
        <v>6</v>
      </c>
      <c r="V667">
        <v>10</v>
      </c>
      <c r="W667">
        <v>18</v>
      </c>
      <c r="X667">
        <v>9</v>
      </c>
      <c r="Y667">
        <v>5</v>
      </c>
      <c r="Z667">
        <v>0</v>
      </c>
      <c r="AA667">
        <v>0</v>
      </c>
      <c r="AB667" t="s">
        <v>50</v>
      </c>
      <c r="AC667" t="s">
        <v>35</v>
      </c>
      <c r="AD667" t="s">
        <v>35</v>
      </c>
      <c r="AE667">
        <v>1</v>
      </c>
      <c r="AF667">
        <v>0</v>
      </c>
      <c r="AG667" t="s">
        <v>217</v>
      </c>
      <c r="AL667" t="s">
        <v>35</v>
      </c>
      <c r="AM667" t="s">
        <v>34</v>
      </c>
    </row>
    <row r="668" spans="1:40" x14ac:dyDescent="0.2">
      <c r="A668" s="2">
        <v>45983.40448571759</v>
      </c>
      <c r="B668" t="s">
        <v>1751</v>
      </c>
      <c r="C668" t="s">
        <v>1553</v>
      </c>
      <c r="D668" t="s">
        <v>1587</v>
      </c>
      <c r="E668" t="s">
        <v>1752</v>
      </c>
      <c r="F668" t="s">
        <v>1753</v>
      </c>
      <c r="G668" t="s">
        <v>1754</v>
      </c>
      <c r="H668" t="s">
        <v>1755</v>
      </c>
      <c r="I668" t="s">
        <v>49</v>
      </c>
      <c r="J668" t="s">
        <v>34</v>
      </c>
      <c r="K668">
        <v>85</v>
      </c>
      <c r="L668">
        <v>42</v>
      </c>
      <c r="M668">
        <v>3</v>
      </c>
      <c r="N668">
        <v>7</v>
      </c>
      <c r="O668">
        <v>0</v>
      </c>
      <c r="P668">
        <v>6</v>
      </c>
      <c r="Q668">
        <v>1</v>
      </c>
      <c r="R668">
        <v>3</v>
      </c>
      <c r="S668">
        <v>6</v>
      </c>
      <c r="T668">
        <v>3</v>
      </c>
      <c r="U668">
        <v>5</v>
      </c>
      <c r="V668">
        <v>5</v>
      </c>
      <c r="W668">
        <v>2</v>
      </c>
      <c r="X668">
        <v>1</v>
      </c>
      <c r="Y668">
        <v>0</v>
      </c>
      <c r="Z668">
        <v>0</v>
      </c>
      <c r="AA668">
        <v>0</v>
      </c>
      <c r="AB668" t="s">
        <v>1756</v>
      </c>
      <c r="AC668" t="s">
        <v>35</v>
      </c>
      <c r="AD668" t="s">
        <v>34</v>
      </c>
      <c r="AE668">
        <v>1</v>
      </c>
      <c r="AF668">
        <v>0</v>
      </c>
      <c r="AG668" t="s">
        <v>1757</v>
      </c>
      <c r="AL668" t="s">
        <v>34</v>
      </c>
      <c r="AM668" t="s">
        <v>34</v>
      </c>
      <c r="AN668" t="s">
        <v>1758</v>
      </c>
    </row>
    <row r="669" spans="1:40" x14ac:dyDescent="0.2">
      <c r="A669" s="2">
        <v>46001.19773670139</v>
      </c>
      <c r="B669" t="s">
        <v>2438</v>
      </c>
      <c r="C669" t="s">
        <v>2096</v>
      </c>
      <c r="D669" t="s">
        <v>2111</v>
      </c>
      <c r="E669" t="s">
        <v>2439</v>
      </c>
      <c r="F669" t="s">
        <v>2440</v>
      </c>
      <c r="G669">
        <v>83824544244</v>
      </c>
      <c r="H669" t="s">
        <v>2441</v>
      </c>
      <c r="I669" t="s">
        <v>49</v>
      </c>
      <c r="J669" t="s">
        <v>34</v>
      </c>
      <c r="K669">
        <v>50</v>
      </c>
      <c r="L669">
        <v>25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6</v>
      </c>
      <c r="S669">
        <v>2</v>
      </c>
      <c r="T669">
        <v>2</v>
      </c>
      <c r="U669">
        <v>2</v>
      </c>
      <c r="V669">
        <v>3</v>
      </c>
      <c r="W669">
        <v>6</v>
      </c>
      <c r="X669">
        <v>3</v>
      </c>
      <c r="Y669">
        <v>0</v>
      </c>
      <c r="Z669">
        <v>0</v>
      </c>
      <c r="AA669">
        <v>0</v>
      </c>
      <c r="AB669" t="s">
        <v>50</v>
      </c>
      <c r="AC669" t="s">
        <v>35</v>
      </c>
      <c r="AD669" t="s">
        <v>35</v>
      </c>
      <c r="AE669">
        <v>1</v>
      </c>
      <c r="AF669">
        <v>0</v>
      </c>
      <c r="AG669" t="s">
        <v>34</v>
      </c>
      <c r="AL669" t="s">
        <v>35</v>
      </c>
      <c r="AM669" t="s">
        <v>34</v>
      </c>
      <c r="AN669" t="s">
        <v>2049</v>
      </c>
    </row>
    <row r="670" spans="1:40" x14ac:dyDescent="0.2">
      <c r="A670" s="2">
        <v>45993.783495370371</v>
      </c>
      <c r="B670" t="s">
        <v>3530</v>
      </c>
      <c r="C670" t="s">
        <v>3465</v>
      </c>
      <c r="D670" t="s">
        <v>3520</v>
      </c>
      <c r="E670" t="s">
        <v>3531</v>
      </c>
      <c r="F670" t="s">
        <v>3532</v>
      </c>
      <c r="G670" t="s">
        <v>3533</v>
      </c>
      <c r="H670" t="s">
        <v>3534</v>
      </c>
      <c r="I670" t="s">
        <v>2546</v>
      </c>
      <c r="J670" t="s">
        <v>34</v>
      </c>
      <c r="K670">
        <v>260</v>
      </c>
      <c r="L670">
        <v>60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5</v>
      </c>
      <c r="T670">
        <v>13</v>
      </c>
      <c r="U670">
        <v>9</v>
      </c>
      <c r="V670">
        <v>17</v>
      </c>
      <c r="W670">
        <v>12</v>
      </c>
      <c r="X670">
        <v>4</v>
      </c>
      <c r="Y670">
        <v>0</v>
      </c>
      <c r="Z670">
        <v>0</v>
      </c>
      <c r="AA670">
        <v>0</v>
      </c>
      <c r="AB670" t="s">
        <v>189</v>
      </c>
      <c r="AC670" t="s">
        <v>34</v>
      </c>
      <c r="AD670" t="s">
        <v>34</v>
      </c>
      <c r="AE670">
        <v>2</v>
      </c>
      <c r="AF670">
        <v>0</v>
      </c>
      <c r="AG670">
        <v>0</v>
      </c>
      <c r="AL670" t="s">
        <v>35</v>
      </c>
      <c r="AM670" t="s">
        <v>35</v>
      </c>
    </row>
    <row r="671" spans="1:40" x14ac:dyDescent="0.2">
      <c r="A671" s="2">
        <v>45981.752147893523</v>
      </c>
      <c r="B671" t="s">
        <v>1485</v>
      </c>
      <c r="C671" t="s">
        <v>813</v>
      </c>
      <c r="D671" t="s">
        <v>1147</v>
      </c>
      <c r="E671" t="s">
        <v>1486</v>
      </c>
      <c r="F671" t="s">
        <v>1487</v>
      </c>
      <c r="G671" t="s">
        <v>1488</v>
      </c>
      <c r="H671" t="s">
        <v>1489</v>
      </c>
      <c r="I671" t="s">
        <v>49</v>
      </c>
      <c r="J671" t="s">
        <v>34</v>
      </c>
      <c r="K671">
        <v>60</v>
      </c>
      <c r="L671">
        <v>25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15</v>
      </c>
      <c r="U671">
        <v>10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 t="s">
        <v>255</v>
      </c>
      <c r="AC671" t="s">
        <v>35</v>
      </c>
      <c r="AD671" t="s">
        <v>35</v>
      </c>
      <c r="AE671">
        <v>2</v>
      </c>
      <c r="AF671">
        <v>1</v>
      </c>
      <c r="AG671" t="s">
        <v>34</v>
      </c>
      <c r="AL671" t="s">
        <v>34</v>
      </c>
      <c r="AM671" t="s">
        <v>34</v>
      </c>
    </row>
    <row r="672" spans="1:40" x14ac:dyDescent="0.2">
      <c r="A672" s="2">
        <v>45993.594837962963</v>
      </c>
      <c r="B672" t="s">
        <v>3525</v>
      </c>
      <c r="C672" t="s">
        <v>3465</v>
      </c>
      <c r="D672" t="s">
        <v>3520</v>
      </c>
      <c r="E672" t="s">
        <v>3521</v>
      </c>
      <c r="F672" t="s">
        <v>3526</v>
      </c>
      <c r="G672">
        <v>8512540112</v>
      </c>
      <c r="H672" t="s">
        <v>3527</v>
      </c>
      <c r="I672" t="s">
        <v>3528</v>
      </c>
      <c r="J672" t="s">
        <v>188</v>
      </c>
      <c r="K672">
        <v>483</v>
      </c>
      <c r="L672">
        <v>118</v>
      </c>
      <c r="M672">
        <v>4</v>
      </c>
      <c r="N672">
        <v>3</v>
      </c>
      <c r="O672">
        <v>11</v>
      </c>
      <c r="P672">
        <v>5</v>
      </c>
      <c r="Q672">
        <v>12</v>
      </c>
      <c r="R672">
        <v>8</v>
      </c>
      <c r="S672">
        <v>10</v>
      </c>
      <c r="T672">
        <v>9</v>
      </c>
      <c r="U672">
        <v>9</v>
      </c>
      <c r="V672">
        <v>11</v>
      </c>
      <c r="W672">
        <v>10</v>
      </c>
      <c r="X672">
        <v>10</v>
      </c>
      <c r="Y672">
        <v>10</v>
      </c>
      <c r="Z672">
        <v>4</v>
      </c>
      <c r="AA672">
        <v>2</v>
      </c>
      <c r="AB672" t="s">
        <v>50</v>
      </c>
      <c r="AC672" t="s">
        <v>34</v>
      </c>
      <c r="AD672" t="s">
        <v>35</v>
      </c>
      <c r="AE672">
        <v>4</v>
      </c>
      <c r="AF672">
        <v>2</v>
      </c>
      <c r="AG672" t="s">
        <v>3529</v>
      </c>
      <c r="AH672">
        <v>1</v>
      </c>
      <c r="AI672">
        <v>2</v>
      </c>
      <c r="AL672" t="s">
        <v>35</v>
      </c>
      <c r="AM672" t="s">
        <v>34</v>
      </c>
    </row>
    <row r="673" spans="1:40" x14ac:dyDescent="0.2">
      <c r="A673" s="2">
        <v>45993.47246527778</v>
      </c>
      <c r="B673" t="s">
        <v>3519</v>
      </c>
      <c r="C673" t="s">
        <v>3465</v>
      </c>
      <c r="D673" t="s">
        <v>3520</v>
      </c>
      <c r="E673" t="s">
        <v>3521</v>
      </c>
      <c r="F673" t="s">
        <v>3522</v>
      </c>
      <c r="G673">
        <v>88512585892</v>
      </c>
      <c r="H673" t="s">
        <v>3523</v>
      </c>
      <c r="I673" t="s">
        <v>49</v>
      </c>
      <c r="J673" t="s">
        <v>34</v>
      </c>
      <c r="K673">
        <v>270</v>
      </c>
      <c r="L673">
        <v>126</v>
      </c>
      <c r="M673">
        <v>0</v>
      </c>
      <c r="N673">
        <v>0</v>
      </c>
      <c r="O673">
        <v>0</v>
      </c>
      <c r="P673">
        <v>5</v>
      </c>
      <c r="Q673">
        <v>4</v>
      </c>
      <c r="R673">
        <v>2</v>
      </c>
      <c r="S673">
        <v>7</v>
      </c>
      <c r="T673">
        <v>12</v>
      </c>
      <c r="U673">
        <v>12</v>
      </c>
      <c r="V673">
        <v>12</v>
      </c>
      <c r="W673">
        <v>12</v>
      </c>
      <c r="X673">
        <v>14</v>
      </c>
      <c r="Y673">
        <v>14</v>
      </c>
      <c r="Z673">
        <v>14</v>
      </c>
      <c r="AA673">
        <v>18</v>
      </c>
      <c r="AB673" t="s">
        <v>50</v>
      </c>
      <c r="AC673" t="s">
        <v>34</v>
      </c>
      <c r="AD673" t="s">
        <v>34</v>
      </c>
      <c r="AE673">
        <v>3</v>
      </c>
      <c r="AF673">
        <v>2</v>
      </c>
      <c r="AG673" t="s">
        <v>3524</v>
      </c>
      <c r="AH673">
        <v>2</v>
      </c>
      <c r="AL673" t="s">
        <v>35</v>
      </c>
      <c r="AM673" t="s">
        <v>34</v>
      </c>
    </row>
    <row r="674" spans="1:40" x14ac:dyDescent="0.2">
      <c r="A674" s="2">
        <v>45993.719143518523</v>
      </c>
      <c r="B674" t="s">
        <v>3797</v>
      </c>
      <c r="C674" t="s">
        <v>3465</v>
      </c>
      <c r="D674" t="s">
        <v>3798</v>
      </c>
      <c r="E674" t="s">
        <v>3799</v>
      </c>
      <c r="F674" t="s">
        <v>3800</v>
      </c>
      <c r="G674" t="s">
        <v>3801</v>
      </c>
      <c r="H674" t="s">
        <v>3802</v>
      </c>
      <c r="I674" t="s">
        <v>3803</v>
      </c>
      <c r="J674" t="s">
        <v>114</v>
      </c>
      <c r="K674">
        <v>340</v>
      </c>
      <c r="L674">
        <v>16</v>
      </c>
      <c r="M674">
        <v>0</v>
      </c>
      <c r="N674">
        <v>0</v>
      </c>
      <c r="O674">
        <v>2</v>
      </c>
      <c r="P674">
        <v>0</v>
      </c>
      <c r="Q674">
        <v>0</v>
      </c>
      <c r="R674">
        <v>4</v>
      </c>
      <c r="S674">
        <v>4</v>
      </c>
      <c r="T674">
        <v>3</v>
      </c>
      <c r="U674">
        <v>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t="s">
        <v>299</v>
      </c>
      <c r="AC674" t="s">
        <v>34</v>
      </c>
      <c r="AD674" t="s">
        <v>34</v>
      </c>
      <c r="AE674">
        <v>1</v>
      </c>
      <c r="AF674">
        <v>0</v>
      </c>
      <c r="AG674" t="s">
        <v>3804</v>
      </c>
      <c r="AH674">
        <v>1</v>
      </c>
      <c r="AL674" t="s">
        <v>35</v>
      </c>
      <c r="AM674" t="s">
        <v>34</v>
      </c>
    </row>
    <row r="675" spans="1:40" x14ac:dyDescent="0.2">
      <c r="A675" s="2">
        <v>45980.588865740741</v>
      </c>
      <c r="B675" t="s">
        <v>3805</v>
      </c>
      <c r="C675" t="s">
        <v>3465</v>
      </c>
      <c r="D675" t="s">
        <v>3798</v>
      </c>
      <c r="E675" t="s">
        <v>3799</v>
      </c>
      <c r="F675" t="s">
        <v>3806</v>
      </c>
      <c r="G675" t="s">
        <v>3807</v>
      </c>
      <c r="H675" t="s">
        <v>3808</v>
      </c>
      <c r="I675" t="s">
        <v>49</v>
      </c>
      <c r="J675" t="s">
        <v>114</v>
      </c>
      <c r="K675">
        <v>285</v>
      </c>
      <c r="L675">
        <v>30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6</v>
      </c>
      <c r="U675">
        <v>6</v>
      </c>
      <c r="V675">
        <v>4</v>
      </c>
      <c r="W675">
        <v>5</v>
      </c>
      <c r="X675">
        <v>4</v>
      </c>
      <c r="Y675">
        <v>5</v>
      </c>
      <c r="Z675">
        <v>0</v>
      </c>
      <c r="AA675">
        <v>0</v>
      </c>
      <c r="AB675" t="s">
        <v>108</v>
      </c>
      <c r="AC675" t="s">
        <v>34</v>
      </c>
      <c r="AD675" t="s">
        <v>35</v>
      </c>
      <c r="AE675">
        <v>1</v>
      </c>
      <c r="AF675">
        <v>0</v>
      </c>
      <c r="AG675" t="s">
        <v>3809</v>
      </c>
      <c r="AH675">
        <v>1</v>
      </c>
      <c r="AL675" t="s">
        <v>35</v>
      </c>
      <c r="AM675" t="s">
        <v>34</v>
      </c>
    </row>
    <row r="676" spans="1:40" x14ac:dyDescent="0.2">
      <c r="A676" s="4"/>
      <c r="B676" s="4" t="s">
        <v>3964</v>
      </c>
      <c r="C676" s="4" t="s">
        <v>3465</v>
      </c>
      <c r="D676" s="4" t="s">
        <v>4001</v>
      </c>
      <c r="E676" s="4" t="s">
        <v>3965</v>
      </c>
      <c r="F676" s="4" t="s">
        <v>3966</v>
      </c>
      <c r="G676" s="4">
        <v>78782284584</v>
      </c>
      <c r="H676" s="4" t="s">
        <v>3967</v>
      </c>
      <c r="I676" s="4"/>
      <c r="J676" s="4"/>
      <c r="K676" s="27">
        <v>85.8</v>
      </c>
      <c r="L676" s="4">
        <v>33</v>
      </c>
      <c r="M676">
        <v>0</v>
      </c>
      <c r="N676">
        <v>8</v>
      </c>
      <c r="O676">
        <v>5</v>
      </c>
      <c r="P676">
        <v>8</v>
      </c>
      <c r="Q676">
        <v>8</v>
      </c>
      <c r="R676">
        <v>2</v>
      </c>
      <c r="S676">
        <v>0</v>
      </c>
      <c r="T676">
        <v>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40" x14ac:dyDescent="0.2">
      <c r="A677" s="2">
        <v>46000.573738425926</v>
      </c>
      <c r="B677" t="s">
        <v>3792</v>
      </c>
      <c r="C677" t="s">
        <v>3465</v>
      </c>
      <c r="D677" t="s">
        <v>90</v>
      </c>
      <c r="E677" t="s">
        <v>3793</v>
      </c>
      <c r="F677" t="s">
        <v>3794</v>
      </c>
      <c r="G677">
        <v>89186854601</v>
      </c>
      <c r="H677" t="s">
        <v>428</v>
      </c>
      <c r="I677" t="s">
        <v>49</v>
      </c>
      <c r="J677" t="s">
        <v>34</v>
      </c>
      <c r="K677">
        <v>400</v>
      </c>
      <c r="L677">
        <v>40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5</v>
      </c>
      <c r="S677">
        <v>5</v>
      </c>
      <c r="T677">
        <v>5</v>
      </c>
      <c r="U677">
        <v>5</v>
      </c>
      <c r="V677">
        <v>0</v>
      </c>
      <c r="W677">
        <v>0</v>
      </c>
      <c r="X677">
        <v>0</v>
      </c>
      <c r="Y677">
        <v>10</v>
      </c>
      <c r="Z677">
        <v>10</v>
      </c>
      <c r="AA677">
        <v>0</v>
      </c>
      <c r="AB677" t="s">
        <v>3795</v>
      </c>
      <c r="AC677" t="s">
        <v>34</v>
      </c>
      <c r="AD677" t="s">
        <v>35</v>
      </c>
      <c r="AE677">
        <v>3</v>
      </c>
      <c r="AF677">
        <v>0</v>
      </c>
      <c r="AG677" t="s">
        <v>3796</v>
      </c>
      <c r="AL677" t="s">
        <v>35</v>
      </c>
      <c r="AM677" t="s">
        <v>34</v>
      </c>
    </row>
    <row r="678" spans="1:40" x14ac:dyDescent="0.2">
      <c r="A678" s="2">
        <v>46000.561307870368</v>
      </c>
      <c r="B678" t="s">
        <v>3737</v>
      </c>
      <c r="C678" t="s">
        <v>3465</v>
      </c>
      <c r="D678" t="s">
        <v>90</v>
      </c>
      <c r="E678" t="s">
        <v>3738</v>
      </c>
      <c r="F678" t="s">
        <v>3739</v>
      </c>
      <c r="G678">
        <v>88614727633</v>
      </c>
      <c r="H678" t="s">
        <v>3740</v>
      </c>
      <c r="I678" t="s">
        <v>49</v>
      </c>
      <c r="J678" t="s">
        <v>34</v>
      </c>
      <c r="K678">
        <v>300</v>
      </c>
      <c r="L678">
        <v>10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3</v>
      </c>
      <c r="W678">
        <v>2</v>
      </c>
      <c r="X678">
        <v>3</v>
      </c>
      <c r="Y678">
        <v>1</v>
      </c>
      <c r="Z678">
        <v>0</v>
      </c>
      <c r="AA678">
        <v>0</v>
      </c>
      <c r="AB678" t="s">
        <v>3741</v>
      </c>
      <c r="AC678" t="s">
        <v>35</v>
      </c>
      <c r="AD678" t="s">
        <v>35</v>
      </c>
      <c r="AE678">
        <v>1</v>
      </c>
      <c r="AF678">
        <v>0</v>
      </c>
      <c r="AG678" t="s">
        <v>3736</v>
      </c>
      <c r="AL678" t="s">
        <v>35</v>
      </c>
      <c r="AM678" t="s">
        <v>34</v>
      </c>
    </row>
    <row r="679" spans="1:40" x14ac:dyDescent="0.2">
      <c r="A679" s="2">
        <v>46000.690682870372</v>
      </c>
      <c r="B679" t="s">
        <v>3988</v>
      </c>
      <c r="C679" t="s">
        <v>3465</v>
      </c>
      <c r="D679" t="s">
        <v>90</v>
      </c>
      <c r="E679" t="s">
        <v>3989</v>
      </c>
      <c r="F679" t="s">
        <v>3990</v>
      </c>
      <c r="G679" t="s">
        <v>3991</v>
      </c>
      <c r="H679" t="s">
        <v>3992</v>
      </c>
      <c r="I679" t="s">
        <v>49</v>
      </c>
      <c r="J679" t="s">
        <v>34</v>
      </c>
      <c r="K679">
        <v>145</v>
      </c>
      <c r="L679">
        <v>30</v>
      </c>
      <c r="M679">
        <v>0</v>
      </c>
      <c r="N679">
        <v>0</v>
      </c>
      <c r="O679">
        <v>5</v>
      </c>
      <c r="P679">
        <v>2</v>
      </c>
      <c r="Q679">
        <v>1</v>
      </c>
      <c r="R679">
        <v>3</v>
      </c>
      <c r="S679">
        <v>4</v>
      </c>
      <c r="T679">
        <v>0</v>
      </c>
      <c r="U679">
        <v>4</v>
      </c>
      <c r="V679">
        <v>4</v>
      </c>
      <c r="W679">
        <v>4</v>
      </c>
      <c r="X679">
        <v>3</v>
      </c>
      <c r="Y679">
        <v>0</v>
      </c>
      <c r="Z679">
        <v>0</v>
      </c>
      <c r="AA679">
        <v>0</v>
      </c>
      <c r="AB679" t="s">
        <v>50</v>
      </c>
      <c r="AC679" t="s">
        <v>35</v>
      </c>
      <c r="AD679" t="s">
        <v>34</v>
      </c>
      <c r="AE679">
        <v>2</v>
      </c>
      <c r="AF679">
        <v>0</v>
      </c>
      <c r="AG679" t="s">
        <v>3993</v>
      </c>
      <c r="AL679" t="s">
        <v>35</v>
      </c>
      <c r="AM679" t="s">
        <v>34</v>
      </c>
    </row>
    <row r="680" spans="1:40" x14ac:dyDescent="0.2">
      <c r="B680" t="s">
        <v>3755</v>
      </c>
      <c r="C680" t="s">
        <v>3465</v>
      </c>
      <c r="D680" t="s">
        <v>90</v>
      </c>
      <c r="E680" t="s">
        <v>3756</v>
      </c>
      <c r="F680" t="s">
        <v>3757</v>
      </c>
      <c r="G680" t="s">
        <v>3758</v>
      </c>
      <c r="H680" t="s">
        <v>3759</v>
      </c>
      <c r="I680" t="s">
        <v>49</v>
      </c>
      <c r="J680" t="s">
        <v>34</v>
      </c>
      <c r="K680">
        <v>185</v>
      </c>
      <c r="L680">
        <v>10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1</v>
      </c>
      <c r="V680">
        <v>3</v>
      </c>
      <c r="W680">
        <v>3</v>
      </c>
      <c r="X680">
        <v>1</v>
      </c>
      <c r="Y680">
        <v>1</v>
      </c>
      <c r="Z680">
        <v>0</v>
      </c>
      <c r="AA680">
        <v>0</v>
      </c>
      <c r="AB680" t="s">
        <v>50</v>
      </c>
      <c r="AC680" t="s">
        <v>35</v>
      </c>
      <c r="AD680" t="s">
        <v>34</v>
      </c>
      <c r="AE680">
        <v>2</v>
      </c>
      <c r="AF680">
        <v>0</v>
      </c>
      <c r="AG680" t="s">
        <v>3760</v>
      </c>
      <c r="AL680" t="s">
        <v>35</v>
      </c>
      <c r="AM680" t="s">
        <v>34</v>
      </c>
    </row>
    <row r="681" spans="1:40" x14ac:dyDescent="0.2">
      <c r="A681" s="2">
        <v>46000.657731481479</v>
      </c>
      <c r="B681" t="s">
        <v>3464</v>
      </c>
      <c r="C681" t="s">
        <v>3465</v>
      </c>
      <c r="D681" t="s">
        <v>90</v>
      </c>
      <c r="E681" t="s">
        <v>3466</v>
      </c>
      <c r="F681" t="s">
        <v>3467</v>
      </c>
      <c r="G681" t="s">
        <v>3468</v>
      </c>
      <c r="H681" t="s">
        <v>3469</v>
      </c>
      <c r="I681" t="s">
        <v>49</v>
      </c>
      <c r="J681" t="s">
        <v>34</v>
      </c>
      <c r="K681">
        <v>316</v>
      </c>
      <c r="L681">
        <v>28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2</v>
      </c>
      <c r="T681">
        <v>4</v>
      </c>
      <c r="U681">
        <v>2</v>
      </c>
      <c r="V681">
        <v>6</v>
      </c>
      <c r="W681">
        <v>4</v>
      </c>
      <c r="X681">
        <v>3</v>
      </c>
      <c r="Y681">
        <v>2</v>
      </c>
      <c r="Z681">
        <v>4</v>
      </c>
      <c r="AA681">
        <v>0</v>
      </c>
      <c r="AB681" t="s">
        <v>50</v>
      </c>
      <c r="AC681" t="s">
        <v>35</v>
      </c>
      <c r="AD681" t="s">
        <v>34</v>
      </c>
      <c r="AE681">
        <v>1</v>
      </c>
      <c r="AF681">
        <v>0</v>
      </c>
      <c r="AG681" t="s">
        <v>3470</v>
      </c>
      <c r="AL681" t="s">
        <v>35</v>
      </c>
      <c r="AM681" t="s">
        <v>34</v>
      </c>
    </row>
    <row r="682" spans="1:40" x14ac:dyDescent="0.2">
      <c r="A682" s="2">
        <v>45986.736307870371</v>
      </c>
      <c r="B682" t="s">
        <v>3483</v>
      </c>
      <c r="C682" t="s">
        <v>3465</v>
      </c>
      <c r="D682" t="s">
        <v>90</v>
      </c>
      <c r="E682" t="s">
        <v>3484</v>
      </c>
      <c r="F682" t="s">
        <v>3485</v>
      </c>
      <c r="G682" t="s">
        <v>3486</v>
      </c>
      <c r="H682" t="s">
        <v>3487</v>
      </c>
      <c r="I682" t="s">
        <v>33</v>
      </c>
      <c r="J682" t="s">
        <v>34</v>
      </c>
      <c r="K682">
        <v>130</v>
      </c>
      <c r="L682">
        <v>38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2</v>
      </c>
      <c r="T682">
        <v>3</v>
      </c>
      <c r="U682">
        <v>7</v>
      </c>
      <c r="V682">
        <v>5</v>
      </c>
      <c r="W682">
        <v>6</v>
      </c>
      <c r="X682">
        <v>7</v>
      </c>
      <c r="Y682">
        <v>8</v>
      </c>
      <c r="Z682">
        <v>0</v>
      </c>
      <c r="AA682">
        <v>0</v>
      </c>
      <c r="AB682" t="s">
        <v>50</v>
      </c>
      <c r="AC682" t="s">
        <v>35</v>
      </c>
      <c r="AD682" t="s">
        <v>35</v>
      </c>
      <c r="AE682">
        <v>2</v>
      </c>
      <c r="AF682">
        <v>0</v>
      </c>
      <c r="AG682" t="s">
        <v>3488</v>
      </c>
      <c r="AL682" t="s">
        <v>35</v>
      </c>
      <c r="AM682" t="s">
        <v>34</v>
      </c>
    </row>
    <row r="683" spans="1:40" x14ac:dyDescent="0.2">
      <c r="A683" s="2">
        <v>45998.925520833327</v>
      </c>
      <c r="B683" t="s">
        <v>3489</v>
      </c>
      <c r="C683" t="s">
        <v>3465</v>
      </c>
      <c r="D683" t="s">
        <v>90</v>
      </c>
      <c r="E683" t="s">
        <v>3484</v>
      </c>
      <c r="F683" t="s">
        <v>3490</v>
      </c>
      <c r="G683" t="s">
        <v>3491</v>
      </c>
      <c r="H683" t="s">
        <v>3492</v>
      </c>
      <c r="I683" t="s">
        <v>49</v>
      </c>
      <c r="J683" t="s">
        <v>34</v>
      </c>
      <c r="K683">
        <v>550</v>
      </c>
      <c r="L683">
        <v>62</v>
      </c>
      <c r="M683">
        <v>0</v>
      </c>
      <c r="N683">
        <v>0</v>
      </c>
      <c r="O683">
        <v>0</v>
      </c>
      <c r="P683">
        <v>3</v>
      </c>
      <c r="Q683">
        <v>1</v>
      </c>
      <c r="R683">
        <v>4</v>
      </c>
      <c r="S683">
        <v>6</v>
      </c>
      <c r="T683">
        <v>5</v>
      </c>
      <c r="U683">
        <v>7</v>
      </c>
      <c r="V683">
        <v>2</v>
      </c>
      <c r="W683">
        <v>3</v>
      </c>
      <c r="X683">
        <v>14</v>
      </c>
      <c r="Y683">
        <v>14</v>
      </c>
      <c r="Z683">
        <v>3</v>
      </c>
      <c r="AA683">
        <v>0</v>
      </c>
      <c r="AB683" t="s">
        <v>50</v>
      </c>
      <c r="AC683" t="s">
        <v>35</v>
      </c>
      <c r="AD683" t="s">
        <v>35</v>
      </c>
      <c r="AE683">
        <v>3</v>
      </c>
      <c r="AF683">
        <v>1</v>
      </c>
      <c r="AG683" t="s">
        <v>3493</v>
      </c>
      <c r="AL683" t="s">
        <v>35</v>
      </c>
      <c r="AM683" t="s">
        <v>34</v>
      </c>
    </row>
    <row r="684" spans="1:40" x14ac:dyDescent="0.2">
      <c r="A684" s="2">
        <v>45979.706331018519</v>
      </c>
      <c r="B684" t="s">
        <v>3494</v>
      </c>
      <c r="C684" t="s">
        <v>3465</v>
      </c>
      <c r="D684" t="s">
        <v>90</v>
      </c>
      <c r="E684" t="s">
        <v>3495</v>
      </c>
      <c r="F684" t="s">
        <v>3496</v>
      </c>
      <c r="G684" t="s">
        <v>3497</v>
      </c>
      <c r="H684" t="s">
        <v>3498</v>
      </c>
      <c r="I684" t="s">
        <v>49</v>
      </c>
      <c r="J684" t="s">
        <v>34</v>
      </c>
      <c r="K684">
        <v>393</v>
      </c>
      <c r="L684">
        <v>15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</v>
      </c>
      <c r="S684">
        <v>7</v>
      </c>
      <c r="T684">
        <v>0</v>
      </c>
      <c r="U684">
        <v>3</v>
      </c>
      <c r="V684">
        <v>2</v>
      </c>
      <c r="W684">
        <v>1</v>
      </c>
      <c r="X684">
        <v>0</v>
      </c>
      <c r="Y684">
        <v>0</v>
      </c>
      <c r="Z684">
        <v>0</v>
      </c>
      <c r="AA684">
        <v>0</v>
      </c>
      <c r="AB684" t="s">
        <v>189</v>
      </c>
      <c r="AC684" t="s">
        <v>35</v>
      </c>
      <c r="AD684" t="s">
        <v>35</v>
      </c>
      <c r="AE684">
        <v>3</v>
      </c>
      <c r="AF684">
        <v>0</v>
      </c>
      <c r="AG684" t="s">
        <v>48</v>
      </c>
      <c r="AL684" t="s">
        <v>35</v>
      </c>
      <c r="AM684" t="s">
        <v>34</v>
      </c>
    </row>
    <row r="685" spans="1:40" x14ac:dyDescent="0.2">
      <c r="A685" s="2">
        <v>45993.656157407408</v>
      </c>
      <c r="B685" t="s">
        <v>3499</v>
      </c>
      <c r="C685" t="s">
        <v>3465</v>
      </c>
      <c r="D685" t="s">
        <v>90</v>
      </c>
      <c r="E685" t="s">
        <v>3500</v>
      </c>
      <c r="F685" t="s">
        <v>3501</v>
      </c>
      <c r="G685" t="s">
        <v>3502</v>
      </c>
      <c r="H685" t="s">
        <v>3503</v>
      </c>
      <c r="I685" t="s">
        <v>49</v>
      </c>
      <c r="J685" t="s">
        <v>34</v>
      </c>
      <c r="K685">
        <v>358</v>
      </c>
      <c r="L685">
        <v>73</v>
      </c>
      <c r="M685">
        <v>0</v>
      </c>
      <c r="N685">
        <v>0</v>
      </c>
      <c r="O685">
        <v>0</v>
      </c>
      <c r="P685">
        <v>0</v>
      </c>
      <c r="Q685">
        <v>2</v>
      </c>
      <c r="R685">
        <v>4</v>
      </c>
      <c r="S685">
        <v>2</v>
      </c>
      <c r="T685">
        <v>6</v>
      </c>
      <c r="U685">
        <v>13</v>
      </c>
      <c r="V685">
        <v>10</v>
      </c>
      <c r="W685">
        <v>8</v>
      </c>
      <c r="X685">
        <v>7</v>
      </c>
      <c r="Y685">
        <v>11</v>
      </c>
      <c r="Z685">
        <v>7</v>
      </c>
      <c r="AA685">
        <v>3</v>
      </c>
      <c r="AB685" t="s">
        <v>108</v>
      </c>
      <c r="AC685" t="s">
        <v>35</v>
      </c>
      <c r="AD685" t="s">
        <v>35</v>
      </c>
      <c r="AE685">
        <v>2</v>
      </c>
      <c r="AF685">
        <v>0</v>
      </c>
      <c r="AG685" t="s">
        <v>3504</v>
      </c>
      <c r="AL685" t="s">
        <v>35</v>
      </c>
      <c r="AM685" t="s">
        <v>34</v>
      </c>
      <c r="AN685" t="s">
        <v>34</v>
      </c>
    </row>
    <row r="686" spans="1:40" x14ac:dyDescent="0.2">
      <c r="A686" t="s">
        <v>3512</v>
      </c>
      <c r="B686" t="s">
        <v>3513</v>
      </c>
      <c r="C686" t="s">
        <v>3465</v>
      </c>
      <c r="D686" t="s">
        <v>90</v>
      </c>
      <c r="E686" t="s">
        <v>3514</v>
      </c>
      <c r="F686" t="s">
        <v>3515</v>
      </c>
      <c r="G686" t="s">
        <v>3516</v>
      </c>
      <c r="H686" t="s">
        <v>3517</v>
      </c>
      <c r="I686" t="s">
        <v>49</v>
      </c>
      <c r="J686" t="s">
        <v>34</v>
      </c>
      <c r="K686">
        <v>781</v>
      </c>
      <c r="L686">
        <v>41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15</v>
      </c>
      <c r="W686">
        <v>16</v>
      </c>
      <c r="X686">
        <v>10</v>
      </c>
      <c r="Y686">
        <v>0</v>
      </c>
      <c r="Z686">
        <v>0</v>
      </c>
      <c r="AA686">
        <v>0</v>
      </c>
      <c r="AB686" t="s">
        <v>94</v>
      </c>
      <c r="AC686" t="s">
        <v>35</v>
      </c>
      <c r="AD686" t="s">
        <v>35</v>
      </c>
      <c r="AE686">
        <v>1</v>
      </c>
      <c r="AF686">
        <v>1</v>
      </c>
      <c r="AG686" t="s">
        <v>3518</v>
      </c>
      <c r="AL686" t="s">
        <v>35</v>
      </c>
      <c r="AM686" t="s">
        <v>35</v>
      </c>
      <c r="AN686" t="s">
        <v>34</v>
      </c>
    </row>
    <row r="687" spans="1:40" x14ac:dyDescent="0.2">
      <c r="A687" s="2">
        <v>46000.670624999999</v>
      </c>
      <c r="B687" t="s">
        <v>3540</v>
      </c>
      <c r="C687" t="s">
        <v>3465</v>
      </c>
      <c r="D687" t="s">
        <v>90</v>
      </c>
      <c r="E687" t="s">
        <v>3541</v>
      </c>
      <c r="F687" t="s">
        <v>3542</v>
      </c>
      <c r="G687" t="s">
        <v>3543</v>
      </c>
      <c r="H687" t="s">
        <v>3544</v>
      </c>
      <c r="I687" t="s">
        <v>49</v>
      </c>
      <c r="J687" t="s">
        <v>34</v>
      </c>
      <c r="K687">
        <v>128</v>
      </c>
      <c r="L687">
        <v>19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2</v>
      </c>
      <c r="U687">
        <v>2</v>
      </c>
      <c r="V687">
        <v>4</v>
      </c>
      <c r="W687">
        <v>1</v>
      </c>
      <c r="X687">
        <v>4</v>
      </c>
      <c r="Y687">
        <v>5</v>
      </c>
      <c r="Z687">
        <v>1</v>
      </c>
      <c r="AA687">
        <v>0</v>
      </c>
      <c r="AB687" t="s">
        <v>50</v>
      </c>
      <c r="AC687" t="s">
        <v>35</v>
      </c>
      <c r="AD687" t="s">
        <v>34</v>
      </c>
      <c r="AE687">
        <v>3</v>
      </c>
      <c r="AF687">
        <v>0</v>
      </c>
      <c r="AG687" t="s">
        <v>3545</v>
      </c>
      <c r="AL687" t="s">
        <v>35</v>
      </c>
      <c r="AM687" t="s">
        <v>34</v>
      </c>
    </row>
    <row r="688" spans="1:40" x14ac:dyDescent="0.2">
      <c r="A688" s="2">
        <v>45979.619699074072</v>
      </c>
      <c r="B688" t="s">
        <v>3554</v>
      </c>
      <c r="C688" t="s">
        <v>3465</v>
      </c>
      <c r="D688" t="s">
        <v>90</v>
      </c>
      <c r="E688" t="s">
        <v>3555</v>
      </c>
      <c r="F688" t="s">
        <v>3556</v>
      </c>
      <c r="G688" t="s">
        <v>3557</v>
      </c>
      <c r="H688" t="s">
        <v>3558</v>
      </c>
      <c r="I688" t="s">
        <v>49</v>
      </c>
      <c r="J688" t="s">
        <v>34</v>
      </c>
      <c r="K688">
        <v>269</v>
      </c>
      <c r="L688">
        <v>158</v>
      </c>
      <c r="M688">
        <v>0</v>
      </c>
      <c r="N688">
        <v>0</v>
      </c>
      <c r="O688">
        <v>0</v>
      </c>
      <c r="P688">
        <v>0</v>
      </c>
      <c r="Q688">
        <v>3</v>
      </c>
      <c r="R688">
        <v>16</v>
      </c>
      <c r="S688">
        <v>15</v>
      </c>
      <c r="T688">
        <v>10</v>
      </c>
      <c r="U688">
        <v>16</v>
      </c>
      <c r="V688">
        <v>26</v>
      </c>
      <c r="W688">
        <v>34</v>
      </c>
      <c r="X688">
        <v>26</v>
      </c>
      <c r="Y688">
        <v>12</v>
      </c>
      <c r="Z688">
        <v>0</v>
      </c>
      <c r="AA688">
        <v>0</v>
      </c>
      <c r="AB688" t="s">
        <v>50</v>
      </c>
      <c r="AC688" t="s">
        <v>35</v>
      </c>
      <c r="AD688" t="s">
        <v>35</v>
      </c>
      <c r="AE688">
        <v>2</v>
      </c>
      <c r="AF688">
        <v>0</v>
      </c>
      <c r="AG688">
        <v>0</v>
      </c>
      <c r="AL688" t="s">
        <v>35</v>
      </c>
      <c r="AM688" t="s">
        <v>34</v>
      </c>
      <c r="AN688" t="s">
        <v>3559</v>
      </c>
    </row>
    <row r="689" spans="1:40" x14ac:dyDescent="0.2">
      <c r="A689" s="2">
        <v>46000.826562499999</v>
      </c>
      <c r="B689" t="s">
        <v>3564</v>
      </c>
      <c r="C689" t="s">
        <v>3465</v>
      </c>
      <c r="D689" t="s">
        <v>90</v>
      </c>
      <c r="E689" t="s">
        <v>3565</v>
      </c>
      <c r="F689" t="s">
        <v>3566</v>
      </c>
      <c r="G689" t="s">
        <v>3567</v>
      </c>
      <c r="H689" t="s">
        <v>3568</v>
      </c>
      <c r="I689" t="s">
        <v>49</v>
      </c>
      <c r="J689" t="s">
        <v>34</v>
      </c>
      <c r="K689">
        <v>128</v>
      </c>
      <c r="L689">
        <v>12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2</v>
      </c>
      <c r="W689">
        <v>5</v>
      </c>
      <c r="X689">
        <v>3</v>
      </c>
      <c r="Y689">
        <v>2</v>
      </c>
      <c r="Z689">
        <v>0</v>
      </c>
      <c r="AA689">
        <v>0</v>
      </c>
      <c r="AB689" t="s">
        <v>50</v>
      </c>
      <c r="AC689" t="s">
        <v>35</v>
      </c>
      <c r="AD689" t="s">
        <v>34</v>
      </c>
      <c r="AE689">
        <v>2</v>
      </c>
      <c r="AF689">
        <v>0</v>
      </c>
      <c r="AG689" t="s">
        <v>3569</v>
      </c>
      <c r="AL689" t="s">
        <v>35</v>
      </c>
      <c r="AM689" t="s">
        <v>34</v>
      </c>
    </row>
    <row r="690" spans="1:40" x14ac:dyDescent="0.2">
      <c r="A690" s="2">
        <v>45993.777118055557</v>
      </c>
      <c r="B690" t="s">
        <v>3608</v>
      </c>
      <c r="C690" t="s">
        <v>3465</v>
      </c>
      <c r="D690" t="s">
        <v>90</v>
      </c>
      <c r="E690" t="s">
        <v>3609</v>
      </c>
      <c r="F690" t="s">
        <v>3610</v>
      </c>
      <c r="G690">
        <v>88614165191</v>
      </c>
      <c r="H690" t="s">
        <v>3611</v>
      </c>
      <c r="I690" t="s">
        <v>49</v>
      </c>
      <c r="J690" t="s">
        <v>34</v>
      </c>
      <c r="K690">
        <v>600</v>
      </c>
      <c r="L690">
        <v>61</v>
      </c>
      <c r="M690">
        <v>0</v>
      </c>
      <c r="N690">
        <v>0</v>
      </c>
      <c r="O690">
        <v>0</v>
      </c>
      <c r="P690">
        <v>1</v>
      </c>
      <c r="Q690">
        <v>3</v>
      </c>
      <c r="R690">
        <v>2</v>
      </c>
      <c r="S690">
        <v>10</v>
      </c>
      <c r="T690">
        <v>10</v>
      </c>
      <c r="U690">
        <v>8</v>
      </c>
      <c r="V690">
        <v>8</v>
      </c>
      <c r="W690">
        <v>10</v>
      </c>
      <c r="X690">
        <v>2</v>
      </c>
      <c r="Y690">
        <v>4</v>
      </c>
      <c r="Z690">
        <v>1</v>
      </c>
      <c r="AA690">
        <v>2</v>
      </c>
      <c r="AB690" t="s">
        <v>255</v>
      </c>
      <c r="AC690" t="s">
        <v>34</v>
      </c>
      <c r="AD690" t="s">
        <v>34</v>
      </c>
      <c r="AE690">
        <v>1</v>
      </c>
      <c r="AF690">
        <v>1</v>
      </c>
      <c r="AG690" t="s">
        <v>3612</v>
      </c>
      <c r="AL690" t="s">
        <v>35</v>
      </c>
      <c r="AM690" t="s">
        <v>34</v>
      </c>
      <c r="AN690" t="s">
        <v>3613</v>
      </c>
    </row>
    <row r="691" spans="1:40" x14ac:dyDescent="0.2">
      <c r="A691" s="2">
        <v>45999.630115740743</v>
      </c>
      <c r="B691" t="s">
        <v>3614</v>
      </c>
      <c r="C691" t="s">
        <v>3465</v>
      </c>
      <c r="D691" t="s">
        <v>90</v>
      </c>
      <c r="E691" t="s">
        <v>3615</v>
      </c>
      <c r="F691" t="s">
        <v>3616</v>
      </c>
      <c r="G691">
        <v>88614165191</v>
      </c>
      <c r="H691" t="s">
        <v>3617</v>
      </c>
      <c r="I691" t="s">
        <v>49</v>
      </c>
      <c r="J691" t="s">
        <v>34</v>
      </c>
      <c r="K691">
        <v>466</v>
      </c>
      <c r="L691">
        <v>59</v>
      </c>
      <c r="M691">
        <v>0</v>
      </c>
      <c r="N691">
        <v>0</v>
      </c>
      <c r="O691">
        <v>0</v>
      </c>
      <c r="P691">
        <v>2</v>
      </c>
      <c r="Q691">
        <v>3</v>
      </c>
      <c r="R691">
        <v>2</v>
      </c>
      <c r="S691">
        <v>14</v>
      </c>
      <c r="T691">
        <v>8</v>
      </c>
      <c r="U691">
        <v>10</v>
      </c>
      <c r="V691">
        <v>7</v>
      </c>
      <c r="W691">
        <v>6</v>
      </c>
      <c r="X691">
        <v>2</v>
      </c>
      <c r="Y691">
        <v>5</v>
      </c>
      <c r="Z691">
        <v>0</v>
      </c>
      <c r="AA691">
        <v>0</v>
      </c>
      <c r="AB691" t="s">
        <v>50</v>
      </c>
      <c r="AC691" t="s">
        <v>34</v>
      </c>
      <c r="AD691" t="s">
        <v>34</v>
      </c>
      <c r="AE691">
        <v>1</v>
      </c>
      <c r="AF691">
        <v>1</v>
      </c>
      <c r="AG691" t="s">
        <v>3618</v>
      </c>
      <c r="AL691" t="s">
        <v>35</v>
      </c>
      <c r="AM691" t="s">
        <v>34</v>
      </c>
    </row>
    <row r="692" spans="1:40" x14ac:dyDescent="0.2">
      <c r="A692" s="2">
        <v>46000.698784722219</v>
      </c>
      <c r="B692" t="s">
        <v>3623</v>
      </c>
      <c r="C692" t="s">
        <v>3465</v>
      </c>
      <c r="D692" t="s">
        <v>90</v>
      </c>
      <c r="E692" t="s">
        <v>3624</v>
      </c>
      <c r="F692" t="s">
        <v>3625</v>
      </c>
      <c r="G692" t="s">
        <v>3626</v>
      </c>
      <c r="H692" t="s">
        <v>3627</v>
      </c>
      <c r="I692" t="s">
        <v>49</v>
      </c>
      <c r="J692" t="s">
        <v>34</v>
      </c>
      <c r="K692">
        <v>298</v>
      </c>
      <c r="L692">
        <v>21</v>
      </c>
      <c r="M692">
        <v>0</v>
      </c>
      <c r="N692">
        <v>0</v>
      </c>
      <c r="O692">
        <v>0</v>
      </c>
      <c r="P692">
        <v>0</v>
      </c>
      <c r="Q692">
        <v>2</v>
      </c>
      <c r="R692">
        <v>2</v>
      </c>
      <c r="S692">
        <v>2</v>
      </c>
      <c r="T692">
        <v>0</v>
      </c>
      <c r="U692">
        <v>3</v>
      </c>
      <c r="V692">
        <v>4</v>
      </c>
      <c r="W692">
        <v>1</v>
      </c>
      <c r="X692">
        <v>1</v>
      </c>
      <c r="Y692">
        <v>6</v>
      </c>
      <c r="Z692">
        <v>0</v>
      </c>
      <c r="AA692">
        <v>0</v>
      </c>
      <c r="AB692" t="s">
        <v>50</v>
      </c>
      <c r="AC692" t="s">
        <v>35</v>
      </c>
      <c r="AD692" t="s">
        <v>35</v>
      </c>
      <c r="AE692">
        <v>3</v>
      </c>
      <c r="AF692">
        <v>0</v>
      </c>
      <c r="AG692" t="s">
        <v>3628</v>
      </c>
      <c r="AL692" t="s">
        <v>35</v>
      </c>
      <c r="AM692" t="s">
        <v>34</v>
      </c>
    </row>
    <row r="693" spans="1:40" x14ac:dyDescent="0.2">
      <c r="A693" s="2">
        <v>46000.81287037037</v>
      </c>
      <c r="B693" t="s">
        <v>3629</v>
      </c>
      <c r="C693" t="s">
        <v>3465</v>
      </c>
      <c r="D693" t="s">
        <v>90</v>
      </c>
      <c r="E693" t="s">
        <v>3630</v>
      </c>
      <c r="F693" t="s">
        <v>3631</v>
      </c>
      <c r="G693">
        <v>88616229970</v>
      </c>
      <c r="H693" t="s">
        <v>3632</v>
      </c>
      <c r="I693" t="s">
        <v>49</v>
      </c>
      <c r="J693" t="s">
        <v>34</v>
      </c>
      <c r="K693">
        <v>373</v>
      </c>
      <c r="L693">
        <v>16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2</v>
      </c>
      <c r="S693">
        <v>1</v>
      </c>
      <c r="T693">
        <v>3</v>
      </c>
      <c r="U693">
        <v>4</v>
      </c>
      <c r="V693">
        <v>1</v>
      </c>
      <c r="W693">
        <v>4</v>
      </c>
      <c r="X693">
        <v>0</v>
      </c>
      <c r="Y693">
        <v>0</v>
      </c>
      <c r="Z693">
        <v>0</v>
      </c>
      <c r="AA693">
        <v>0</v>
      </c>
      <c r="AB693" t="s">
        <v>50</v>
      </c>
      <c r="AC693" t="s">
        <v>35</v>
      </c>
      <c r="AD693" t="s">
        <v>34</v>
      </c>
      <c r="AE693">
        <v>1</v>
      </c>
      <c r="AF693">
        <v>0</v>
      </c>
      <c r="AG693" t="s">
        <v>3633</v>
      </c>
      <c r="AL693" t="s">
        <v>35</v>
      </c>
      <c r="AM693" t="s">
        <v>34</v>
      </c>
    </row>
    <row r="694" spans="1:40" x14ac:dyDescent="0.2">
      <c r="A694" s="2">
        <v>45979.958090277767</v>
      </c>
      <c r="B694" t="s">
        <v>3634</v>
      </c>
      <c r="C694" t="s">
        <v>3465</v>
      </c>
      <c r="D694" t="s">
        <v>90</v>
      </c>
      <c r="E694" t="s">
        <v>3635</v>
      </c>
      <c r="F694" t="s">
        <v>3636</v>
      </c>
      <c r="G694">
        <v>79102166669</v>
      </c>
      <c r="H694" t="s">
        <v>3637</v>
      </c>
      <c r="I694" t="s">
        <v>3638</v>
      </c>
      <c r="J694" t="s">
        <v>34</v>
      </c>
      <c r="K694">
        <v>120</v>
      </c>
      <c r="L694">
        <v>30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3</v>
      </c>
      <c r="V694">
        <v>7</v>
      </c>
      <c r="W694">
        <v>6</v>
      </c>
      <c r="X694">
        <v>6</v>
      </c>
      <c r="Y694">
        <v>4</v>
      </c>
      <c r="Z694">
        <v>2</v>
      </c>
      <c r="AA694">
        <v>1</v>
      </c>
      <c r="AB694" t="s">
        <v>108</v>
      </c>
      <c r="AC694" t="s">
        <v>35</v>
      </c>
      <c r="AD694" t="s">
        <v>34</v>
      </c>
      <c r="AE694">
        <v>1</v>
      </c>
      <c r="AF694">
        <v>0</v>
      </c>
      <c r="AG694" t="s">
        <v>3639</v>
      </c>
      <c r="AL694" t="s">
        <v>34</v>
      </c>
      <c r="AM694" t="s">
        <v>34</v>
      </c>
      <c r="AN694" t="s">
        <v>3640</v>
      </c>
    </row>
    <row r="695" spans="1:40" x14ac:dyDescent="0.2">
      <c r="A695" s="2">
        <v>45979.561018518521</v>
      </c>
      <c r="B695" t="s">
        <v>3653</v>
      </c>
      <c r="C695" t="s">
        <v>3465</v>
      </c>
      <c r="D695" t="s">
        <v>90</v>
      </c>
      <c r="E695" t="s">
        <v>3654</v>
      </c>
      <c r="F695" t="s">
        <v>3655</v>
      </c>
      <c r="G695">
        <v>88616321602</v>
      </c>
      <c r="H695" t="s">
        <v>3656</v>
      </c>
      <c r="I695" t="s">
        <v>49</v>
      </c>
      <c r="J695" t="s">
        <v>34</v>
      </c>
      <c r="K695">
        <v>500</v>
      </c>
      <c r="L695">
        <v>47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1</v>
      </c>
      <c r="S695">
        <v>3</v>
      </c>
      <c r="T695">
        <v>10</v>
      </c>
      <c r="U695">
        <v>7</v>
      </c>
      <c r="V695">
        <v>5</v>
      </c>
      <c r="W695">
        <v>6</v>
      </c>
      <c r="X695">
        <v>10</v>
      </c>
      <c r="Y695">
        <v>3</v>
      </c>
      <c r="Z695">
        <v>0</v>
      </c>
      <c r="AA695">
        <v>1</v>
      </c>
      <c r="AB695" t="s">
        <v>108</v>
      </c>
      <c r="AC695" t="s">
        <v>35</v>
      </c>
      <c r="AD695" t="s">
        <v>34</v>
      </c>
      <c r="AE695">
        <v>0</v>
      </c>
      <c r="AF695">
        <v>0</v>
      </c>
      <c r="AG695" t="s">
        <v>48</v>
      </c>
      <c r="AL695" t="s">
        <v>35</v>
      </c>
      <c r="AM695" t="s">
        <v>34</v>
      </c>
      <c r="AN695" t="s">
        <v>3657</v>
      </c>
    </row>
    <row r="696" spans="1:40" x14ac:dyDescent="0.2">
      <c r="A696" s="2">
        <v>45979.476956018523</v>
      </c>
      <c r="B696" t="s">
        <v>3658</v>
      </c>
      <c r="C696" t="s">
        <v>3465</v>
      </c>
      <c r="D696" t="s">
        <v>90</v>
      </c>
      <c r="E696" t="s">
        <v>3659</v>
      </c>
      <c r="F696" t="s">
        <v>3660</v>
      </c>
      <c r="G696" t="s">
        <v>3661</v>
      </c>
      <c r="H696" t="s">
        <v>3662</v>
      </c>
      <c r="I696" t="s">
        <v>49</v>
      </c>
      <c r="J696" t="s">
        <v>34</v>
      </c>
      <c r="K696">
        <v>228</v>
      </c>
      <c r="L696">
        <v>29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7</v>
      </c>
      <c r="S696">
        <v>2</v>
      </c>
      <c r="T696">
        <v>1</v>
      </c>
      <c r="U696">
        <v>2</v>
      </c>
      <c r="V696">
        <v>11</v>
      </c>
      <c r="W696">
        <v>6</v>
      </c>
      <c r="X696">
        <v>0</v>
      </c>
      <c r="Y696">
        <v>0</v>
      </c>
      <c r="Z696">
        <v>0</v>
      </c>
      <c r="AA696">
        <v>0</v>
      </c>
      <c r="AB696" t="s">
        <v>50</v>
      </c>
      <c r="AC696" t="s">
        <v>35</v>
      </c>
      <c r="AD696" t="s">
        <v>34</v>
      </c>
      <c r="AE696">
        <v>3</v>
      </c>
      <c r="AF696">
        <v>0</v>
      </c>
      <c r="AG696" t="s">
        <v>48</v>
      </c>
      <c r="AL696" t="s">
        <v>35</v>
      </c>
      <c r="AM696" t="s">
        <v>34</v>
      </c>
    </row>
    <row r="697" spans="1:40" x14ac:dyDescent="0.2">
      <c r="A697" s="2">
        <v>45979.509120370371</v>
      </c>
      <c r="B697" t="s">
        <v>3673</v>
      </c>
      <c r="C697" t="s">
        <v>3465</v>
      </c>
      <c r="D697" t="s">
        <v>90</v>
      </c>
      <c r="E697" t="s">
        <v>3674</v>
      </c>
      <c r="F697" t="s">
        <v>3675</v>
      </c>
      <c r="G697">
        <v>88614067065</v>
      </c>
      <c r="H697" t="s">
        <v>3676</v>
      </c>
      <c r="I697" t="s">
        <v>49</v>
      </c>
      <c r="J697" t="s">
        <v>34</v>
      </c>
      <c r="K697">
        <v>29</v>
      </c>
      <c r="L697">
        <v>10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</v>
      </c>
      <c r="U697">
        <v>1</v>
      </c>
      <c r="V697">
        <v>1</v>
      </c>
      <c r="W697">
        <v>0</v>
      </c>
      <c r="X697">
        <v>4</v>
      </c>
      <c r="Y697">
        <v>2</v>
      </c>
      <c r="Z697">
        <v>0</v>
      </c>
      <c r="AA697">
        <v>0</v>
      </c>
      <c r="AB697" t="s">
        <v>94</v>
      </c>
      <c r="AC697" t="s">
        <v>35</v>
      </c>
      <c r="AD697" t="s">
        <v>35</v>
      </c>
      <c r="AE697">
        <v>2</v>
      </c>
      <c r="AF697">
        <v>0</v>
      </c>
      <c r="AG697" t="s">
        <v>3677</v>
      </c>
      <c r="AL697" t="s">
        <v>35</v>
      </c>
      <c r="AM697" t="s">
        <v>34</v>
      </c>
    </row>
    <row r="698" spans="1:40" x14ac:dyDescent="0.2">
      <c r="A698" s="2">
        <v>45980.414050925923</v>
      </c>
      <c r="B698" t="s">
        <v>3678</v>
      </c>
      <c r="C698" t="s">
        <v>3465</v>
      </c>
      <c r="D698" t="s">
        <v>90</v>
      </c>
      <c r="E698" t="s">
        <v>3679</v>
      </c>
      <c r="F698" t="s">
        <v>3680</v>
      </c>
      <c r="G698">
        <v>8616597774</v>
      </c>
      <c r="H698" t="s">
        <v>3681</v>
      </c>
      <c r="I698" t="s">
        <v>49</v>
      </c>
      <c r="J698" t="s">
        <v>34</v>
      </c>
      <c r="K698">
        <v>339</v>
      </c>
      <c r="L698">
        <v>50</v>
      </c>
      <c r="M698">
        <v>0</v>
      </c>
      <c r="N698">
        <v>0</v>
      </c>
      <c r="O698">
        <v>0</v>
      </c>
      <c r="P698">
        <v>0</v>
      </c>
      <c r="Q698">
        <v>4</v>
      </c>
      <c r="R698">
        <v>7</v>
      </c>
      <c r="S698">
        <v>6</v>
      </c>
      <c r="T698">
        <v>3</v>
      </c>
      <c r="U698">
        <v>9</v>
      </c>
      <c r="V698">
        <v>3</v>
      </c>
      <c r="W698">
        <v>6</v>
      </c>
      <c r="X698">
        <v>7</v>
      </c>
      <c r="Y698">
        <v>5</v>
      </c>
      <c r="Z698">
        <v>0</v>
      </c>
      <c r="AA698">
        <v>0</v>
      </c>
      <c r="AB698" t="s">
        <v>50</v>
      </c>
      <c r="AC698" t="s">
        <v>35</v>
      </c>
      <c r="AD698" t="s">
        <v>35</v>
      </c>
      <c r="AE698">
        <v>0</v>
      </c>
      <c r="AF698">
        <v>0</v>
      </c>
      <c r="AG698" t="s">
        <v>48</v>
      </c>
      <c r="AL698" t="s">
        <v>35</v>
      </c>
      <c r="AM698" t="s">
        <v>34</v>
      </c>
    </row>
    <row r="699" spans="1:40" x14ac:dyDescent="0.2">
      <c r="A699" s="2">
        <v>45999.987546296303</v>
      </c>
      <c r="B699" t="s">
        <v>3682</v>
      </c>
      <c r="C699" t="s">
        <v>3465</v>
      </c>
      <c r="D699" t="s">
        <v>90</v>
      </c>
      <c r="E699" t="s">
        <v>3683</v>
      </c>
      <c r="F699" t="s">
        <v>3684</v>
      </c>
      <c r="G699" t="s">
        <v>3685</v>
      </c>
      <c r="H699" t="s">
        <v>3686</v>
      </c>
      <c r="I699" t="s">
        <v>1013</v>
      </c>
      <c r="J699" t="s">
        <v>34</v>
      </c>
      <c r="K699">
        <v>354</v>
      </c>
      <c r="L699">
        <v>42</v>
      </c>
      <c r="M699">
        <v>0</v>
      </c>
      <c r="N699">
        <v>0</v>
      </c>
      <c r="O699">
        <v>0</v>
      </c>
      <c r="P699">
        <v>0</v>
      </c>
      <c r="Q699">
        <v>2</v>
      </c>
      <c r="R699">
        <v>6</v>
      </c>
      <c r="S699">
        <v>5</v>
      </c>
      <c r="T699">
        <v>5</v>
      </c>
      <c r="U699">
        <v>2</v>
      </c>
      <c r="V699">
        <v>6</v>
      </c>
      <c r="W699">
        <v>8</v>
      </c>
      <c r="X699">
        <v>7</v>
      </c>
      <c r="Y699">
        <v>1</v>
      </c>
      <c r="Z699">
        <v>0</v>
      </c>
      <c r="AA699">
        <v>0</v>
      </c>
      <c r="AB699" t="s">
        <v>299</v>
      </c>
      <c r="AC699" t="s">
        <v>34</v>
      </c>
      <c r="AD699" t="s">
        <v>34</v>
      </c>
      <c r="AE699">
        <v>2</v>
      </c>
      <c r="AF699">
        <v>0</v>
      </c>
      <c r="AG699" t="s">
        <v>3687</v>
      </c>
      <c r="AH699">
        <v>2</v>
      </c>
      <c r="AL699" t="s">
        <v>35</v>
      </c>
      <c r="AM699" t="s">
        <v>34</v>
      </c>
    </row>
    <row r="700" spans="1:40" x14ac:dyDescent="0.2">
      <c r="A700" s="2">
        <v>46000.49150462963</v>
      </c>
      <c r="B700" t="s">
        <v>3688</v>
      </c>
      <c r="C700" t="s">
        <v>3465</v>
      </c>
      <c r="D700" t="s">
        <v>90</v>
      </c>
      <c r="E700" t="s">
        <v>3683</v>
      </c>
      <c r="F700" t="s">
        <v>3689</v>
      </c>
      <c r="G700" t="s">
        <v>3690</v>
      </c>
      <c r="H700" t="s">
        <v>3691</v>
      </c>
      <c r="I700" t="s">
        <v>49</v>
      </c>
      <c r="J700" t="s">
        <v>34</v>
      </c>
      <c r="K700">
        <v>325</v>
      </c>
      <c r="L700">
        <v>28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4</v>
      </c>
      <c r="U700">
        <v>6</v>
      </c>
      <c r="V700">
        <v>4</v>
      </c>
      <c r="W700">
        <v>5</v>
      </c>
      <c r="X700">
        <v>5</v>
      </c>
      <c r="Y700">
        <v>4</v>
      </c>
      <c r="Z700">
        <v>0</v>
      </c>
      <c r="AA700">
        <v>0</v>
      </c>
      <c r="AB700" t="s">
        <v>50</v>
      </c>
      <c r="AC700" t="s">
        <v>34</v>
      </c>
      <c r="AD700" t="s">
        <v>34</v>
      </c>
      <c r="AE700">
        <v>2</v>
      </c>
      <c r="AF700">
        <v>0</v>
      </c>
      <c r="AG700" t="s">
        <v>3692</v>
      </c>
      <c r="AL700" t="s">
        <v>35</v>
      </c>
      <c r="AM700" t="s">
        <v>34</v>
      </c>
    </row>
    <row r="701" spans="1:40" x14ac:dyDescent="0.2">
      <c r="A701" s="2">
        <v>45978.598993055559</v>
      </c>
      <c r="B701" t="s">
        <v>3693</v>
      </c>
      <c r="C701" t="s">
        <v>3465</v>
      </c>
      <c r="D701" t="s">
        <v>90</v>
      </c>
      <c r="E701" t="s">
        <v>3683</v>
      </c>
      <c r="F701" t="s">
        <v>3694</v>
      </c>
      <c r="G701" t="s">
        <v>3695</v>
      </c>
      <c r="H701" t="s">
        <v>3696</v>
      </c>
      <c r="I701" t="s">
        <v>93</v>
      </c>
      <c r="J701" t="s">
        <v>34</v>
      </c>
      <c r="K701">
        <v>686</v>
      </c>
      <c r="L701">
        <v>149</v>
      </c>
      <c r="M701">
        <v>0</v>
      </c>
      <c r="N701">
        <v>0</v>
      </c>
      <c r="O701">
        <v>4</v>
      </c>
      <c r="P701">
        <v>4</v>
      </c>
      <c r="Q701">
        <v>6</v>
      </c>
      <c r="R701">
        <v>10</v>
      </c>
      <c r="S701">
        <v>16</v>
      </c>
      <c r="T701">
        <v>19</v>
      </c>
      <c r="U701">
        <v>18</v>
      </c>
      <c r="V701">
        <v>12</v>
      </c>
      <c r="W701">
        <v>18</v>
      </c>
      <c r="X701">
        <v>20</v>
      </c>
      <c r="Y701">
        <v>21</v>
      </c>
      <c r="Z701">
        <v>1</v>
      </c>
      <c r="AA701">
        <v>0</v>
      </c>
      <c r="AB701" t="s">
        <v>50</v>
      </c>
      <c r="AC701" t="s">
        <v>35</v>
      </c>
      <c r="AD701" t="s">
        <v>35</v>
      </c>
      <c r="AE701">
        <v>8</v>
      </c>
      <c r="AF701">
        <v>5</v>
      </c>
      <c r="AG701" t="s">
        <v>3697</v>
      </c>
      <c r="AI701">
        <v>2</v>
      </c>
      <c r="AJ701">
        <v>1</v>
      </c>
      <c r="AL701" t="s">
        <v>35</v>
      </c>
      <c r="AM701" t="s">
        <v>35</v>
      </c>
    </row>
    <row r="702" spans="1:40" x14ac:dyDescent="0.2">
      <c r="A702" s="2">
        <v>45979.455451388887</v>
      </c>
      <c r="B702" t="s">
        <v>3698</v>
      </c>
      <c r="C702" t="s">
        <v>3465</v>
      </c>
      <c r="D702" t="s">
        <v>90</v>
      </c>
      <c r="E702" t="s">
        <v>3683</v>
      </c>
      <c r="F702" t="s">
        <v>3699</v>
      </c>
      <c r="G702">
        <v>88619920628</v>
      </c>
      <c r="H702" t="s">
        <v>3700</v>
      </c>
      <c r="I702" t="s">
        <v>49</v>
      </c>
      <c r="J702" t="s">
        <v>34</v>
      </c>
      <c r="K702">
        <v>24</v>
      </c>
      <c r="L702">
        <v>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1</v>
      </c>
      <c r="X702">
        <v>0</v>
      </c>
      <c r="Y702">
        <v>0</v>
      </c>
      <c r="Z702">
        <v>1</v>
      </c>
      <c r="AA702">
        <v>0</v>
      </c>
      <c r="AB702" t="s">
        <v>62</v>
      </c>
      <c r="AC702" t="s">
        <v>35</v>
      </c>
      <c r="AD702" t="s">
        <v>34</v>
      </c>
      <c r="AE702">
        <v>1</v>
      </c>
      <c r="AF702">
        <v>1</v>
      </c>
      <c r="AG702" t="s">
        <v>3701</v>
      </c>
      <c r="AL702" t="s">
        <v>35</v>
      </c>
      <c r="AM702" t="s">
        <v>34</v>
      </c>
    </row>
    <row r="703" spans="1:40" x14ac:dyDescent="0.2">
      <c r="A703" s="2">
        <v>45993.696585648147</v>
      </c>
      <c r="B703" t="s">
        <v>3702</v>
      </c>
      <c r="C703" t="s">
        <v>3465</v>
      </c>
      <c r="D703" t="s">
        <v>90</v>
      </c>
      <c r="E703" t="s">
        <v>3683</v>
      </c>
      <c r="F703" t="s">
        <v>3703</v>
      </c>
      <c r="G703" t="s">
        <v>3704</v>
      </c>
      <c r="H703" t="s">
        <v>3705</v>
      </c>
      <c r="I703" t="s">
        <v>3702</v>
      </c>
      <c r="J703" t="s">
        <v>641</v>
      </c>
      <c r="K703">
        <v>21628</v>
      </c>
      <c r="L703">
        <v>396</v>
      </c>
      <c r="M703">
        <v>22</v>
      </c>
      <c r="N703">
        <v>4</v>
      </c>
      <c r="O703">
        <v>5</v>
      </c>
      <c r="P703">
        <v>8</v>
      </c>
      <c r="Q703">
        <v>4</v>
      </c>
      <c r="R703">
        <v>16</v>
      </c>
      <c r="S703">
        <v>11</v>
      </c>
      <c r="T703">
        <v>17</v>
      </c>
      <c r="U703">
        <v>44</v>
      </c>
      <c r="V703">
        <v>52</v>
      </c>
      <c r="W703">
        <v>69</v>
      </c>
      <c r="X703">
        <v>58</v>
      </c>
      <c r="Y703">
        <v>41</v>
      </c>
      <c r="Z703">
        <v>39</v>
      </c>
      <c r="AA703">
        <v>6</v>
      </c>
      <c r="AB703" t="s">
        <v>50</v>
      </c>
      <c r="AC703" t="s">
        <v>35</v>
      </c>
      <c r="AD703" t="s">
        <v>35</v>
      </c>
      <c r="AE703">
        <v>33</v>
      </c>
      <c r="AF703">
        <v>4</v>
      </c>
      <c r="AG703" t="s">
        <v>3706</v>
      </c>
      <c r="AH703">
        <v>1</v>
      </c>
      <c r="AI703">
        <v>7</v>
      </c>
      <c r="AJ703">
        <v>2</v>
      </c>
      <c r="AL703" t="s">
        <v>34</v>
      </c>
      <c r="AM703" t="s">
        <v>34</v>
      </c>
    </row>
    <row r="704" spans="1:40" x14ac:dyDescent="0.2">
      <c r="A704" s="2">
        <v>45979.577615740738</v>
      </c>
      <c r="B704" t="s">
        <v>3707</v>
      </c>
      <c r="C704" t="s">
        <v>3465</v>
      </c>
      <c r="D704" t="s">
        <v>90</v>
      </c>
      <c r="E704" t="s">
        <v>3683</v>
      </c>
      <c r="F704" t="s">
        <v>3708</v>
      </c>
      <c r="G704">
        <v>88612334049</v>
      </c>
      <c r="H704" t="s">
        <v>3709</v>
      </c>
      <c r="I704" t="s">
        <v>49</v>
      </c>
      <c r="J704" t="s">
        <v>518</v>
      </c>
      <c r="K704">
        <v>1160</v>
      </c>
      <c r="L704">
        <v>82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2</v>
      </c>
      <c r="U704">
        <v>11</v>
      </c>
      <c r="V704">
        <v>14</v>
      </c>
      <c r="W704">
        <v>18</v>
      </c>
      <c r="X704">
        <v>22</v>
      </c>
      <c r="Y704">
        <v>11</v>
      </c>
      <c r="Z704">
        <v>4</v>
      </c>
      <c r="AA704">
        <v>0</v>
      </c>
      <c r="AB704" t="s">
        <v>255</v>
      </c>
      <c r="AC704" t="s">
        <v>35</v>
      </c>
      <c r="AD704" t="s">
        <v>35</v>
      </c>
      <c r="AE704">
        <v>4</v>
      </c>
      <c r="AF704">
        <v>0</v>
      </c>
      <c r="AG704" t="s">
        <v>3710</v>
      </c>
      <c r="AH704">
        <v>1</v>
      </c>
      <c r="AL704" t="s">
        <v>35</v>
      </c>
      <c r="AM704" t="s">
        <v>35</v>
      </c>
      <c r="AN704" t="s">
        <v>3711</v>
      </c>
    </row>
    <row r="705" spans="1:40" x14ac:dyDescent="0.2">
      <c r="A705" s="2">
        <v>45999.531770833331</v>
      </c>
      <c r="B705" t="s">
        <v>3712</v>
      </c>
      <c r="C705" t="s">
        <v>3465</v>
      </c>
      <c r="D705" t="s">
        <v>90</v>
      </c>
      <c r="E705" t="s">
        <v>3713</v>
      </c>
      <c r="F705" t="s">
        <v>3714</v>
      </c>
      <c r="G705">
        <v>89528388852</v>
      </c>
      <c r="H705" t="s">
        <v>3715</v>
      </c>
      <c r="I705" t="s">
        <v>532</v>
      </c>
      <c r="J705" t="s">
        <v>34</v>
      </c>
      <c r="K705">
        <v>27</v>
      </c>
      <c r="L705">
        <v>27</v>
      </c>
      <c r="M705">
        <v>27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3716</v>
      </c>
      <c r="AC705" t="s">
        <v>35</v>
      </c>
      <c r="AD705" t="s">
        <v>35</v>
      </c>
      <c r="AE705">
        <v>2</v>
      </c>
      <c r="AF705">
        <v>2</v>
      </c>
      <c r="AG705" t="s">
        <v>1465</v>
      </c>
      <c r="AL705" t="s">
        <v>34</v>
      </c>
      <c r="AM705" t="s">
        <v>34</v>
      </c>
    </row>
    <row r="706" spans="1:40" x14ac:dyDescent="0.2">
      <c r="A706" s="2">
        <v>46000.548356481479</v>
      </c>
      <c r="B706" t="s">
        <v>3717</v>
      </c>
      <c r="C706" t="s">
        <v>3465</v>
      </c>
      <c r="D706" t="s">
        <v>90</v>
      </c>
      <c r="E706" t="s">
        <v>3718</v>
      </c>
      <c r="F706" t="s">
        <v>3719</v>
      </c>
      <c r="G706">
        <v>88614577058</v>
      </c>
      <c r="H706" t="s">
        <v>3720</v>
      </c>
      <c r="I706" t="s">
        <v>49</v>
      </c>
      <c r="J706" t="s">
        <v>34</v>
      </c>
      <c r="K706">
        <v>210</v>
      </c>
      <c r="L706">
        <v>14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2</v>
      </c>
      <c r="W706">
        <v>6</v>
      </c>
      <c r="X706">
        <v>4</v>
      </c>
      <c r="Y706">
        <v>2</v>
      </c>
      <c r="Z706">
        <v>0</v>
      </c>
      <c r="AA706">
        <v>0</v>
      </c>
      <c r="AB706" t="s">
        <v>50</v>
      </c>
      <c r="AC706" t="s">
        <v>35</v>
      </c>
      <c r="AD706" t="s">
        <v>34</v>
      </c>
      <c r="AE706">
        <v>1</v>
      </c>
      <c r="AF706">
        <v>0</v>
      </c>
      <c r="AG706" t="s">
        <v>3721</v>
      </c>
      <c r="AL706" t="s">
        <v>35</v>
      </c>
      <c r="AM706" t="s">
        <v>34</v>
      </c>
    </row>
    <row r="707" spans="1:40" x14ac:dyDescent="0.2">
      <c r="A707" s="2">
        <v>45993.717442129629</v>
      </c>
      <c r="B707" t="s">
        <v>3722</v>
      </c>
      <c r="C707" t="s">
        <v>3465</v>
      </c>
      <c r="D707" t="s">
        <v>90</v>
      </c>
      <c r="E707" t="s">
        <v>3723</v>
      </c>
      <c r="F707" t="s">
        <v>3724</v>
      </c>
      <c r="G707" t="s">
        <v>3725</v>
      </c>
      <c r="H707" t="s">
        <v>3726</v>
      </c>
      <c r="I707" t="s">
        <v>49</v>
      </c>
      <c r="J707" t="s">
        <v>34</v>
      </c>
      <c r="K707">
        <v>281</v>
      </c>
      <c r="L707">
        <v>31</v>
      </c>
      <c r="M707">
        <v>0</v>
      </c>
      <c r="N707">
        <v>0</v>
      </c>
      <c r="O707">
        <v>1</v>
      </c>
      <c r="P707">
        <v>5</v>
      </c>
      <c r="Q707">
        <v>5</v>
      </c>
      <c r="R707">
        <v>2</v>
      </c>
      <c r="S707">
        <v>3</v>
      </c>
      <c r="T707">
        <v>5</v>
      </c>
      <c r="U707">
        <v>6</v>
      </c>
      <c r="V707">
        <v>2</v>
      </c>
      <c r="W707">
        <v>1</v>
      </c>
      <c r="X707">
        <v>1</v>
      </c>
      <c r="Y707">
        <v>0</v>
      </c>
      <c r="Z707">
        <v>0</v>
      </c>
      <c r="AA707">
        <v>0</v>
      </c>
      <c r="AB707" t="s">
        <v>50</v>
      </c>
      <c r="AC707" t="s">
        <v>35</v>
      </c>
      <c r="AD707" t="s">
        <v>35</v>
      </c>
      <c r="AE707">
        <v>5</v>
      </c>
      <c r="AF707">
        <v>1</v>
      </c>
      <c r="AG707" t="s">
        <v>48</v>
      </c>
      <c r="AL707" t="s">
        <v>35</v>
      </c>
      <c r="AM707" t="s">
        <v>35</v>
      </c>
    </row>
    <row r="708" spans="1:40" x14ac:dyDescent="0.2">
      <c r="A708" s="2">
        <v>45980.353842592587</v>
      </c>
      <c r="B708" t="s">
        <v>3727</v>
      </c>
      <c r="C708" t="s">
        <v>3465</v>
      </c>
      <c r="D708" t="s">
        <v>90</v>
      </c>
      <c r="E708" t="s">
        <v>3723</v>
      </c>
      <c r="F708" t="s">
        <v>3728</v>
      </c>
      <c r="G708">
        <v>88613122638</v>
      </c>
      <c r="H708" t="s">
        <v>3729</v>
      </c>
      <c r="I708" t="s">
        <v>49</v>
      </c>
      <c r="J708" t="s">
        <v>34</v>
      </c>
      <c r="K708">
        <v>703</v>
      </c>
      <c r="L708">
        <v>40</v>
      </c>
      <c r="M708">
        <v>0</v>
      </c>
      <c r="N708">
        <v>0</v>
      </c>
      <c r="O708">
        <v>1</v>
      </c>
      <c r="P708">
        <v>1</v>
      </c>
      <c r="Q708">
        <v>3</v>
      </c>
      <c r="R708">
        <v>2</v>
      </c>
      <c r="S708">
        <v>5</v>
      </c>
      <c r="T708">
        <v>9</v>
      </c>
      <c r="U708">
        <v>3</v>
      </c>
      <c r="V708">
        <v>5</v>
      </c>
      <c r="W708">
        <v>3</v>
      </c>
      <c r="X708">
        <v>6</v>
      </c>
      <c r="Y708">
        <v>2</v>
      </c>
      <c r="Z708">
        <v>0</v>
      </c>
      <c r="AA708">
        <v>0</v>
      </c>
      <c r="AB708" t="s">
        <v>50</v>
      </c>
      <c r="AC708" t="s">
        <v>35</v>
      </c>
      <c r="AD708" t="s">
        <v>35</v>
      </c>
      <c r="AE708">
        <v>0</v>
      </c>
      <c r="AF708">
        <v>0</v>
      </c>
      <c r="AG708" t="s">
        <v>48</v>
      </c>
      <c r="AL708" t="s">
        <v>35</v>
      </c>
      <c r="AM708" t="s">
        <v>34</v>
      </c>
      <c r="AN708" t="s">
        <v>3730</v>
      </c>
    </row>
    <row r="709" spans="1:40" x14ac:dyDescent="0.2">
      <c r="A709" s="2">
        <v>46000.662002314813</v>
      </c>
      <c r="B709" t="s">
        <v>3731</v>
      </c>
      <c r="C709" t="s">
        <v>3465</v>
      </c>
      <c r="D709" t="s">
        <v>90</v>
      </c>
      <c r="E709" t="s">
        <v>3732</v>
      </c>
      <c r="F709" t="s">
        <v>3733</v>
      </c>
      <c r="G709" t="s">
        <v>3734</v>
      </c>
      <c r="H709" t="s">
        <v>3735</v>
      </c>
      <c r="I709" t="s">
        <v>49</v>
      </c>
      <c r="J709" t="s">
        <v>34</v>
      </c>
      <c r="K709">
        <v>175</v>
      </c>
      <c r="L709">
        <v>39</v>
      </c>
      <c r="M709">
        <v>0</v>
      </c>
      <c r="N709">
        <v>0</v>
      </c>
      <c r="O709">
        <v>0</v>
      </c>
      <c r="P709">
        <v>0</v>
      </c>
      <c r="Q709">
        <v>2</v>
      </c>
      <c r="R709">
        <v>3</v>
      </c>
      <c r="S709">
        <v>5</v>
      </c>
      <c r="T709">
        <v>2</v>
      </c>
      <c r="U709">
        <v>4</v>
      </c>
      <c r="V709">
        <v>4</v>
      </c>
      <c r="W709">
        <v>7</v>
      </c>
      <c r="X709">
        <v>5</v>
      </c>
      <c r="Y709">
        <v>5</v>
      </c>
      <c r="Z709">
        <v>2</v>
      </c>
      <c r="AA709">
        <v>0</v>
      </c>
      <c r="AB709" t="s">
        <v>50</v>
      </c>
      <c r="AC709" t="s">
        <v>35</v>
      </c>
      <c r="AD709" t="s">
        <v>34</v>
      </c>
      <c r="AE709">
        <v>1</v>
      </c>
      <c r="AF709">
        <v>0</v>
      </c>
      <c r="AG709" t="s">
        <v>3736</v>
      </c>
      <c r="AL709" t="s">
        <v>35</v>
      </c>
      <c r="AM709" t="s">
        <v>34</v>
      </c>
    </row>
    <row r="710" spans="1:40" x14ac:dyDescent="0.2">
      <c r="A710" s="2">
        <v>45998.958414351851</v>
      </c>
      <c r="B710" t="s">
        <v>3749</v>
      </c>
      <c r="C710" t="s">
        <v>3465</v>
      </c>
      <c r="D710" t="s">
        <v>90</v>
      </c>
      <c r="E710" t="s">
        <v>3750</v>
      </c>
      <c r="F710" t="s">
        <v>3751</v>
      </c>
      <c r="G710" t="s">
        <v>3752</v>
      </c>
      <c r="H710" t="s">
        <v>3753</v>
      </c>
      <c r="I710" t="s">
        <v>49</v>
      </c>
      <c r="J710" t="s">
        <v>34</v>
      </c>
      <c r="K710">
        <v>374</v>
      </c>
      <c r="L710">
        <v>34</v>
      </c>
      <c r="M710">
        <v>0</v>
      </c>
      <c r="N710">
        <v>0</v>
      </c>
      <c r="O710">
        <v>0</v>
      </c>
      <c r="P710">
        <v>2</v>
      </c>
      <c r="Q710">
        <v>3</v>
      </c>
      <c r="R710">
        <v>3</v>
      </c>
      <c r="S710">
        <v>5</v>
      </c>
      <c r="T710">
        <v>3</v>
      </c>
      <c r="U710">
        <v>2</v>
      </c>
      <c r="V710">
        <v>2</v>
      </c>
      <c r="W710">
        <v>4</v>
      </c>
      <c r="X710">
        <v>5</v>
      </c>
      <c r="Y710">
        <v>5</v>
      </c>
      <c r="Z710">
        <v>0</v>
      </c>
      <c r="AA710">
        <v>0</v>
      </c>
      <c r="AB710" t="s">
        <v>80</v>
      </c>
      <c r="AC710" t="s">
        <v>35</v>
      </c>
      <c r="AD710" t="s">
        <v>35</v>
      </c>
      <c r="AE710">
        <v>1</v>
      </c>
      <c r="AF710">
        <v>0</v>
      </c>
      <c r="AG710" t="s">
        <v>3754</v>
      </c>
      <c r="AL710" t="s">
        <v>35</v>
      </c>
      <c r="AM710" t="s">
        <v>34</v>
      </c>
    </row>
    <row r="711" spans="1:40" x14ac:dyDescent="0.2">
      <c r="A711" s="2">
        <v>45979.637650462973</v>
      </c>
      <c r="B711" t="s">
        <v>3768</v>
      </c>
      <c r="C711" t="s">
        <v>3465</v>
      </c>
      <c r="D711" t="s">
        <v>90</v>
      </c>
      <c r="E711" t="s">
        <v>3769</v>
      </c>
      <c r="F711" t="s">
        <v>3770</v>
      </c>
      <c r="G711">
        <v>88616536164</v>
      </c>
      <c r="H711" t="s">
        <v>3771</v>
      </c>
      <c r="I711" t="s">
        <v>49</v>
      </c>
      <c r="J711" t="s">
        <v>34</v>
      </c>
      <c r="K711">
        <v>148</v>
      </c>
      <c r="L711">
        <v>8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1</v>
      </c>
      <c r="U711">
        <v>0</v>
      </c>
      <c r="V711">
        <v>0</v>
      </c>
      <c r="W711">
        <v>2</v>
      </c>
      <c r="X711">
        <v>2</v>
      </c>
      <c r="Y711">
        <v>0</v>
      </c>
      <c r="Z711">
        <v>1</v>
      </c>
      <c r="AA711">
        <v>1</v>
      </c>
      <c r="AB711" t="s">
        <v>108</v>
      </c>
      <c r="AC711" t="s">
        <v>35</v>
      </c>
      <c r="AD711" t="s">
        <v>35</v>
      </c>
      <c r="AE711">
        <v>3</v>
      </c>
      <c r="AF711">
        <v>0</v>
      </c>
      <c r="AG711" t="s">
        <v>3772</v>
      </c>
      <c r="AL711" t="s">
        <v>35</v>
      </c>
      <c r="AM711" t="s">
        <v>34</v>
      </c>
    </row>
    <row r="712" spans="1:40" x14ac:dyDescent="0.2">
      <c r="A712" s="2">
        <v>45994.362708333327</v>
      </c>
      <c r="B712" t="s">
        <v>3822</v>
      </c>
      <c r="C712" t="s">
        <v>3465</v>
      </c>
      <c r="D712" t="s">
        <v>90</v>
      </c>
      <c r="E712" t="s">
        <v>3823</v>
      </c>
      <c r="F712" t="s">
        <v>3824</v>
      </c>
      <c r="G712">
        <v>88615665195</v>
      </c>
      <c r="H712" t="s">
        <v>3825</v>
      </c>
      <c r="I712" t="s">
        <v>49</v>
      </c>
      <c r="J712" t="s">
        <v>34</v>
      </c>
      <c r="K712">
        <v>97</v>
      </c>
      <c r="L712">
        <v>16</v>
      </c>
      <c r="M712">
        <v>0</v>
      </c>
      <c r="N712">
        <v>0</v>
      </c>
      <c r="O712">
        <v>0</v>
      </c>
      <c r="P712">
        <v>0</v>
      </c>
      <c r="Q712">
        <v>2</v>
      </c>
      <c r="R712">
        <v>4</v>
      </c>
      <c r="S712">
        <v>2</v>
      </c>
      <c r="T712">
        <v>0</v>
      </c>
      <c r="U712">
        <v>0</v>
      </c>
      <c r="V712">
        <v>2</v>
      </c>
      <c r="W712">
        <v>2</v>
      </c>
      <c r="X712">
        <v>3</v>
      </c>
      <c r="Y712">
        <v>0</v>
      </c>
      <c r="Z712">
        <v>1</v>
      </c>
      <c r="AA712">
        <v>0</v>
      </c>
      <c r="AC712" t="s">
        <v>35</v>
      </c>
      <c r="AD712" t="s">
        <v>35</v>
      </c>
      <c r="AE712">
        <v>2</v>
      </c>
      <c r="AF712">
        <v>0</v>
      </c>
      <c r="AG712" t="s">
        <v>48</v>
      </c>
      <c r="AL712" t="s">
        <v>35</v>
      </c>
      <c r="AM712" t="s">
        <v>34</v>
      </c>
    </row>
    <row r="713" spans="1:40" x14ac:dyDescent="0.2">
      <c r="A713" s="2">
        <v>45986.684618055559</v>
      </c>
      <c r="B713" t="s">
        <v>3826</v>
      </c>
      <c r="C713" t="s">
        <v>3465</v>
      </c>
      <c r="D713" t="s">
        <v>90</v>
      </c>
      <c r="E713" t="s">
        <v>3827</v>
      </c>
      <c r="F713" t="s">
        <v>3828</v>
      </c>
      <c r="G713">
        <v>88619532221</v>
      </c>
      <c r="H713" t="s">
        <v>3829</v>
      </c>
      <c r="I713" t="s">
        <v>49</v>
      </c>
      <c r="J713" t="s">
        <v>34</v>
      </c>
      <c r="K713">
        <v>395</v>
      </c>
      <c r="L713">
        <v>11</v>
      </c>
      <c r="M713">
        <v>0</v>
      </c>
      <c r="N713">
        <v>0</v>
      </c>
      <c r="O713">
        <v>0</v>
      </c>
      <c r="P713">
        <v>1</v>
      </c>
      <c r="Q713">
        <v>1</v>
      </c>
      <c r="R713">
        <v>0</v>
      </c>
      <c r="S713">
        <v>1</v>
      </c>
      <c r="T713">
        <v>1</v>
      </c>
      <c r="U713">
        <v>1</v>
      </c>
      <c r="V713">
        <v>2</v>
      </c>
      <c r="W713">
        <v>1</v>
      </c>
      <c r="X713">
        <v>1</v>
      </c>
      <c r="Y713">
        <v>1</v>
      </c>
      <c r="Z713">
        <v>0</v>
      </c>
      <c r="AA713">
        <v>1</v>
      </c>
      <c r="AB713" t="s">
        <v>50</v>
      </c>
      <c r="AC713" t="s">
        <v>35</v>
      </c>
      <c r="AD713" t="s">
        <v>34</v>
      </c>
      <c r="AE713">
        <v>1</v>
      </c>
      <c r="AF713">
        <v>0</v>
      </c>
      <c r="AG713" t="s">
        <v>3830</v>
      </c>
      <c r="AI713">
        <v>1</v>
      </c>
      <c r="AL713" t="s">
        <v>35</v>
      </c>
      <c r="AM713" t="s">
        <v>35</v>
      </c>
    </row>
    <row r="714" spans="1:40" x14ac:dyDescent="0.2">
      <c r="A714" s="2">
        <v>45994.479050925933</v>
      </c>
      <c r="B714" t="s">
        <v>3831</v>
      </c>
      <c r="C714" t="s">
        <v>3465</v>
      </c>
      <c r="D714" t="s">
        <v>90</v>
      </c>
      <c r="E714" t="s">
        <v>3832</v>
      </c>
      <c r="F714" t="s">
        <v>3833</v>
      </c>
      <c r="G714" t="s">
        <v>3834</v>
      </c>
      <c r="H714" t="s">
        <v>3835</v>
      </c>
      <c r="I714" t="s">
        <v>49</v>
      </c>
      <c r="J714" t="s">
        <v>114</v>
      </c>
      <c r="K714">
        <v>455</v>
      </c>
      <c r="L714">
        <v>94</v>
      </c>
      <c r="M714">
        <v>13</v>
      </c>
      <c r="N714">
        <v>2</v>
      </c>
      <c r="O714">
        <v>3</v>
      </c>
      <c r="P714">
        <v>0</v>
      </c>
      <c r="Q714">
        <v>3</v>
      </c>
      <c r="R714">
        <v>10</v>
      </c>
      <c r="S714">
        <v>11</v>
      </c>
      <c r="T714">
        <v>14</v>
      </c>
      <c r="U714">
        <v>6</v>
      </c>
      <c r="V714">
        <v>5</v>
      </c>
      <c r="W714">
        <v>12</v>
      </c>
      <c r="X714">
        <v>12</v>
      </c>
      <c r="Y714">
        <v>3</v>
      </c>
      <c r="Z714">
        <v>0</v>
      </c>
      <c r="AA714">
        <v>0</v>
      </c>
      <c r="AB714" t="s">
        <v>824</v>
      </c>
      <c r="AC714" t="s">
        <v>34</v>
      </c>
      <c r="AD714" t="s">
        <v>34</v>
      </c>
      <c r="AE714">
        <v>2</v>
      </c>
      <c r="AF714">
        <v>0</v>
      </c>
      <c r="AG714" t="s">
        <v>3836</v>
      </c>
      <c r="AH714">
        <v>2</v>
      </c>
      <c r="AL714" t="s">
        <v>35</v>
      </c>
      <c r="AM714" t="s">
        <v>34</v>
      </c>
    </row>
    <row r="715" spans="1:40" x14ac:dyDescent="0.2">
      <c r="A715" s="2">
        <v>46000.489502314813</v>
      </c>
      <c r="B715" t="s">
        <v>3837</v>
      </c>
      <c r="C715" t="s">
        <v>3465</v>
      </c>
      <c r="D715" t="s">
        <v>90</v>
      </c>
      <c r="E715" t="s">
        <v>3832</v>
      </c>
      <c r="F715" t="s">
        <v>3838</v>
      </c>
      <c r="G715">
        <v>88617719509</v>
      </c>
      <c r="H715" t="s">
        <v>3839</v>
      </c>
      <c r="I715" t="s">
        <v>49</v>
      </c>
      <c r="J715" t="s">
        <v>518</v>
      </c>
      <c r="K715">
        <v>829</v>
      </c>
      <c r="L715">
        <v>9</v>
      </c>
      <c r="M715">
        <v>2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3</v>
      </c>
      <c r="T715">
        <v>2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 t="s">
        <v>50</v>
      </c>
      <c r="AC715" t="s">
        <v>35</v>
      </c>
      <c r="AD715" t="s">
        <v>34</v>
      </c>
      <c r="AE715">
        <v>3</v>
      </c>
      <c r="AF715">
        <v>0</v>
      </c>
      <c r="AG715" t="s">
        <v>3840</v>
      </c>
      <c r="AH715">
        <v>3</v>
      </c>
      <c r="AL715" t="s">
        <v>35</v>
      </c>
      <c r="AM715" t="s">
        <v>34</v>
      </c>
    </row>
    <row r="716" spans="1:40" x14ac:dyDescent="0.2">
      <c r="A716" s="2">
        <v>45998.428703703707</v>
      </c>
      <c r="B716" t="s">
        <v>3841</v>
      </c>
      <c r="C716" t="s">
        <v>3465</v>
      </c>
      <c r="D716" t="s">
        <v>90</v>
      </c>
      <c r="E716" t="s">
        <v>3842</v>
      </c>
      <c r="F716" t="s">
        <v>3843</v>
      </c>
      <c r="G716" t="s">
        <v>3844</v>
      </c>
      <c r="H716" t="s">
        <v>3845</v>
      </c>
      <c r="I716" t="s">
        <v>49</v>
      </c>
      <c r="J716" t="s">
        <v>34</v>
      </c>
      <c r="K716">
        <v>300</v>
      </c>
      <c r="L716">
        <v>23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5</v>
      </c>
      <c r="S716">
        <v>5</v>
      </c>
      <c r="T716">
        <v>1</v>
      </c>
      <c r="U716">
        <v>1</v>
      </c>
      <c r="V716">
        <v>3</v>
      </c>
      <c r="W716">
        <v>0</v>
      </c>
      <c r="X716">
        <v>5</v>
      </c>
      <c r="Y716">
        <v>1</v>
      </c>
      <c r="Z716">
        <v>2</v>
      </c>
      <c r="AA716">
        <v>0</v>
      </c>
      <c r="AB716" t="s">
        <v>50</v>
      </c>
      <c r="AC716" t="s">
        <v>35</v>
      </c>
      <c r="AD716" t="s">
        <v>35</v>
      </c>
      <c r="AE716">
        <v>1</v>
      </c>
      <c r="AF716">
        <v>0</v>
      </c>
      <c r="AG716" t="s">
        <v>3846</v>
      </c>
      <c r="AL716" t="s">
        <v>35</v>
      </c>
      <c r="AM716" t="s">
        <v>34</v>
      </c>
      <c r="AN716" t="s">
        <v>3847</v>
      </c>
    </row>
    <row r="717" spans="1:40" x14ac:dyDescent="0.2">
      <c r="A717" s="2">
        <v>45980.575729166667</v>
      </c>
      <c r="B717" t="s">
        <v>3852</v>
      </c>
      <c r="C717" t="s">
        <v>3465</v>
      </c>
      <c r="D717" t="s">
        <v>90</v>
      </c>
      <c r="E717" t="s">
        <v>3853</v>
      </c>
      <c r="F717" t="s">
        <v>3854</v>
      </c>
      <c r="G717">
        <v>8616591397</v>
      </c>
      <c r="H717" t="s">
        <v>3855</v>
      </c>
      <c r="I717" t="s">
        <v>49</v>
      </c>
      <c r="J717" t="s">
        <v>34</v>
      </c>
      <c r="K717">
        <v>500</v>
      </c>
      <c r="L717">
        <v>150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10</v>
      </c>
      <c r="S717">
        <v>20</v>
      </c>
      <c r="T717">
        <v>20</v>
      </c>
      <c r="U717">
        <v>20</v>
      </c>
      <c r="V717">
        <v>20</v>
      </c>
      <c r="W717">
        <v>20</v>
      </c>
      <c r="X717">
        <v>20</v>
      </c>
      <c r="Y717">
        <v>20</v>
      </c>
      <c r="Z717">
        <v>0</v>
      </c>
      <c r="AA717">
        <v>0</v>
      </c>
      <c r="AB717" t="s">
        <v>50</v>
      </c>
      <c r="AC717" t="s">
        <v>35</v>
      </c>
      <c r="AD717" t="s">
        <v>35</v>
      </c>
      <c r="AE717">
        <v>4</v>
      </c>
      <c r="AF717">
        <v>0</v>
      </c>
      <c r="AG717" t="s">
        <v>3856</v>
      </c>
      <c r="AL717" t="s">
        <v>35</v>
      </c>
      <c r="AM717" t="s">
        <v>34</v>
      </c>
    </row>
    <row r="718" spans="1:40" x14ac:dyDescent="0.2">
      <c r="A718" s="2">
        <v>46000.808287037027</v>
      </c>
      <c r="B718" t="s">
        <v>3908</v>
      </c>
      <c r="C718" t="s">
        <v>3465</v>
      </c>
      <c r="D718" t="s">
        <v>90</v>
      </c>
      <c r="E718" t="s">
        <v>3909</v>
      </c>
      <c r="F718" t="s">
        <v>3910</v>
      </c>
      <c r="G718" t="s">
        <v>3911</v>
      </c>
      <c r="H718" t="s">
        <v>3912</v>
      </c>
      <c r="I718" t="s">
        <v>49</v>
      </c>
      <c r="J718" t="s">
        <v>34</v>
      </c>
      <c r="K718">
        <v>370</v>
      </c>
      <c r="L718">
        <v>14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4</v>
      </c>
      <c r="U718">
        <v>4</v>
      </c>
      <c r="V718">
        <v>3</v>
      </c>
      <c r="W718">
        <v>1</v>
      </c>
      <c r="X718">
        <v>2</v>
      </c>
      <c r="Y718">
        <v>0</v>
      </c>
      <c r="Z718">
        <v>0</v>
      </c>
      <c r="AA718">
        <v>0</v>
      </c>
      <c r="AB718" t="s">
        <v>50</v>
      </c>
      <c r="AC718" t="s">
        <v>35</v>
      </c>
      <c r="AD718" t="s">
        <v>34</v>
      </c>
      <c r="AE718">
        <v>2</v>
      </c>
      <c r="AF718">
        <v>0</v>
      </c>
      <c r="AG718" t="s">
        <v>3913</v>
      </c>
      <c r="AL718" t="s">
        <v>35</v>
      </c>
      <c r="AM718" t="s">
        <v>34</v>
      </c>
    </row>
    <row r="719" spans="1:40" x14ac:dyDescent="0.2">
      <c r="A719" s="2">
        <v>46000.588113425933</v>
      </c>
      <c r="B719" t="s">
        <v>3914</v>
      </c>
      <c r="C719" t="s">
        <v>3465</v>
      </c>
      <c r="D719" t="s">
        <v>90</v>
      </c>
      <c r="E719" t="s">
        <v>3915</v>
      </c>
      <c r="F719" t="s">
        <v>3916</v>
      </c>
      <c r="G719">
        <v>88619557072</v>
      </c>
      <c r="H719" t="s">
        <v>3917</v>
      </c>
      <c r="I719" t="s">
        <v>49</v>
      </c>
      <c r="J719" t="s">
        <v>34</v>
      </c>
      <c r="K719">
        <v>149</v>
      </c>
      <c r="L719">
        <v>26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4</v>
      </c>
      <c r="S719">
        <v>1</v>
      </c>
      <c r="T719">
        <v>9</v>
      </c>
      <c r="U719">
        <v>3</v>
      </c>
      <c r="V719">
        <v>2</v>
      </c>
      <c r="W719">
        <v>1</v>
      </c>
      <c r="X719">
        <v>3</v>
      </c>
      <c r="Y719">
        <v>0</v>
      </c>
      <c r="Z719">
        <v>3</v>
      </c>
      <c r="AA719">
        <v>0</v>
      </c>
      <c r="AB719" t="s">
        <v>939</v>
      </c>
      <c r="AC719" t="s">
        <v>35</v>
      </c>
      <c r="AD719" t="s">
        <v>35</v>
      </c>
      <c r="AE719">
        <v>1</v>
      </c>
      <c r="AF719">
        <v>0</v>
      </c>
      <c r="AG719" t="s">
        <v>3918</v>
      </c>
      <c r="AL719" t="s">
        <v>35</v>
      </c>
      <c r="AM719" t="s">
        <v>34</v>
      </c>
    </row>
    <row r="720" spans="1:40" x14ac:dyDescent="0.2">
      <c r="B720" t="s">
        <v>3919</v>
      </c>
      <c r="C720" t="s">
        <v>3465</v>
      </c>
      <c r="D720" t="s">
        <v>90</v>
      </c>
      <c r="E720" t="s">
        <v>3920</v>
      </c>
      <c r="F720" t="s">
        <v>3921</v>
      </c>
      <c r="G720" t="s">
        <v>3922</v>
      </c>
      <c r="H720" t="s">
        <v>3923</v>
      </c>
      <c r="I720" t="s">
        <v>49</v>
      </c>
      <c r="J720" t="s">
        <v>34</v>
      </c>
      <c r="K720">
        <v>612</v>
      </c>
      <c r="L720">
        <v>14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2</v>
      </c>
      <c r="U720">
        <v>1</v>
      </c>
      <c r="V720">
        <v>5</v>
      </c>
      <c r="W720">
        <v>1</v>
      </c>
      <c r="X720">
        <v>3</v>
      </c>
      <c r="Y720">
        <v>2</v>
      </c>
      <c r="Z720">
        <v>0</v>
      </c>
      <c r="AA720">
        <v>0</v>
      </c>
      <c r="AB720" t="s">
        <v>50</v>
      </c>
      <c r="AC720" t="s">
        <v>35</v>
      </c>
      <c r="AD720" t="s">
        <v>34</v>
      </c>
      <c r="AE720">
        <v>2</v>
      </c>
      <c r="AF720">
        <v>0</v>
      </c>
      <c r="AG720" t="s">
        <v>3924</v>
      </c>
      <c r="AL720" t="s">
        <v>35</v>
      </c>
      <c r="AM720" t="s">
        <v>34</v>
      </c>
    </row>
    <row r="721" spans="1:40" x14ac:dyDescent="0.2">
      <c r="A721" s="2">
        <v>45985.751712962963</v>
      </c>
      <c r="B721" t="s">
        <v>3925</v>
      </c>
      <c r="C721" t="s">
        <v>3465</v>
      </c>
      <c r="D721" t="s">
        <v>90</v>
      </c>
      <c r="E721" t="s">
        <v>3920</v>
      </c>
      <c r="F721" t="s">
        <v>3926</v>
      </c>
      <c r="G721" t="s">
        <v>3927</v>
      </c>
      <c r="H721" t="s">
        <v>3928</v>
      </c>
      <c r="I721" t="s">
        <v>3929</v>
      </c>
      <c r="J721" t="s">
        <v>34</v>
      </c>
      <c r="K721">
        <v>25</v>
      </c>
      <c r="L721">
        <v>25</v>
      </c>
      <c r="M721">
        <v>25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3930</v>
      </c>
      <c r="AC721" t="s">
        <v>34</v>
      </c>
      <c r="AD721" t="s">
        <v>34</v>
      </c>
      <c r="AE721">
        <v>1</v>
      </c>
      <c r="AF721">
        <v>0</v>
      </c>
      <c r="AG721" t="s">
        <v>34</v>
      </c>
      <c r="AL721" t="s">
        <v>34</v>
      </c>
      <c r="AM721" t="s">
        <v>34</v>
      </c>
      <c r="AN721" t="s">
        <v>3931</v>
      </c>
    </row>
    <row r="722" spans="1:40" x14ac:dyDescent="0.2">
      <c r="A722" s="2">
        <v>45992.811307870368</v>
      </c>
      <c r="B722" t="s">
        <v>3932</v>
      </c>
      <c r="C722" t="s">
        <v>3465</v>
      </c>
      <c r="D722" t="s">
        <v>90</v>
      </c>
      <c r="E722" t="s">
        <v>3920</v>
      </c>
      <c r="F722" t="s">
        <v>3933</v>
      </c>
      <c r="G722" t="s">
        <v>3934</v>
      </c>
      <c r="H722" t="s">
        <v>3935</v>
      </c>
      <c r="I722" t="s">
        <v>49</v>
      </c>
      <c r="J722" t="s">
        <v>188</v>
      </c>
      <c r="K722">
        <v>349</v>
      </c>
      <c r="L722">
        <v>77</v>
      </c>
      <c r="M722">
        <v>1</v>
      </c>
      <c r="N722">
        <v>4</v>
      </c>
      <c r="O722">
        <v>3</v>
      </c>
      <c r="P722">
        <v>9</v>
      </c>
      <c r="Q722">
        <v>1</v>
      </c>
      <c r="R722">
        <v>3</v>
      </c>
      <c r="S722">
        <v>12</v>
      </c>
      <c r="T722">
        <v>15</v>
      </c>
      <c r="U722">
        <v>4</v>
      </c>
      <c r="V722">
        <v>11</v>
      </c>
      <c r="W722">
        <v>5</v>
      </c>
      <c r="X722">
        <v>5</v>
      </c>
      <c r="Y722">
        <v>2</v>
      </c>
      <c r="Z722">
        <v>2</v>
      </c>
      <c r="AA722">
        <v>0</v>
      </c>
      <c r="AB722" t="s">
        <v>255</v>
      </c>
      <c r="AC722" t="s">
        <v>34</v>
      </c>
      <c r="AD722" t="s">
        <v>35</v>
      </c>
      <c r="AE722">
        <v>4</v>
      </c>
      <c r="AF722">
        <v>0</v>
      </c>
      <c r="AG722" t="s">
        <v>3936</v>
      </c>
      <c r="AH722">
        <v>2</v>
      </c>
      <c r="AI722">
        <v>2</v>
      </c>
      <c r="AL722" t="s">
        <v>35</v>
      </c>
      <c r="AM722" t="s">
        <v>35</v>
      </c>
    </row>
    <row r="723" spans="1:40" x14ac:dyDescent="0.2">
      <c r="A723" s="2">
        <v>45999.984027777777</v>
      </c>
      <c r="B723" t="s">
        <v>3942</v>
      </c>
      <c r="C723" t="s">
        <v>3465</v>
      </c>
      <c r="D723" t="s">
        <v>90</v>
      </c>
      <c r="E723" t="s">
        <v>3943</v>
      </c>
      <c r="F723" t="s">
        <v>3944</v>
      </c>
      <c r="G723">
        <v>79892490570</v>
      </c>
      <c r="H723" t="s">
        <v>3945</v>
      </c>
      <c r="I723" t="s">
        <v>1573</v>
      </c>
      <c r="J723" t="s">
        <v>34</v>
      </c>
      <c r="K723">
        <v>74</v>
      </c>
      <c r="L723">
        <v>5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1</v>
      </c>
      <c r="V723">
        <v>2</v>
      </c>
      <c r="W723">
        <v>1</v>
      </c>
      <c r="X723">
        <v>0</v>
      </c>
      <c r="Y723">
        <v>0</v>
      </c>
      <c r="Z723">
        <v>0</v>
      </c>
      <c r="AA723">
        <v>0</v>
      </c>
      <c r="AB723" t="s">
        <v>50</v>
      </c>
      <c r="AC723" t="s">
        <v>35</v>
      </c>
      <c r="AD723" t="s">
        <v>34</v>
      </c>
      <c r="AE723">
        <v>1</v>
      </c>
      <c r="AF723">
        <v>0</v>
      </c>
      <c r="AG723" t="s">
        <v>3946</v>
      </c>
      <c r="AL723" t="s">
        <v>35</v>
      </c>
      <c r="AM723" t="s">
        <v>34</v>
      </c>
    </row>
    <row r="724" spans="1:40" x14ac:dyDescent="0.2">
      <c r="A724" s="2">
        <v>45980.743773148148</v>
      </c>
      <c r="B724" t="s">
        <v>3951</v>
      </c>
      <c r="C724" t="s">
        <v>3465</v>
      </c>
      <c r="D724" t="s">
        <v>90</v>
      </c>
      <c r="E724" t="s">
        <v>3952</v>
      </c>
      <c r="F724" t="s">
        <v>3953</v>
      </c>
      <c r="G724" t="s">
        <v>3954</v>
      </c>
      <c r="H724" t="s">
        <v>3955</v>
      </c>
      <c r="I724" t="s">
        <v>49</v>
      </c>
      <c r="J724" t="s">
        <v>34</v>
      </c>
      <c r="K724">
        <v>595</v>
      </c>
      <c r="L724">
        <v>88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16</v>
      </c>
      <c r="S724">
        <v>16</v>
      </c>
      <c r="T724">
        <v>20</v>
      </c>
      <c r="U724">
        <v>20</v>
      </c>
      <c r="V724">
        <v>16</v>
      </c>
      <c r="W724">
        <v>0</v>
      </c>
      <c r="X724">
        <v>0</v>
      </c>
      <c r="Y724">
        <v>0</v>
      </c>
      <c r="Z724">
        <v>0</v>
      </c>
      <c r="AA724">
        <v>0</v>
      </c>
      <c r="AB724" t="s">
        <v>207</v>
      </c>
      <c r="AC724" t="s">
        <v>35</v>
      </c>
      <c r="AD724" t="s">
        <v>35</v>
      </c>
      <c r="AE724">
        <v>2</v>
      </c>
      <c r="AF724">
        <v>1</v>
      </c>
      <c r="AG724" t="s">
        <v>48</v>
      </c>
      <c r="AL724" t="s">
        <v>35</v>
      </c>
      <c r="AM724" t="s">
        <v>35</v>
      </c>
    </row>
    <row r="725" spans="1:40" x14ac:dyDescent="0.2">
      <c r="A725" s="2">
        <v>46000.694016203714</v>
      </c>
      <c r="B725" t="s">
        <v>3956</v>
      </c>
      <c r="C725" t="s">
        <v>3465</v>
      </c>
      <c r="D725" t="s">
        <v>90</v>
      </c>
      <c r="E725" t="s">
        <v>3957</v>
      </c>
      <c r="F725" t="s">
        <v>3958</v>
      </c>
      <c r="G725">
        <v>78614498350</v>
      </c>
      <c r="H725" t="s">
        <v>3959</v>
      </c>
      <c r="I725" t="s">
        <v>49</v>
      </c>
      <c r="J725" t="s">
        <v>34</v>
      </c>
      <c r="K725">
        <v>248</v>
      </c>
      <c r="L725">
        <v>34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5</v>
      </c>
      <c r="T725">
        <v>4</v>
      </c>
      <c r="U725">
        <v>7</v>
      </c>
      <c r="V725">
        <v>2</v>
      </c>
      <c r="W725">
        <v>6</v>
      </c>
      <c r="X725">
        <v>4</v>
      </c>
      <c r="Y725">
        <v>5</v>
      </c>
      <c r="Z725">
        <v>0</v>
      </c>
      <c r="AA725">
        <v>0</v>
      </c>
      <c r="AB725" t="s">
        <v>50</v>
      </c>
      <c r="AC725" t="s">
        <v>35</v>
      </c>
      <c r="AD725" t="s">
        <v>34</v>
      </c>
      <c r="AE725">
        <v>3</v>
      </c>
      <c r="AF725">
        <v>0</v>
      </c>
      <c r="AG725" t="s">
        <v>3960</v>
      </c>
      <c r="AL725" t="s">
        <v>35</v>
      </c>
      <c r="AM725" t="s">
        <v>34</v>
      </c>
    </row>
    <row r="726" spans="1:40" x14ac:dyDescent="0.2">
      <c r="A726" s="2">
        <v>45999.528761574067</v>
      </c>
      <c r="B726" t="s">
        <v>3961</v>
      </c>
      <c r="C726" t="s">
        <v>3465</v>
      </c>
      <c r="D726" t="s">
        <v>90</v>
      </c>
      <c r="E726" t="s">
        <v>3957</v>
      </c>
      <c r="F726" t="s">
        <v>3962</v>
      </c>
      <c r="G726">
        <v>89182561938</v>
      </c>
      <c r="H726" t="s">
        <v>3963</v>
      </c>
      <c r="I726" t="s">
        <v>49</v>
      </c>
      <c r="J726" t="s">
        <v>34</v>
      </c>
      <c r="K726">
        <v>264</v>
      </c>
      <c r="L726">
        <v>60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6</v>
      </c>
      <c r="S726">
        <v>14</v>
      </c>
      <c r="T726">
        <v>10</v>
      </c>
      <c r="U726">
        <v>12</v>
      </c>
      <c r="V726">
        <v>10</v>
      </c>
      <c r="W726">
        <v>8</v>
      </c>
      <c r="X726">
        <v>0</v>
      </c>
      <c r="Y726">
        <v>0</v>
      </c>
      <c r="Z726">
        <v>0</v>
      </c>
      <c r="AA726">
        <v>0</v>
      </c>
      <c r="AB726" t="s">
        <v>50</v>
      </c>
      <c r="AC726" t="s">
        <v>35</v>
      </c>
      <c r="AD726" t="s">
        <v>35</v>
      </c>
      <c r="AE726">
        <v>3</v>
      </c>
      <c r="AF726">
        <v>1</v>
      </c>
      <c r="AG726" t="s">
        <v>48</v>
      </c>
      <c r="AL726" t="s">
        <v>35</v>
      </c>
      <c r="AM726" t="s">
        <v>34</v>
      </c>
    </row>
    <row r="727" spans="1:40" x14ac:dyDescent="0.2">
      <c r="A727" s="2">
        <v>45993.792337962957</v>
      </c>
      <c r="B727" t="s">
        <v>3968</v>
      </c>
      <c r="C727" t="s">
        <v>3465</v>
      </c>
      <c r="D727" t="s">
        <v>90</v>
      </c>
      <c r="E727" t="s">
        <v>3969</v>
      </c>
      <c r="F727" t="s">
        <v>3970</v>
      </c>
      <c r="G727">
        <v>88613551289</v>
      </c>
      <c r="H727" t="s">
        <v>3971</v>
      </c>
      <c r="I727" t="s">
        <v>49</v>
      </c>
      <c r="J727" t="s">
        <v>34</v>
      </c>
      <c r="K727">
        <v>250</v>
      </c>
      <c r="L727">
        <v>30</v>
      </c>
      <c r="M727">
        <v>0</v>
      </c>
      <c r="N727">
        <v>0</v>
      </c>
      <c r="O727">
        <v>2</v>
      </c>
      <c r="P727">
        <v>4</v>
      </c>
      <c r="Q727">
        <v>4</v>
      </c>
      <c r="R727">
        <v>3</v>
      </c>
      <c r="S727">
        <v>0</v>
      </c>
      <c r="T727">
        <v>1</v>
      </c>
      <c r="U727">
        <v>1</v>
      </c>
      <c r="V727">
        <v>5</v>
      </c>
      <c r="W727">
        <v>2</v>
      </c>
      <c r="X727">
        <v>0</v>
      </c>
      <c r="Y727">
        <v>3</v>
      </c>
      <c r="Z727">
        <v>3</v>
      </c>
      <c r="AA727">
        <v>2</v>
      </c>
      <c r="AB727" t="s">
        <v>50</v>
      </c>
      <c r="AC727" t="s">
        <v>35</v>
      </c>
      <c r="AD727" t="s">
        <v>35</v>
      </c>
      <c r="AE727">
        <v>5</v>
      </c>
      <c r="AF727">
        <v>0</v>
      </c>
      <c r="AG727">
        <v>0</v>
      </c>
      <c r="AL727" t="s">
        <v>35</v>
      </c>
      <c r="AM727" t="s">
        <v>34</v>
      </c>
      <c r="AN727" t="s">
        <v>3972</v>
      </c>
    </row>
    <row r="728" spans="1:40" x14ac:dyDescent="0.2">
      <c r="A728" s="2">
        <v>46000.716157407413</v>
      </c>
      <c r="B728" t="s">
        <v>3978</v>
      </c>
      <c r="C728" t="s">
        <v>3465</v>
      </c>
      <c r="D728" t="s">
        <v>90</v>
      </c>
      <c r="E728" t="s">
        <v>3979</v>
      </c>
      <c r="F728" t="s">
        <v>3980</v>
      </c>
      <c r="G728">
        <v>89892951492</v>
      </c>
      <c r="H728" t="s">
        <v>3981</v>
      </c>
      <c r="I728" t="s">
        <v>49</v>
      </c>
      <c r="J728" t="s">
        <v>34</v>
      </c>
      <c r="K728">
        <v>250</v>
      </c>
      <c r="L728">
        <v>61</v>
      </c>
      <c r="M728">
        <v>0</v>
      </c>
      <c r="N728">
        <v>0</v>
      </c>
      <c r="O728">
        <v>1</v>
      </c>
      <c r="P728">
        <v>5</v>
      </c>
      <c r="Q728">
        <v>5</v>
      </c>
      <c r="R728">
        <v>6</v>
      </c>
      <c r="S728">
        <v>3</v>
      </c>
      <c r="T728">
        <v>8</v>
      </c>
      <c r="U728">
        <v>5</v>
      </c>
      <c r="V728">
        <v>10</v>
      </c>
      <c r="W728">
        <v>10</v>
      </c>
      <c r="X728">
        <v>6</v>
      </c>
      <c r="Y728">
        <v>1</v>
      </c>
      <c r="Z728">
        <v>1</v>
      </c>
      <c r="AA728">
        <v>0</v>
      </c>
      <c r="AB728" t="s">
        <v>50</v>
      </c>
      <c r="AC728" t="s">
        <v>34</v>
      </c>
      <c r="AD728" t="s">
        <v>35</v>
      </c>
      <c r="AE728">
        <v>1</v>
      </c>
      <c r="AF728">
        <v>0</v>
      </c>
      <c r="AG728" t="s">
        <v>3982</v>
      </c>
      <c r="AL728" t="s">
        <v>35</v>
      </c>
      <c r="AM728" t="s">
        <v>34</v>
      </c>
      <c r="AN728" t="s">
        <v>3983</v>
      </c>
    </row>
    <row r="729" spans="1:40" x14ac:dyDescent="0.2">
      <c r="A729" s="4"/>
      <c r="B729" s="4" t="s">
        <v>3973</v>
      </c>
      <c r="C729" s="4" t="s">
        <v>3465</v>
      </c>
      <c r="D729" s="4" t="s">
        <v>90</v>
      </c>
      <c r="E729" s="4" t="s">
        <v>3974</v>
      </c>
      <c r="F729" s="4" t="s">
        <v>3975</v>
      </c>
      <c r="G729" s="4" t="s">
        <v>3976</v>
      </c>
      <c r="H729" s="4" t="s">
        <v>3977</v>
      </c>
      <c r="I729" s="4"/>
      <c r="J729" s="4"/>
      <c r="K729" s="27">
        <v>124.80000000000001</v>
      </c>
      <c r="L729" s="4">
        <v>48</v>
      </c>
      <c r="M729">
        <v>0</v>
      </c>
      <c r="N729">
        <v>1</v>
      </c>
      <c r="O729">
        <v>1</v>
      </c>
      <c r="P729">
        <v>1</v>
      </c>
      <c r="Q729">
        <v>3</v>
      </c>
      <c r="R729">
        <v>4</v>
      </c>
      <c r="S729">
        <v>7</v>
      </c>
      <c r="T729">
        <v>5</v>
      </c>
      <c r="U729">
        <v>4</v>
      </c>
      <c r="V729">
        <v>6</v>
      </c>
      <c r="W729">
        <v>5</v>
      </c>
      <c r="X729">
        <v>5</v>
      </c>
      <c r="Y729">
        <v>4</v>
      </c>
      <c r="Z729">
        <v>2</v>
      </c>
      <c r="AA729">
        <v>0</v>
      </c>
    </row>
    <row r="730" spans="1:40" x14ac:dyDescent="0.2">
      <c r="A730" s="2">
        <v>46000.714120370372</v>
      </c>
      <c r="B730" t="s">
        <v>3603</v>
      </c>
      <c r="C730" t="s">
        <v>3465</v>
      </c>
      <c r="D730" t="s">
        <v>90</v>
      </c>
      <c r="E730" t="s">
        <v>3604</v>
      </c>
      <c r="F730" t="s">
        <v>3605</v>
      </c>
      <c r="G730">
        <v>88615773501</v>
      </c>
      <c r="H730" t="s">
        <v>3606</v>
      </c>
      <c r="I730" t="s">
        <v>49</v>
      </c>
      <c r="J730" t="s">
        <v>34</v>
      </c>
      <c r="K730">
        <v>420</v>
      </c>
      <c r="L730">
        <v>43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</v>
      </c>
      <c r="S730">
        <v>5</v>
      </c>
      <c r="T730">
        <v>6</v>
      </c>
      <c r="U730">
        <v>3</v>
      </c>
      <c r="V730">
        <v>5</v>
      </c>
      <c r="W730">
        <v>5</v>
      </c>
      <c r="X730">
        <v>6</v>
      </c>
      <c r="Y730">
        <v>6</v>
      </c>
      <c r="Z730">
        <v>5</v>
      </c>
      <c r="AA730">
        <v>0</v>
      </c>
      <c r="AB730" t="s">
        <v>50</v>
      </c>
      <c r="AC730" t="s">
        <v>35</v>
      </c>
      <c r="AD730" t="s">
        <v>35</v>
      </c>
      <c r="AE730">
        <v>1</v>
      </c>
      <c r="AF730">
        <v>0</v>
      </c>
      <c r="AG730" t="s">
        <v>3607</v>
      </c>
      <c r="AL730" t="s">
        <v>35</v>
      </c>
      <c r="AM730" t="s">
        <v>34</v>
      </c>
    </row>
    <row r="731" spans="1:40" x14ac:dyDescent="0.2">
      <c r="A731" s="2">
        <v>45982.585613425923</v>
      </c>
      <c r="B731" t="s">
        <v>3947</v>
      </c>
      <c r="C731" t="s">
        <v>3465</v>
      </c>
      <c r="D731" t="s">
        <v>90</v>
      </c>
      <c r="E731" t="s">
        <v>3943</v>
      </c>
      <c r="F731" t="s">
        <v>3948</v>
      </c>
      <c r="G731">
        <v>8614843323</v>
      </c>
      <c r="H731" t="s">
        <v>3949</v>
      </c>
      <c r="I731" t="s">
        <v>49</v>
      </c>
      <c r="J731" t="s">
        <v>34</v>
      </c>
      <c r="K731">
        <v>275</v>
      </c>
      <c r="L731">
        <v>93</v>
      </c>
      <c r="M731">
        <v>0</v>
      </c>
      <c r="N731">
        <v>0</v>
      </c>
      <c r="O731">
        <v>0</v>
      </c>
      <c r="P731">
        <v>6</v>
      </c>
      <c r="Q731">
        <v>8</v>
      </c>
      <c r="R731">
        <v>2</v>
      </c>
      <c r="S731">
        <v>15</v>
      </c>
      <c r="T731">
        <v>14</v>
      </c>
      <c r="U731">
        <v>11</v>
      </c>
      <c r="V731">
        <v>7</v>
      </c>
      <c r="W731">
        <v>19</v>
      </c>
      <c r="X731">
        <v>4</v>
      </c>
      <c r="Y731">
        <v>6</v>
      </c>
      <c r="Z731">
        <v>1</v>
      </c>
      <c r="AA731">
        <v>0</v>
      </c>
      <c r="AB731" t="s">
        <v>584</v>
      </c>
      <c r="AC731" t="s">
        <v>35</v>
      </c>
      <c r="AD731" t="s">
        <v>35</v>
      </c>
      <c r="AE731">
        <v>1</v>
      </c>
      <c r="AF731">
        <v>1</v>
      </c>
      <c r="AG731" t="s">
        <v>48</v>
      </c>
      <c r="AL731" t="s">
        <v>35</v>
      </c>
      <c r="AM731" t="s">
        <v>34</v>
      </c>
      <c r="AN731" t="s">
        <v>3950</v>
      </c>
    </row>
    <row r="732" spans="1:40" x14ac:dyDescent="0.2">
      <c r="A732" s="2">
        <v>45979.683437500003</v>
      </c>
      <c r="B732" t="s">
        <v>3761</v>
      </c>
      <c r="C732" t="s">
        <v>3465</v>
      </c>
      <c r="D732" t="s">
        <v>3762</v>
      </c>
      <c r="E732" t="s">
        <v>3763</v>
      </c>
      <c r="F732" t="s">
        <v>3764</v>
      </c>
      <c r="G732">
        <v>88772522329</v>
      </c>
      <c r="H732" t="s">
        <v>3765</v>
      </c>
      <c r="I732" t="s">
        <v>49</v>
      </c>
      <c r="J732" t="s">
        <v>114</v>
      </c>
      <c r="K732">
        <v>648</v>
      </c>
      <c r="L732">
        <v>27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4</v>
      </c>
      <c r="T732">
        <v>4</v>
      </c>
      <c r="U732">
        <v>6</v>
      </c>
      <c r="V732">
        <v>6</v>
      </c>
      <c r="W732">
        <v>4</v>
      </c>
      <c r="X732">
        <v>1</v>
      </c>
      <c r="Y732">
        <v>0</v>
      </c>
      <c r="Z732">
        <v>0</v>
      </c>
      <c r="AA732">
        <v>1</v>
      </c>
      <c r="AB732" t="s">
        <v>3766</v>
      </c>
      <c r="AC732" t="s">
        <v>35</v>
      </c>
      <c r="AD732" t="s">
        <v>35</v>
      </c>
      <c r="AE732">
        <v>1</v>
      </c>
      <c r="AF732">
        <v>0</v>
      </c>
      <c r="AG732" t="s">
        <v>3767</v>
      </c>
      <c r="AL732" t="s">
        <v>35</v>
      </c>
      <c r="AM732" t="s">
        <v>35</v>
      </c>
    </row>
    <row r="733" spans="1:40" x14ac:dyDescent="0.2">
      <c r="A733" s="2">
        <v>45993.49763888889</v>
      </c>
      <c r="B733" t="s">
        <v>3779</v>
      </c>
      <c r="C733" t="s">
        <v>3465</v>
      </c>
      <c r="D733" t="s">
        <v>3536</v>
      </c>
      <c r="E733" t="s">
        <v>3780</v>
      </c>
      <c r="F733" t="s">
        <v>3781</v>
      </c>
      <c r="G733">
        <v>89035880101</v>
      </c>
      <c r="H733" t="s">
        <v>3782</v>
      </c>
      <c r="I733" t="s">
        <v>49</v>
      </c>
      <c r="J733" t="s">
        <v>34</v>
      </c>
      <c r="K733">
        <v>700</v>
      </c>
      <c r="L733">
        <v>70</v>
      </c>
      <c r="M733">
        <v>4</v>
      </c>
      <c r="N733">
        <v>0</v>
      </c>
      <c r="O733">
        <v>0</v>
      </c>
      <c r="P733">
        <v>0</v>
      </c>
      <c r="Q733">
        <v>0</v>
      </c>
      <c r="R733">
        <v>6</v>
      </c>
      <c r="S733">
        <v>7</v>
      </c>
      <c r="T733">
        <v>10</v>
      </c>
      <c r="U733">
        <v>20</v>
      </c>
      <c r="V733">
        <v>8</v>
      </c>
      <c r="W733">
        <v>6</v>
      </c>
      <c r="X733">
        <v>2</v>
      </c>
      <c r="Y733">
        <v>2</v>
      </c>
      <c r="Z733">
        <v>2</v>
      </c>
      <c r="AA733">
        <v>3</v>
      </c>
      <c r="AB733" t="s">
        <v>1703</v>
      </c>
      <c r="AC733" t="s">
        <v>34</v>
      </c>
      <c r="AD733" t="s">
        <v>34</v>
      </c>
      <c r="AE733">
        <v>2</v>
      </c>
      <c r="AF733">
        <v>1</v>
      </c>
      <c r="AG733" t="s">
        <v>3783</v>
      </c>
      <c r="AL733" t="s">
        <v>34</v>
      </c>
      <c r="AM733" t="s">
        <v>34</v>
      </c>
    </row>
    <row r="734" spans="1:40" x14ac:dyDescent="0.2">
      <c r="A734" s="2">
        <v>45993.018495370372</v>
      </c>
      <c r="B734" t="s">
        <v>3535</v>
      </c>
      <c r="C734" t="s">
        <v>3465</v>
      </c>
      <c r="D734" t="s">
        <v>3536</v>
      </c>
      <c r="E734" t="s">
        <v>3537</v>
      </c>
      <c r="F734" t="s">
        <v>3538</v>
      </c>
      <c r="G734">
        <v>89894586874</v>
      </c>
      <c r="H734" t="s">
        <v>3539</v>
      </c>
      <c r="I734" t="s">
        <v>33</v>
      </c>
      <c r="J734" t="s">
        <v>34</v>
      </c>
      <c r="K734">
        <v>286</v>
      </c>
      <c r="L734">
        <v>18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4</v>
      </c>
      <c r="U734">
        <v>3</v>
      </c>
      <c r="V734">
        <v>6</v>
      </c>
      <c r="W734">
        <v>3</v>
      </c>
      <c r="X734">
        <v>2</v>
      </c>
      <c r="Y734">
        <v>0</v>
      </c>
      <c r="Z734">
        <v>0</v>
      </c>
      <c r="AA734">
        <v>0</v>
      </c>
      <c r="AB734" t="s">
        <v>255</v>
      </c>
      <c r="AC734" t="s">
        <v>34</v>
      </c>
      <c r="AD734" t="s">
        <v>34</v>
      </c>
      <c r="AE734">
        <v>1</v>
      </c>
      <c r="AF734">
        <v>0</v>
      </c>
      <c r="AG734" t="s">
        <v>34</v>
      </c>
      <c r="AL734" t="s">
        <v>34</v>
      </c>
      <c r="AM734" t="s">
        <v>34</v>
      </c>
    </row>
    <row r="735" spans="1:40" x14ac:dyDescent="0.2">
      <c r="A735" s="2">
        <v>45993.009918981479</v>
      </c>
      <c r="B735" t="s">
        <v>3663</v>
      </c>
      <c r="C735" t="s">
        <v>3465</v>
      </c>
      <c r="D735" t="s">
        <v>3536</v>
      </c>
      <c r="E735" t="s">
        <v>3664</v>
      </c>
      <c r="F735" t="s">
        <v>3665</v>
      </c>
      <c r="G735">
        <v>89627744411</v>
      </c>
      <c r="H735" t="s">
        <v>3666</v>
      </c>
      <c r="I735" t="s">
        <v>3667</v>
      </c>
      <c r="J735" t="s">
        <v>34</v>
      </c>
      <c r="K735">
        <v>487</v>
      </c>
      <c r="L735">
        <v>52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8</v>
      </c>
      <c r="T735">
        <v>22</v>
      </c>
      <c r="U735">
        <v>12</v>
      </c>
      <c r="V735">
        <v>6</v>
      </c>
      <c r="W735">
        <v>3</v>
      </c>
      <c r="X735">
        <v>1</v>
      </c>
      <c r="Y735">
        <v>0</v>
      </c>
      <c r="Z735">
        <v>0</v>
      </c>
      <c r="AA735">
        <v>0</v>
      </c>
      <c r="AB735" t="s">
        <v>131</v>
      </c>
      <c r="AC735" t="s">
        <v>35</v>
      </c>
      <c r="AD735" t="s">
        <v>35</v>
      </c>
      <c r="AE735">
        <v>1</v>
      </c>
      <c r="AF735">
        <v>0</v>
      </c>
      <c r="AG735" t="s">
        <v>2050</v>
      </c>
      <c r="AL735" t="s">
        <v>34</v>
      </c>
      <c r="AM735" t="s">
        <v>34</v>
      </c>
    </row>
    <row r="736" spans="1:40" x14ac:dyDescent="0.2">
      <c r="A736" s="2">
        <v>45992.795925925922</v>
      </c>
      <c r="B736" t="s">
        <v>3668</v>
      </c>
      <c r="C736" t="s">
        <v>3465</v>
      </c>
      <c r="D736" t="s">
        <v>3536</v>
      </c>
      <c r="E736" t="s">
        <v>3664</v>
      </c>
      <c r="F736" t="s">
        <v>3669</v>
      </c>
      <c r="G736">
        <v>89822155386</v>
      </c>
      <c r="H736" t="s">
        <v>3670</v>
      </c>
      <c r="I736" t="s">
        <v>3671</v>
      </c>
      <c r="J736" t="s">
        <v>34</v>
      </c>
      <c r="K736">
        <v>90</v>
      </c>
      <c r="L736">
        <v>31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5</v>
      </c>
      <c r="T736">
        <v>5</v>
      </c>
      <c r="U736">
        <v>5</v>
      </c>
      <c r="V736">
        <v>5</v>
      </c>
      <c r="W736">
        <v>5</v>
      </c>
      <c r="X736">
        <v>5</v>
      </c>
      <c r="Y736">
        <v>0</v>
      </c>
      <c r="Z736">
        <v>0</v>
      </c>
      <c r="AA736">
        <v>1</v>
      </c>
      <c r="AB736" t="s">
        <v>94</v>
      </c>
      <c r="AC736" t="s">
        <v>35</v>
      </c>
      <c r="AD736" t="s">
        <v>35</v>
      </c>
      <c r="AE736">
        <v>1</v>
      </c>
      <c r="AF736">
        <v>0</v>
      </c>
      <c r="AG736" t="s">
        <v>3672</v>
      </c>
      <c r="AL736" t="s">
        <v>34</v>
      </c>
      <c r="AM736" t="s">
        <v>34</v>
      </c>
    </row>
    <row r="737" spans="1:40" x14ac:dyDescent="0.2">
      <c r="A737" s="2">
        <v>45985.566365740742</v>
      </c>
      <c r="B737" t="s">
        <v>3773</v>
      </c>
      <c r="C737" t="s">
        <v>3465</v>
      </c>
      <c r="D737" t="s">
        <v>3536</v>
      </c>
      <c r="E737" t="s">
        <v>3774</v>
      </c>
      <c r="F737" t="s">
        <v>3775</v>
      </c>
      <c r="G737">
        <v>9679310815</v>
      </c>
      <c r="H737" t="s">
        <v>3776</v>
      </c>
      <c r="I737" t="s">
        <v>3777</v>
      </c>
      <c r="J737" t="s">
        <v>518</v>
      </c>
      <c r="K737">
        <v>300</v>
      </c>
      <c r="L737">
        <v>30</v>
      </c>
      <c r="M737">
        <v>0</v>
      </c>
      <c r="N737">
        <v>0</v>
      </c>
      <c r="O737">
        <v>0</v>
      </c>
      <c r="P737">
        <v>0</v>
      </c>
      <c r="Q737">
        <v>8</v>
      </c>
      <c r="R737">
        <v>7</v>
      </c>
      <c r="S737">
        <v>10</v>
      </c>
      <c r="T737">
        <v>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50</v>
      </c>
      <c r="AC737" t="s">
        <v>35</v>
      </c>
      <c r="AD737" t="s">
        <v>34</v>
      </c>
      <c r="AE737">
        <v>2</v>
      </c>
      <c r="AF737">
        <v>1</v>
      </c>
      <c r="AG737" t="s">
        <v>3778</v>
      </c>
      <c r="AH737">
        <v>1</v>
      </c>
      <c r="AI737">
        <v>1</v>
      </c>
      <c r="AL737" t="s">
        <v>34</v>
      </c>
      <c r="AM737" t="s">
        <v>34</v>
      </c>
    </row>
    <row r="738" spans="1:40" x14ac:dyDescent="0.2">
      <c r="A738" s="2">
        <v>45993.710347222222</v>
      </c>
      <c r="B738" t="s">
        <v>3994</v>
      </c>
      <c r="C738" t="s">
        <v>3465</v>
      </c>
      <c r="D738" t="s">
        <v>3995</v>
      </c>
      <c r="E738" t="s">
        <v>3996</v>
      </c>
      <c r="F738" t="s">
        <v>3997</v>
      </c>
      <c r="G738">
        <v>88472243308</v>
      </c>
      <c r="H738" t="s">
        <v>3998</v>
      </c>
      <c r="I738" t="s">
        <v>93</v>
      </c>
      <c r="J738" t="s">
        <v>114</v>
      </c>
      <c r="K738">
        <v>372</v>
      </c>
      <c r="L738">
        <v>18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6</v>
      </c>
      <c r="V738">
        <v>7</v>
      </c>
      <c r="W738">
        <v>3</v>
      </c>
      <c r="X738">
        <v>2</v>
      </c>
      <c r="Y738">
        <v>0</v>
      </c>
      <c r="Z738">
        <v>0</v>
      </c>
      <c r="AA738">
        <v>0</v>
      </c>
      <c r="AC738" t="s">
        <v>34</v>
      </c>
      <c r="AD738" t="s">
        <v>34</v>
      </c>
      <c r="AE738">
        <v>1</v>
      </c>
      <c r="AF738">
        <v>0</v>
      </c>
      <c r="AG738" t="s">
        <v>3999</v>
      </c>
      <c r="AH738">
        <v>1</v>
      </c>
      <c r="AL738" t="s">
        <v>35</v>
      </c>
      <c r="AM738" t="s">
        <v>34</v>
      </c>
    </row>
    <row r="739" spans="1:40" x14ac:dyDescent="0.2">
      <c r="A739" s="2">
        <v>45993.880624999998</v>
      </c>
      <c r="B739" t="s">
        <v>3546</v>
      </c>
      <c r="C739" t="s">
        <v>3465</v>
      </c>
      <c r="D739" t="s">
        <v>3547</v>
      </c>
      <c r="E739" t="s">
        <v>3548</v>
      </c>
      <c r="F739" t="s">
        <v>3549</v>
      </c>
      <c r="G739" t="s">
        <v>3550</v>
      </c>
      <c r="H739" t="s">
        <v>3551</v>
      </c>
      <c r="I739" t="s">
        <v>3552</v>
      </c>
      <c r="J739" t="s">
        <v>34</v>
      </c>
      <c r="K739">
        <v>150</v>
      </c>
      <c r="L739">
        <v>23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8</v>
      </c>
      <c r="U739">
        <v>8</v>
      </c>
      <c r="V739">
        <v>3</v>
      </c>
      <c r="W739">
        <v>2</v>
      </c>
      <c r="X739">
        <v>2</v>
      </c>
      <c r="Y739">
        <v>0</v>
      </c>
      <c r="Z739">
        <v>0</v>
      </c>
      <c r="AA739">
        <v>0</v>
      </c>
      <c r="AB739" t="s">
        <v>207</v>
      </c>
      <c r="AC739" t="s">
        <v>35</v>
      </c>
      <c r="AD739" t="s">
        <v>35</v>
      </c>
      <c r="AE739">
        <v>2</v>
      </c>
      <c r="AF739">
        <v>0</v>
      </c>
      <c r="AG739" t="s">
        <v>3553</v>
      </c>
      <c r="AH739">
        <v>1</v>
      </c>
      <c r="AL739" t="s">
        <v>35</v>
      </c>
      <c r="AM739" t="s">
        <v>34</v>
      </c>
    </row>
    <row r="740" spans="1:40" x14ac:dyDescent="0.2">
      <c r="A740" s="2">
        <v>45980.113275462973</v>
      </c>
      <c r="B740" t="s">
        <v>3577</v>
      </c>
      <c r="C740" t="s">
        <v>3465</v>
      </c>
      <c r="D740" t="s">
        <v>3547</v>
      </c>
      <c r="E740" t="s">
        <v>3578</v>
      </c>
      <c r="F740" t="s">
        <v>3579</v>
      </c>
      <c r="G740" t="s">
        <v>3580</v>
      </c>
      <c r="H740" t="s">
        <v>3581</v>
      </c>
      <c r="I740" t="s">
        <v>3582</v>
      </c>
      <c r="J740" t="s">
        <v>34</v>
      </c>
      <c r="K740">
        <v>120</v>
      </c>
      <c r="L740">
        <v>14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1</v>
      </c>
      <c r="U740">
        <v>4</v>
      </c>
      <c r="V740">
        <v>4</v>
      </c>
      <c r="W740">
        <v>3</v>
      </c>
      <c r="X740">
        <v>0</v>
      </c>
      <c r="Y740">
        <v>0</v>
      </c>
      <c r="Z740">
        <v>0</v>
      </c>
      <c r="AA740">
        <v>1</v>
      </c>
      <c r="AB740" t="s">
        <v>3583</v>
      </c>
      <c r="AC740" t="s">
        <v>35</v>
      </c>
      <c r="AD740" t="s">
        <v>34</v>
      </c>
      <c r="AE740">
        <v>1</v>
      </c>
      <c r="AF740">
        <v>0</v>
      </c>
      <c r="AG740" t="s">
        <v>3584</v>
      </c>
      <c r="AH740">
        <v>1</v>
      </c>
      <c r="AL740" t="s">
        <v>34</v>
      </c>
      <c r="AM740" t="s">
        <v>34</v>
      </c>
      <c r="AN740" t="s">
        <v>3585</v>
      </c>
    </row>
    <row r="741" spans="1:40" x14ac:dyDescent="0.2">
      <c r="A741" s="2">
        <v>45979.638252314813</v>
      </c>
      <c r="B741" t="s">
        <v>3586</v>
      </c>
      <c r="C741" t="s">
        <v>3465</v>
      </c>
      <c r="D741" t="s">
        <v>3547</v>
      </c>
      <c r="E741" t="s">
        <v>3578</v>
      </c>
      <c r="F741" t="s">
        <v>3587</v>
      </c>
      <c r="G741" t="s">
        <v>3588</v>
      </c>
      <c r="H741" t="s">
        <v>3589</v>
      </c>
      <c r="I741" t="s">
        <v>3590</v>
      </c>
      <c r="J741" t="s">
        <v>188</v>
      </c>
      <c r="K741">
        <v>120</v>
      </c>
      <c r="L741">
        <v>70</v>
      </c>
      <c r="M741">
        <v>0</v>
      </c>
      <c r="N741">
        <v>0</v>
      </c>
      <c r="O741">
        <v>0</v>
      </c>
      <c r="P741">
        <v>0</v>
      </c>
      <c r="Q741">
        <v>7</v>
      </c>
      <c r="R741">
        <v>12</v>
      </c>
      <c r="S741">
        <v>12</v>
      </c>
      <c r="T741">
        <v>12</v>
      </c>
      <c r="U741">
        <v>12</v>
      </c>
      <c r="V741">
        <v>12</v>
      </c>
      <c r="W741">
        <v>3</v>
      </c>
      <c r="X741">
        <v>0</v>
      </c>
      <c r="Y741">
        <v>0</v>
      </c>
      <c r="Z741">
        <v>0</v>
      </c>
      <c r="AA741">
        <v>0</v>
      </c>
      <c r="AB741" t="s">
        <v>62</v>
      </c>
      <c r="AC741" t="s">
        <v>34</v>
      </c>
      <c r="AD741" t="s">
        <v>35</v>
      </c>
      <c r="AE741">
        <v>5</v>
      </c>
      <c r="AF741">
        <v>0</v>
      </c>
      <c r="AG741" t="s">
        <v>3591</v>
      </c>
      <c r="AH741">
        <v>2</v>
      </c>
      <c r="AI741">
        <v>3</v>
      </c>
      <c r="AL741" t="s">
        <v>35</v>
      </c>
      <c r="AM741" t="s">
        <v>34</v>
      </c>
      <c r="AN741" t="s">
        <v>3592</v>
      </c>
    </row>
    <row r="742" spans="1:40" x14ac:dyDescent="0.2">
      <c r="A742" s="2">
        <v>45979.441979166673</v>
      </c>
      <c r="B742" t="s">
        <v>3593</v>
      </c>
      <c r="C742" t="s">
        <v>3465</v>
      </c>
      <c r="D742" t="s">
        <v>3547</v>
      </c>
      <c r="E742" t="s">
        <v>3578</v>
      </c>
      <c r="F742" t="s">
        <v>3594</v>
      </c>
      <c r="G742" t="s">
        <v>3595</v>
      </c>
      <c r="H742" t="s">
        <v>3596</v>
      </c>
      <c r="I742" t="s">
        <v>49</v>
      </c>
      <c r="J742" t="s">
        <v>34</v>
      </c>
      <c r="K742">
        <v>800</v>
      </c>
      <c r="L742">
        <v>72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</v>
      </c>
      <c r="S742">
        <v>8</v>
      </c>
      <c r="T742">
        <v>10</v>
      </c>
      <c r="U742">
        <v>14</v>
      </c>
      <c r="V742">
        <v>12</v>
      </c>
      <c r="W742">
        <v>10</v>
      </c>
      <c r="X742">
        <v>7</v>
      </c>
      <c r="Y742">
        <v>6</v>
      </c>
      <c r="Z742">
        <v>3</v>
      </c>
      <c r="AA742">
        <v>0</v>
      </c>
      <c r="AB742" t="s">
        <v>62</v>
      </c>
      <c r="AC742" t="s">
        <v>34</v>
      </c>
      <c r="AD742" t="s">
        <v>35</v>
      </c>
      <c r="AE742">
        <v>1</v>
      </c>
      <c r="AF742">
        <v>0</v>
      </c>
      <c r="AG742" t="s">
        <v>3597</v>
      </c>
      <c r="AH742">
        <v>1</v>
      </c>
      <c r="AL742" t="s">
        <v>35</v>
      </c>
      <c r="AM742" t="s">
        <v>34</v>
      </c>
    </row>
    <row r="743" spans="1:40" x14ac:dyDescent="0.2">
      <c r="A743" s="2">
        <v>45979.447175925918</v>
      </c>
      <c r="B743" t="s">
        <v>3598</v>
      </c>
      <c r="C743" t="s">
        <v>3465</v>
      </c>
      <c r="D743" t="s">
        <v>3547</v>
      </c>
      <c r="E743" t="s">
        <v>3599</v>
      </c>
      <c r="F743" t="s">
        <v>3600</v>
      </c>
      <c r="G743">
        <v>-1941</v>
      </c>
      <c r="H743" t="s">
        <v>3601</v>
      </c>
      <c r="I743" t="s">
        <v>49</v>
      </c>
      <c r="J743" t="s">
        <v>34</v>
      </c>
      <c r="K743">
        <v>90</v>
      </c>
      <c r="L743">
        <v>24</v>
      </c>
      <c r="M743">
        <v>5</v>
      </c>
      <c r="N743">
        <v>5</v>
      </c>
      <c r="O743">
        <v>5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3</v>
      </c>
      <c r="X743">
        <v>3</v>
      </c>
      <c r="Y743">
        <v>0</v>
      </c>
      <c r="Z743">
        <v>3</v>
      </c>
      <c r="AA743">
        <v>0</v>
      </c>
      <c r="AB743" t="s">
        <v>62</v>
      </c>
      <c r="AC743" t="s">
        <v>35</v>
      </c>
      <c r="AD743" t="s">
        <v>35</v>
      </c>
      <c r="AE743">
        <v>1</v>
      </c>
      <c r="AF743">
        <v>0</v>
      </c>
      <c r="AG743" t="s">
        <v>3602</v>
      </c>
      <c r="AH743">
        <v>1</v>
      </c>
      <c r="AL743" t="s">
        <v>34</v>
      </c>
      <c r="AM743" t="s">
        <v>34</v>
      </c>
    </row>
    <row r="744" spans="1:40" x14ac:dyDescent="0.2">
      <c r="A744" s="2">
        <v>45993.814328703702</v>
      </c>
      <c r="B744" t="s">
        <v>3784</v>
      </c>
      <c r="C744" t="s">
        <v>3465</v>
      </c>
      <c r="D744" t="s">
        <v>3547</v>
      </c>
      <c r="E744" t="s">
        <v>3785</v>
      </c>
      <c r="F744" t="s">
        <v>3786</v>
      </c>
      <c r="G744">
        <v>88673639236</v>
      </c>
      <c r="H744" t="s">
        <v>3787</v>
      </c>
      <c r="I744" t="s">
        <v>49</v>
      </c>
      <c r="J744" t="s">
        <v>34</v>
      </c>
      <c r="K744">
        <v>60</v>
      </c>
      <c r="L744">
        <v>25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4</v>
      </c>
      <c r="S744">
        <v>2</v>
      </c>
      <c r="T744">
        <v>2</v>
      </c>
      <c r="U744">
        <v>3</v>
      </c>
      <c r="V744">
        <v>3</v>
      </c>
      <c r="W744">
        <v>2</v>
      </c>
      <c r="X744">
        <v>6</v>
      </c>
      <c r="Y744">
        <v>2</v>
      </c>
      <c r="Z744">
        <v>0</v>
      </c>
      <c r="AA744">
        <v>0</v>
      </c>
      <c r="AB744" t="s">
        <v>131</v>
      </c>
      <c r="AC744" t="s">
        <v>35</v>
      </c>
      <c r="AD744" t="s">
        <v>35</v>
      </c>
      <c r="AE744">
        <v>1</v>
      </c>
      <c r="AF744">
        <v>0</v>
      </c>
      <c r="AG744" t="s">
        <v>56</v>
      </c>
      <c r="AL744" t="s">
        <v>34</v>
      </c>
      <c r="AM744" t="s">
        <v>34</v>
      </c>
      <c r="AN744" t="s">
        <v>3788</v>
      </c>
    </row>
    <row r="745" spans="1:40" x14ac:dyDescent="0.2">
      <c r="A745" s="2">
        <v>45993.437430555547</v>
      </c>
      <c r="B745" t="s">
        <v>3789</v>
      </c>
      <c r="C745" t="s">
        <v>3465</v>
      </c>
      <c r="D745" t="s">
        <v>3547</v>
      </c>
      <c r="E745" t="s">
        <v>3785</v>
      </c>
      <c r="F745" t="s">
        <v>3790</v>
      </c>
      <c r="G745">
        <v>88673633309</v>
      </c>
      <c r="H745" t="s">
        <v>3791</v>
      </c>
      <c r="I745" t="s">
        <v>49</v>
      </c>
      <c r="J745" t="s">
        <v>34</v>
      </c>
      <c r="K745">
        <v>551</v>
      </c>
      <c r="L745">
        <v>30</v>
      </c>
      <c r="M745">
        <v>0</v>
      </c>
      <c r="N745">
        <v>0</v>
      </c>
      <c r="O745">
        <v>0</v>
      </c>
      <c r="P745">
        <v>0</v>
      </c>
      <c r="Q745">
        <v>2</v>
      </c>
      <c r="R745">
        <v>2</v>
      </c>
      <c r="S745">
        <v>5</v>
      </c>
      <c r="T745">
        <v>3</v>
      </c>
      <c r="U745">
        <v>3</v>
      </c>
      <c r="V745">
        <v>2</v>
      </c>
      <c r="W745">
        <v>10</v>
      </c>
      <c r="X745">
        <v>3</v>
      </c>
      <c r="Y745">
        <v>0</v>
      </c>
      <c r="Z745">
        <v>0</v>
      </c>
      <c r="AA745">
        <v>0</v>
      </c>
      <c r="AB745" t="s">
        <v>80</v>
      </c>
      <c r="AC745" t="s">
        <v>34</v>
      </c>
      <c r="AD745" t="s">
        <v>34</v>
      </c>
      <c r="AE745">
        <v>1</v>
      </c>
      <c r="AF745">
        <v>0</v>
      </c>
      <c r="AG745">
        <v>0</v>
      </c>
      <c r="AL745" t="s">
        <v>34</v>
      </c>
      <c r="AM745" t="s">
        <v>34</v>
      </c>
      <c r="AN745">
        <v>0</v>
      </c>
    </row>
    <row r="746" spans="1:40" x14ac:dyDescent="0.2">
      <c r="A746" s="2">
        <v>45979.471354166657</v>
      </c>
      <c r="B746" t="s">
        <v>3619</v>
      </c>
      <c r="C746" t="s">
        <v>3465</v>
      </c>
      <c r="D746" t="s">
        <v>469</v>
      </c>
      <c r="E746" t="s">
        <v>3620</v>
      </c>
      <c r="F746" t="s">
        <v>3621</v>
      </c>
      <c r="G746">
        <v>88636596194</v>
      </c>
      <c r="H746" t="s">
        <v>3622</v>
      </c>
      <c r="I746" t="s">
        <v>49</v>
      </c>
      <c r="J746" t="s">
        <v>34</v>
      </c>
      <c r="K746">
        <v>157</v>
      </c>
      <c r="L746">
        <v>46</v>
      </c>
      <c r="M746">
        <v>0</v>
      </c>
      <c r="N746">
        <v>0</v>
      </c>
      <c r="O746">
        <v>0</v>
      </c>
      <c r="P746">
        <v>6</v>
      </c>
      <c r="Q746">
        <v>5</v>
      </c>
      <c r="R746">
        <v>7</v>
      </c>
      <c r="S746">
        <v>4</v>
      </c>
      <c r="T746">
        <v>6</v>
      </c>
      <c r="U746">
        <v>8</v>
      </c>
      <c r="V746">
        <v>6</v>
      </c>
      <c r="W746">
        <v>2</v>
      </c>
      <c r="X746">
        <v>1</v>
      </c>
      <c r="Y746">
        <v>1</v>
      </c>
      <c r="Z746">
        <v>0</v>
      </c>
      <c r="AA746">
        <v>0</v>
      </c>
      <c r="AB746" t="s">
        <v>50</v>
      </c>
      <c r="AC746" t="s">
        <v>35</v>
      </c>
      <c r="AD746" t="s">
        <v>35</v>
      </c>
      <c r="AE746">
        <v>3</v>
      </c>
      <c r="AF746">
        <v>1</v>
      </c>
      <c r="AG746" t="s">
        <v>48</v>
      </c>
      <c r="AL746" t="s">
        <v>35</v>
      </c>
      <c r="AM746" t="s">
        <v>34</v>
      </c>
    </row>
    <row r="747" spans="1:40" x14ac:dyDescent="0.2">
      <c r="A747" s="2">
        <v>45982.415462962963</v>
      </c>
      <c r="B747" t="s">
        <v>3471</v>
      </c>
      <c r="C747" t="s">
        <v>3465</v>
      </c>
      <c r="D747" t="s">
        <v>469</v>
      </c>
      <c r="E747" t="s">
        <v>3472</v>
      </c>
      <c r="F747" t="s">
        <v>3473</v>
      </c>
      <c r="G747">
        <v>40654</v>
      </c>
      <c r="H747" t="s">
        <v>3474</v>
      </c>
      <c r="I747" t="s">
        <v>93</v>
      </c>
      <c r="J747" t="s">
        <v>34</v>
      </c>
      <c r="K747">
        <v>338</v>
      </c>
      <c r="L747">
        <v>67</v>
      </c>
      <c r="M747">
        <v>3</v>
      </c>
      <c r="N747">
        <v>1</v>
      </c>
      <c r="O747">
        <v>7</v>
      </c>
      <c r="P747">
        <v>7</v>
      </c>
      <c r="Q747">
        <v>3</v>
      </c>
      <c r="R747">
        <v>12</v>
      </c>
      <c r="S747">
        <v>9</v>
      </c>
      <c r="T747">
        <v>7</v>
      </c>
      <c r="U747">
        <v>8</v>
      </c>
      <c r="V747">
        <v>6</v>
      </c>
      <c r="W747">
        <v>1</v>
      </c>
      <c r="X747">
        <v>1</v>
      </c>
      <c r="Y747">
        <v>1</v>
      </c>
      <c r="Z747">
        <v>1</v>
      </c>
      <c r="AA747">
        <v>0</v>
      </c>
      <c r="AB747" t="s">
        <v>50</v>
      </c>
      <c r="AC747" t="s">
        <v>34</v>
      </c>
      <c r="AD747" t="s">
        <v>34</v>
      </c>
      <c r="AE747">
        <v>3</v>
      </c>
      <c r="AF747">
        <v>2</v>
      </c>
      <c r="AG747" t="s">
        <v>48</v>
      </c>
      <c r="AL747" t="s">
        <v>35</v>
      </c>
      <c r="AM747" t="s">
        <v>35</v>
      </c>
      <c r="AN747" t="s">
        <v>48</v>
      </c>
    </row>
    <row r="748" spans="1:40" x14ac:dyDescent="0.2">
      <c r="A748" s="2">
        <v>45979.655821759261</v>
      </c>
      <c r="B748" t="s">
        <v>3478</v>
      </c>
      <c r="C748" t="s">
        <v>3465</v>
      </c>
      <c r="D748" t="s">
        <v>469</v>
      </c>
      <c r="E748" t="s">
        <v>3479</v>
      </c>
      <c r="F748" t="s">
        <v>3480</v>
      </c>
      <c r="G748">
        <v>88634246272</v>
      </c>
      <c r="H748" t="s">
        <v>3481</v>
      </c>
      <c r="I748" t="s">
        <v>93</v>
      </c>
      <c r="J748" t="s">
        <v>34</v>
      </c>
      <c r="K748">
        <v>320</v>
      </c>
      <c r="L748">
        <v>67</v>
      </c>
      <c r="M748">
        <v>3</v>
      </c>
      <c r="N748">
        <v>1</v>
      </c>
      <c r="O748">
        <v>7</v>
      </c>
      <c r="P748">
        <v>7</v>
      </c>
      <c r="Q748">
        <v>3</v>
      </c>
      <c r="R748">
        <v>12</v>
      </c>
      <c r="S748">
        <v>9</v>
      </c>
      <c r="T748">
        <v>7</v>
      </c>
      <c r="U748">
        <v>8</v>
      </c>
      <c r="V748">
        <v>6</v>
      </c>
      <c r="W748">
        <v>1</v>
      </c>
      <c r="X748">
        <v>1</v>
      </c>
      <c r="Y748">
        <v>1</v>
      </c>
      <c r="Z748">
        <v>1</v>
      </c>
      <c r="AA748">
        <v>0</v>
      </c>
      <c r="AB748" t="s">
        <v>50</v>
      </c>
      <c r="AC748" t="s">
        <v>34</v>
      </c>
      <c r="AD748" t="s">
        <v>34</v>
      </c>
      <c r="AE748">
        <v>3</v>
      </c>
      <c r="AF748">
        <v>2</v>
      </c>
      <c r="AG748" t="s">
        <v>3482</v>
      </c>
      <c r="AL748" t="s">
        <v>35</v>
      </c>
      <c r="AM748" t="s">
        <v>34</v>
      </c>
      <c r="AN748" t="s">
        <v>34</v>
      </c>
    </row>
    <row r="749" spans="1:40" x14ac:dyDescent="0.2">
      <c r="A749" s="2">
        <v>45979.455023148148</v>
      </c>
      <c r="B749" t="s">
        <v>3868</v>
      </c>
      <c r="C749" t="s">
        <v>3465</v>
      </c>
      <c r="D749" t="s">
        <v>469</v>
      </c>
      <c r="E749" t="s">
        <v>3869</v>
      </c>
      <c r="F749" t="s">
        <v>3870</v>
      </c>
      <c r="G749">
        <v>88634030356</v>
      </c>
      <c r="H749" t="s">
        <v>3871</v>
      </c>
      <c r="I749" t="s">
        <v>49</v>
      </c>
      <c r="J749" t="s">
        <v>34</v>
      </c>
      <c r="K749">
        <v>68</v>
      </c>
      <c r="L749">
        <v>26</v>
      </c>
      <c r="M749">
        <v>0</v>
      </c>
      <c r="N749">
        <v>0</v>
      </c>
      <c r="O749">
        <v>0</v>
      </c>
      <c r="P749">
        <v>0</v>
      </c>
      <c r="Q749">
        <v>2</v>
      </c>
      <c r="R749">
        <v>2</v>
      </c>
      <c r="S749">
        <v>3</v>
      </c>
      <c r="T749">
        <v>0</v>
      </c>
      <c r="U749">
        <v>3</v>
      </c>
      <c r="V749">
        <v>2</v>
      </c>
      <c r="W749">
        <v>4</v>
      </c>
      <c r="X749">
        <v>2</v>
      </c>
      <c r="Y749">
        <v>2</v>
      </c>
      <c r="Z749">
        <v>6</v>
      </c>
      <c r="AA749">
        <v>0</v>
      </c>
      <c r="AB749" t="s">
        <v>50</v>
      </c>
      <c r="AC749" t="s">
        <v>35</v>
      </c>
      <c r="AD749" t="s">
        <v>35</v>
      </c>
      <c r="AE749">
        <v>1</v>
      </c>
      <c r="AF749">
        <v>0</v>
      </c>
      <c r="AG749" t="s">
        <v>34</v>
      </c>
      <c r="AL749" t="s">
        <v>35</v>
      </c>
      <c r="AM749" t="s">
        <v>34</v>
      </c>
    </row>
    <row r="750" spans="1:40" x14ac:dyDescent="0.2">
      <c r="A750" s="2">
        <v>45999.575925925928</v>
      </c>
      <c r="B750" t="s">
        <v>3872</v>
      </c>
      <c r="C750" t="s">
        <v>3465</v>
      </c>
      <c r="D750" t="s">
        <v>469</v>
      </c>
      <c r="E750" t="s">
        <v>3873</v>
      </c>
      <c r="F750" t="s">
        <v>34</v>
      </c>
      <c r="G750">
        <v>89524181223</v>
      </c>
      <c r="H750" t="s">
        <v>3874</v>
      </c>
      <c r="I750" t="s">
        <v>3875</v>
      </c>
      <c r="J750" t="s">
        <v>34</v>
      </c>
      <c r="K750">
        <v>43</v>
      </c>
      <c r="L750">
        <v>43</v>
      </c>
      <c r="M750">
        <v>25</v>
      </c>
      <c r="N750">
        <v>6</v>
      </c>
      <c r="O750">
        <v>4</v>
      </c>
      <c r="P750">
        <v>3</v>
      </c>
      <c r="Q750">
        <v>5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34</v>
      </c>
      <c r="AC750" t="s">
        <v>34</v>
      </c>
      <c r="AD750" t="s">
        <v>34</v>
      </c>
      <c r="AE750">
        <v>1</v>
      </c>
      <c r="AF750">
        <v>0</v>
      </c>
      <c r="AG750" t="s">
        <v>3876</v>
      </c>
      <c r="AL750" t="s">
        <v>34</v>
      </c>
      <c r="AM750" t="s">
        <v>34</v>
      </c>
    </row>
    <row r="751" spans="1:40" x14ac:dyDescent="0.2">
      <c r="A751" s="2">
        <v>45999.014456018522</v>
      </c>
      <c r="B751" t="s">
        <v>3877</v>
      </c>
      <c r="C751" t="s">
        <v>3465</v>
      </c>
      <c r="D751" t="s">
        <v>469</v>
      </c>
      <c r="E751" t="s">
        <v>3878</v>
      </c>
      <c r="F751" t="s">
        <v>3879</v>
      </c>
      <c r="G751">
        <v>78004444461</v>
      </c>
      <c r="H751" t="s">
        <v>3880</v>
      </c>
      <c r="I751" t="s">
        <v>1709</v>
      </c>
      <c r="J751" t="s">
        <v>641</v>
      </c>
      <c r="K751">
        <v>374</v>
      </c>
      <c r="L751">
        <v>119</v>
      </c>
      <c r="M751">
        <v>22</v>
      </c>
      <c r="N751">
        <v>0</v>
      </c>
      <c r="O751">
        <v>4</v>
      </c>
      <c r="P751">
        <v>6</v>
      </c>
      <c r="Q751">
        <v>5</v>
      </c>
      <c r="R751">
        <v>9</v>
      </c>
      <c r="S751">
        <v>16</v>
      </c>
      <c r="T751">
        <v>15</v>
      </c>
      <c r="U751">
        <v>8</v>
      </c>
      <c r="V751">
        <v>6</v>
      </c>
      <c r="W751">
        <v>9</v>
      </c>
      <c r="X751">
        <v>5</v>
      </c>
      <c r="Y751">
        <v>8</v>
      </c>
      <c r="Z751">
        <v>4</v>
      </c>
      <c r="AA751">
        <v>2</v>
      </c>
      <c r="AB751" t="s">
        <v>50</v>
      </c>
      <c r="AC751" t="s">
        <v>35</v>
      </c>
      <c r="AD751" t="s">
        <v>34</v>
      </c>
      <c r="AE751">
        <v>11</v>
      </c>
      <c r="AF751">
        <v>6</v>
      </c>
      <c r="AG751" t="s">
        <v>3881</v>
      </c>
      <c r="AH751">
        <v>4</v>
      </c>
      <c r="AI751">
        <v>5</v>
      </c>
      <c r="AJ751">
        <v>2</v>
      </c>
      <c r="AL751" t="s">
        <v>35</v>
      </c>
      <c r="AM751" t="s">
        <v>34</v>
      </c>
    </row>
    <row r="752" spans="1:40" x14ac:dyDescent="0.2">
      <c r="A752" s="2">
        <v>45979.575775462959</v>
      </c>
      <c r="B752" t="s">
        <v>3882</v>
      </c>
      <c r="C752" t="s">
        <v>3465</v>
      </c>
      <c r="D752" t="s">
        <v>469</v>
      </c>
      <c r="E752" t="s">
        <v>3878</v>
      </c>
      <c r="F752" t="s">
        <v>3883</v>
      </c>
      <c r="G752" t="s">
        <v>3884</v>
      </c>
      <c r="H752" t="s">
        <v>3885</v>
      </c>
      <c r="I752" t="s">
        <v>1248</v>
      </c>
      <c r="J752" t="s">
        <v>641</v>
      </c>
      <c r="K752">
        <v>504</v>
      </c>
      <c r="L752">
        <v>31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2</v>
      </c>
      <c r="U752">
        <v>10</v>
      </c>
      <c r="V752">
        <v>5</v>
      </c>
      <c r="W752">
        <v>10</v>
      </c>
      <c r="X752">
        <v>1</v>
      </c>
      <c r="Y752">
        <v>2</v>
      </c>
      <c r="Z752">
        <v>1</v>
      </c>
      <c r="AA752">
        <v>0</v>
      </c>
      <c r="AB752" t="s">
        <v>158</v>
      </c>
      <c r="AC752" t="s">
        <v>34</v>
      </c>
      <c r="AD752" t="s">
        <v>35</v>
      </c>
      <c r="AE752">
        <v>1</v>
      </c>
      <c r="AF752">
        <v>1</v>
      </c>
      <c r="AG752" t="s">
        <v>3886</v>
      </c>
      <c r="AI752">
        <v>1</v>
      </c>
      <c r="AL752" t="s">
        <v>35</v>
      </c>
      <c r="AM752" t="s">
        <v>34</v>
      </c>
      <c r="AN752" t="s">
        <v>3887</v>
      </c>
    </row>
    <row r="753" spans="1:40" x14ac:dyDescent="0.2">
      <c r="A753" s="2">
        <v>45981.452222222222</v>
      </c>
      <c r="B753" t="s">
        <v>3888</v>
      </c>
      <c r="C753" t="s">
        <v>3465</v>
      </c>
      <c r="D753" t="s">
        <v>469</v>
      </c>
      <c r="E753" t="s">
        <v>3878</v>
      </c>
      <c r="F753" t="s">
        <v>3889</v>
      </c>
      <c r="G753" t="s">
        <v>3890</v>
      </c>
      <c r="H753" t="s">
        <v>3891</v>
      </c>
      <c r="I753" t="s">
        <v>1540</v>
      </c>
      <c r="J753" t="s">
        <v>34</v>
      </c>
      <c r="K753">
        <v>87</v>
      </c>
      <c r="L753">
        <v>87</v>
      </c>
      <c r="M753">
        <v>1</v>
      </c>
      <c r="N753">
        <v>1</v>
      </c>
      <c r="O753">
        <v>2</v>
      </c>
      <c r="P753">
        <v>4</v>
      </c>
      <c r="Q753">
        <v>1</v>
      </c>
      <c r="R753">
        <v>3</v>
      </c>
      <c r="S753">
        <v>7</v>
      </c>
      <c r="T753">
        <v>9</v>
      </c>
      <c r="U753">
        <v>14</v>
      </c>
      <c r="V753">
        <v>16</v>
      </c>
      <c r="W753">
        <v>14</v>
      </c>
      <c r="X753">
        <v>8</v>
      </c>
      <c r="Y753">
        <v>7</v>
      </c>
      <c r="Z753">
        <v>0</v>
      </c>
      <c r="AA753">
        <v>0</v>
      </c>
      <c r="AB753" t="s">
        <v>101</v>
      </c>
      <c r="AC753" t="s">
        <v>34</v>
      </c>
      <c r="AD753" t="s">
        <v>34</v>
      </c>
      <c r="AE753">
        <v>3</v>
      </c>
      <c r="AF753">
        <v>3</v>
      </c>
      <c r="AG753" t="s">
        <v>3892</v>
      </c>
      <c r="AH753">
        <v>1</v>
      </c>
      <c r="AL753" t="s">
        <v>35</v>
      </c>
      <c r="AM753" t="s">
        <v>35</v>
      </c>
    </row>
    <row r="754" spans="1:40" x14ac:dyDescent="0.2">
      <c r="A754" s="2">
        <v>45992.74763888889</v>
      </c>
      <c r="B754" t="s">
        <v>3893</v>
      </c>
      <c r="C754" t="s">
        <v>3465</v>
      </c>
      <c r="D754" t="s">
        <v>469</v>
      </c>
      <c r="E754" t="s">
        <v>3878</v>
      </c>
      <c r="F754" t="s">
        <v>3894</v>
      </c>
      <c r="G754" t="s">
        <v>3895</v>
      </c>
      <c r="H754" t="s">
        <v>3896</v>
      </c>
      <c r="I754" t="s">
        <v>3575</v>
      </c>
      <c r="J754" t="s">
        <v>34</v>
      </c>
      <c r="K754">
        <v>220</v>
      </c>
      <c r="L754">
        <v>92</v>
      </c>
      <c r="M754">
        <v>9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10</v>
      </c>
      <c r="T754">
        <v>10</v>
      </c>
      <c r="U754">
        <v>10</v>
      </c>
      <c r="V754">
        <v>20</v>
      </c>
      <c r="W754">
        <v>10</v>
      </c>
      <c r="X754">
        <v>10</v>
      </c>
      <c r="Y754">
        <v>8</v>
      </c>
      <c r="Z754">
        <v>0</v>
      </c>
      <c r="AA754">
        <v>0</v>
      </c>
      <c r="AB754" t="s">
        <v>62</v>
      </c>
      <c r="AC754" t="s">
        <v>35</v>
      </c>
      <c r="AD754" t="s">
        <v>35</v>
      </c>
      <c r="AE754">
        <v>4</v>
      </c>
      <c r="AF754">
        <v>1</v>
      </c>
      <c r="AG754" t="s">
        <v>56</v>
      </c>
      <c r="AL754" t="s">
        <v>35</v>
      </c>
      <c r="AM754" t="s">
        <v>34</v>
      </c>
    </row>
    <row r="755" spans="1:40" x14ac:dyDescent="0.2">
      <c r="B755" t="s">
        <v>3897</v>
      </c>
      <c r="C755" t="s">
        <v>3465</v>
      </c>
      <c r="D755" t="s">
        <v>469</v>
      </c>
      <c r="E755" t="s">
        <v>3878</v>
      </c>
      <c r="F755" t="s">
        <v>3898</v>
      </c>
      <c r="G755">
        <v>78632774573</v>
      </c>
      <c r="H755" t="s">
        <v>3899</v>
      </c>
      <c r="I755" t="s">
        <v>3900</v>
      </c>
      <c r="J755" t="s">
        <v>34</v>
      </c>
      <c r="K755">
        <v>24</v>
      </c>
      <c r="L755">
        <v>14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6</v>
      </c>
      <c r="S755">
        <v>8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50</v>
      </c>
      <c r="AC755" t="s">
        <v>48</v>
      </c>
      <c r="AD755" t="s">
        <v>48</v>
      </c>
      <c r="AE755">
        <v>1</v>
      </c>
      <c r="AF755">
        <v>1</v>
      </c>
      <c r="AG755" t="s">
        <v>3901</v>
      </c>
      <c r="AI755">
        <v>1</v>
      </c>
      <c r="AL755" t="s">
        <v>34</v>
      </c>
      <c r="AM755" t="s">
        <v>34</v>
      </c>
    </row>
    <row r="756" spans="1:40" x14ac:dyDescent="0.2">
      <c r="A756" s="2">
        <v>45992.763599537036</v>
      </c>
      <c r="B756" t="s">
        <v>3902</v>
      </c>
      <c r="C756" t="s">
        <v>3465</v>
      </c>
      <c r="D756" t="s">
        <v>469</v>
      </c>
      <c r="E756" t="s">
        <v>3903</v>
      </c>
      <c r="F756" t="s">
        <v>3904</v>
      </c>
      <c r="G756" t="s">
        <v>3905</v>
      </c>
      <c r="H756" t="s">
        <v>3906</v>
      </c>
      <c r="I756" t="s">
        <v>93</v>
      </c>
      <c r="J756" t="s">
        <v>34</v>
      </c>
      <c r="K756">
        <v>390</v>
      </c>
      <c r="L756">
        <v>18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6</v>
      </c>
      <c r="S756">
        <v>5</v>
      </c>
      <c r="T756">
        <v>5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 t="s">
        <v>101</v>
      </c>
      <c r="AC756" t="s">
        <v>34</v>
      </c>
      <c r="AD756" t="s">
        <v>34</v>
      </c>
      <c r="AE756">
        <v>1</v>
      </c>
      <c r="AF756">
        <v>1</v>
      </c>
      <c r="AG756" t="s">
        <v>3907</v>
      </c>
      <c r="AH756">
        <v>1</v>
      </c>
      <c r="AL756" t="s">
        <v>35</v>
      </c>
      <c r="AM756" t="s">
        <v>34</v>
      </c>
    </row>
    <row r="757" spans="1:40" x14ac:dyDescent="0.2">
      <c r="A757" s="2">
        <v>45994.326851851853</v>
      </c>
      <c r="B757" t="s">
        <v>3984</v>
      </c>
      <c r="C757" t="s">
        <v>3465</v>
      </c>
      <c r="D757" t="s">
        <v>469</v>
      </c>
      <c r="E757" t="s">
        <v>3985</v>
      </c>
      <c r="F757" t="s">
        <v>3986</v>
      </c>
      <c r="G757">
        <v>89809137272</v>
      </c>
      <c r="H757" t="s">
        <v>3987</v>
      </c>
      <c r="I757" t="s">
        <v>3984</v>
      </c>
      <c r="J757" t="s">
        <v>34</v>
      </c>
      <c r="K757">
        <v>250</v>
      </c>
      <c r="L757">
        <v>12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3</v>
      </c>
      <c r="W757">
        <v>2</v>
      </c>
      <c r="X757">
        <v>5</v>
      </c>
      <c r="Y757">
        <v>2</v>
      </c>
      <c r="Z757">
        <v>0</v>
      </c>
      <c r="AA757">
        <v>0</v>
      </c>
      <c r="AB757" t="s">
        <v>108</v>
      </c>
      <c r="AC757" t="s">
        <v>34</v>
      </c>
      <c r="AD757" t="s">
        <v>34</v>
      </c>
      <c r="AE757">
        <v>1</v>
      </c>
      <c r="AF757">
        <v>1</v>
      </c>
      <c r="AL757" t="s">
        <v>35</v>
      </c>
      <c r="AM757" t="s">
        <v>35</v>
      </c>
    </row>
    <row r="758" spans="1:40" x14ac:dyDescent="0.2">
      <c r="A758" s="4"/>
      <c r="B758" s="4" t="s">
        <v>3475</v>
      </c>
      <c r="C758" s="4" t="s">
        <v>3465</v>
      </c>
      <c r="D758" s="4" t="s">
        <v>469</v>
      </c>
      <c r="E758" s="4" t="s">
        <v>3472</v>
      </c>
      <c r="F758" s="4" t="s">
        <v>3476</v>
      </c>
      <c r="G758" s="4">
        <v>89185034422</v>
      </c>
      <c r="H758" s="4" t="s">
        <v>3477</v>
      </c>
      <c r="I758" s="4"/>
      <c r="J758" s="4"/>
      <c r="K758" s="4">
        <v>50</v>
      </c>
      <c r="L758" s="4">
        <v>50</v>
      </c>
      <c r="M758">
        <v>30</v>
      </c>
      <c r="N758">
        <v>7</v>
      </c>
      <c r="O758">
        <v>5</v>
      </c>
      <c r="P758">
        <v>3</v>
      </c>
      <c r="Q758">
        <v>3</v>
      </c>
      <c r="R758">
        <v>2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40" x14ac:dyDescent="0.2">
      <c r="A759" s="4"/>
      <c r="B759" s="4" t="s">
        <v>3560</v>
      </c>
      <c r="C759" s="4" t="s">
        <v>3465</v>
      </c>
      <c r="D759" s="4" t="s">
        <v>469</v>
      </c>
      <c r="E759" s="4" t="s">
        <v>3561</v>
      </c>
      <c r="F759" s="4" t="s">
        <v>3562</v>
      </c>
      <c r="G759" s="4">
        <v>88638231430</v>
      </c>
      <c r="H759" s="4" t="s">
        <v>3563</v>
      </c>
      <c r="I759" s="4"/>
      <c r="J759" s="4"/>
      <c r="K759" s="27">
        <v>195</v>
      </c>
      <c r="L759" s="4">
        <v>75</v>
      </c>
      <c r="M759">
        <v>0</v>
      </c>
      <c r="N759">
        <v>0</v>
      </c>
      <c r="O759">
        <v>0</v>
      </c>
      <c r="P759">
        <v>0</v>
      </c>
      <c r="Q759">
        <v>10</v>
      </c>
      <c r="R759">
        <v>10</v>
      </c>
      <c r="S759">
        <v>10</v>
      </c>
      <c r="T759">
        <v>15</v>
      </c>
      <c r="U759">
        <v>10</v>
      </c>
      <c r="V759">
        <v>10</v>
      </c>
      <c r="W759">
        <v>10</v>
      </c>
      <c r="X759">
        <v>0</v>
      </c>
      <c r="Y759">
        <v>0</v>
      </c>
      <c r="Z759">
        <v>0</v>
      </c>
      <c r="AA759">
        <v>0</v>
      </c>
    </row>
    <row r="760" spans="1:40" x14ac:dyDescent="0.2">
      <c r="B760" t="s">
        <v>3505</v>
      </c>
      <c r="C760" t="s">
        <v>3465</v>
      </c>
      <c r="D760" t="s">
        <v>3506</v>
      </c>
      <c r="E760" t="s">
        <v>3507</v>
      </c>
      <c r="F760" t="s">
        <v>3508</v>
      </c>
      <c r="G760" t="s">
        <v>3509</v>
      </c>
      <c r="H760" t="s">
        <v>3510</v>
      </c>
      <c r="I760" t="s">
        <v>49</v>
      </c>
      <c r="J760" t="s">
        <v>34</v>
      </c>
      <c r="K760">
        <v>137</v>
      </c>
      <c r="L760">
        <v>20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3</v>
      </c>
      <c r="T760">
        <v>2</v>
      </c>
      <c r="U760">
        <v>6</v>
      </c>
      <c r="V760">
        <v>2</v>
      </c>
      <c r="W760">
        <v>3</v>
      </c>
      <c r="X760">
        <v>3</v>
      </c>
      <c r="Y760">
        <v>0</v>
      </c>
      <c r="Z760">
        <v>0</v>
      </c>
      <c r="AA760">
        <v>0</v>
      </c>
      <c r="AB760" t="s">
        <v>94</v>
      </c>
      <c r="AC760" t="s">
        <v>35</v>
      </c>
      <c r="AD760" t="s">
        <v>34</v>
      </c>
      <c r="AE760">
        <v>1</v>
      </c>
      <c r="AF760">
        <v>0</v>
      </c>
      <c r="AG760" t="s">
        <v>3511</v>
      </c>
      <c r="AL760" t="s">
        <v>34</v>
      </c>
      <c r="AM760" t="s">
        <v>34</v>
      </c>
    </row>
    <row r="761" spans="1:40" x14ac:dyDescent="0.2">
      <c r="A761" s="2">
        <v>45995.517534722218</v>
      </c>
      <c r="B761" t="s">
        <v>3815</v>
      </c>
      <c r="C761" t="s">
        <v>3465</v>
      </c>
      <c r="D761" t="s">
        <v>3506</v>
      </c>
      <c r="E761" t="s">
        <v>3816</v>
      </c>
      <c r="F761" t="s">
        <v>3817</v>
      </c>
      <c r="G761">
        <v>89880950310</v>
      </c>
      <c r="H761" t="s">
        <v>3818</v>
      </c>
      <c r="I761" t="s">
        <v>316</v>
      </c>
      <c r="J761" t="s">
        <v>34</v>
      </c>
      <c r="K761">
        <v>118</v>
      </c>
      <c r="L761">
        <v>45</v>
      </c>
      <c r="M761">
        <v>0</v>
      </c>
      <c r="N761">
        <v>0</v>
      </c>
      <c r="O761">
        <v>1</v>
      </c>
      <c r="P761">
        <v>1</v>
      </c>
      <c r="Q761">
        <v>0</v>
      </c>
      <c r="R761">
        <v>7</v>
      </c>
      <c r="S761">
        <v>5</v>
      </c>
      <c r="T761">
        <v>7</v>
      </c>
      <c r="U761">
        <v>7</v>
      </c>
      <c r="V761">
        <v>2</v>
      </c>
      <c r="W761">
        <v>5</v>
      </c>
      <c r="X761">
        <v>5</v>
      </c>
      <c r="Y761">
        <v>3</v>
      </c>
      <c r="Z761">
        <v>2</v>
      </c>
      <c r="AA761">
        <v>0</v>
      </c>
      <c r="AB761" t="s">
        <v>3819</v>
      </c>
      <c r="AC761" t="s">
        <v>35</v>
      </c>
      <c r="AD761" t="s">
        <v>35</v>
      </c>
      <c r="AE761">
        <v>1</v>
      </c>
      <c r="AF761">
        <v>0</v>
      </c>
      <c r="AG761" t="s">
        <v>3820</v>
      </c>
      <c r="AL761" t="s">
        <v>34</v>
      </c>
      <c r="AM761" t="s">
        <v>34</v>
      </c>
      <c r="AN761" t="s">
        <v>3821</v>
      </c>
    </row>
    <row r="762" spans="1:40" x14ac:dyDescent="0.2">
      <c r="A762" s="2">
        <v>45997.483298611107</v>
      </c>
      <c r="B762" t="s">
        <v>3857</v>
      </c>
      <c r="C762" t="s">
        <v>3465</v>
      </c>
      <c r="D762" t="s">
        <v>3506</v>
      </c>
      <c r="E762" t="s">
        <v>3858</v>
      </c>
      <c r="F762" t="s">
        <v>3859</v>
      </c>
      <c r="G762" t="s">
        <v>3860</v>
      </c>
      <c r="H762" t="s">
        <v>3861</v>
      </c>
      <c r="I762" t="s">
        <v>49</v>
      </c>
      <c r="J762" t="s">
        <v>34</v>
      </c>
      <c r="K762">
        <v>750</v>
      </c>
      <c r="L762">
        <v>25</v>
      </c>
      <c r="M762">
        <v>0</v>
      </c>
      <c r="N762">
        <v>0</v>
      </c>
      <c r="O762">
        <v>0</v>
      </c>
      <c r="P762">
        <v>3</v>
      </c>
      <c r="Q762">
        <v>0</v>
      </c>
      <c r="R762">
        <v>0</v>
      </c>
      <c r="S762">
        <v>0</v>
      </c>
      <c r="T762">
        <v>10</v>
      </c>
      <c r="U762">
        <v>2</v>
      </c>
      <c r="V762">
        <v>5</v>
      </c>
      <c r="W762">
        <v>5</v>
      </c>
      <c r="X762">
        <v>0</v>
      </c>
      <c r="Y762">
        <v>0</v>
      </c>
      <c r="Z762">
        <v>0</v>
      </c>
      <c r="AA762">
        <v>0</v>
      </c>
      <c r="AB762" t="s">
        <v>299</v>
      </c>
      <c r="AC762" t="s">
        <v>34</v>
      </c>
      <c r="AD762" t="s">
        <v>34</v>
      </c>
      <c r="AE762">
        <v>1</v>
      </c>
      <c r="AF762">
        <v>0</v>
      </c>
      <c r="AG762" t="s">
        <v>3862</v>
      </c>
      <c r="AL762" t="s">
        <v>35</v>
      </c>
      <c r="AM762" t="s">
        <v>34</v>
      </c>
    </row>
    <row r="763" spans="1:40" x14ac:dyDescent="0.2">
      <c r="A763" s="2">
        <v>45999.480034722219</v>
      </c>
      <c r="B763" t="s">
        <v>3937</v>
      </c>
      <c r="C763" t="s">
        <v>3465</v>
      </c>
      <c r="D763" t="s">
        <v>3506</v>
      </c>
      <c r="E763" t="s">
        <v>3938</v>
      </c>
      <c r="F763" t="s">
        <v>3939</v>
      </c>
      <c r="G763">
        <v>88652395789</v>
      </c>
      <c r="H763" t="s">
        <v>3940</v>
      </c>
      <c r="I763" t="s">
        <v>49</v>
      </c>
      <c r="J763" t="s">
        <v>114</v>
      </c>
      <c r="K763">
        <v>982</v>
      </c>
      <c r="L763">
        <v>119</v>
      </c>
      <c r="M763">
        <v>1</v>
      </c>
      <c r="N763">
        <v>4</v>
      </c>
      <c r="O763">
        <v>4</v>
      </c>
      <c r="P763">
        <v>7</v>
      </c>
      <c r="Q763">
        <v>3</v>
      </c>
      <c r="R763">
        <v>3</v>
      </c>
      <c r="S763">
        <v>20</v>
      </c>
      <c r="T763">
        <v>14</v>
      </c>
      <c r="U763">
        <v>19</v>
      </c>
      <c r="V763">
        <v>7</v>
      </c>
      <c r="W763">
        <v>10</v>
      </c>
      <c r="X763">
        <v>9</v>
      </c>
      <c r="Y763">
        <v>10</v>
      </c>
      <c r="Z763">
        <v>8</v>
      </c>
      <c r="AA763">
        <v>0</v>
      </c>
      <c r="AB763" t="s">
        <v>158</v>
      </c>
      <c r="AC763" t="s">
        <v>35</v>
      </c>
      <c r="AD763" t="s">
        <v>35</v>
      </c>
      <c r="AE763">
        <v>2</v>
      </c>
      <c r="AF763">
        <v>0</v>
      </c>
      <c r="AG763" t="s">
        <v>3941</v>
      </c>
      <c r="AL763" t="s">
        <v>35</v>
      </c>
      <c r="AM763" t="s">
        <v>34</v>
      </c>
    </row>
    <row r="764" spans="1:40" x14ac:dyDescent="0.2">
      <c r="A764" s="2">
        <v>45999.434548611112</v>
      </c>
      <c r="B764" t="s">
        <v>3742</v>
      </c>
      <c r="C764" t="s">
        <v>3465</v>
      </c>
      <c r="D764" t="s">
        <v>3506</v>
      </c>
      <c r="E764" t="s">
        <v>3743</v>
      </c>
      <c r="F764" t="s">
        <v>3744</v>
      </c>
      <c r="G764" t="s">
        <v>3745</v>
      </c>
      <c r="H764" t="s">
        <v>3746</v>
      </c>
      <c r="I764" t="s">
        <v>49</v>
      </c>
      <c r="J764" t="s">
        <v>34</v>
      </c>
      <c r="K764">
        <v>130</v>
      </c>
      <c r="L764">
        <v>48</v>
      </c>
      <c r="M764">
        <v>0</v>
      </c>
      <c r="N764">
        <v>0</v>
      </c>
      <c r="O764">
        <v>0</v>
      </c>
      <c r="P764">
        <v>3</v>
      </c>
      <c r="Q764">
        <v>2</v>
      </c>
      <c r="R764">
        <v>4</v>
      </c>
      <c r="S764">
        <v>5</v>
      </c>
      <c r="T764">
        <v>5</v>
      </c>
      <c r="U764">
        <v>5</v>
      </c>
      <c r="V764">
        <v>7</v>
      </c>
      <c r="W764">
        <v>4</v>
      </c>
      <c r="X764">
        <v>7</v>
      </c>
      <c r="Y764">
        <v>6</v>
      </c>
      <c r="Z764">
        <v>0</v>
      </c>
      <c r="AA764">
        <v>0</v>
      </c>
      <c r="AB764" t="s">
        <v>939</v>
      </c>
      <c r="AC764" t="s">
        <v>35</v>
      </c>
      <c r="AD764" t="s">
        <v>34</v>
      </c>
      <c r="AE764">
        <v>2</v>
      </c>
      <c r="AF764">
        <v>0</v>
      </c>
      <c r="AG764" t="s">
        <v>3747</v>
      </c>
      <c r="AL764" t="s">
        <v>35</v>
      </c>
      <c r="AM764" t="s">
        <v>34</v>
      </c>
      <c r="AN764" t="s">
        <v>3748</v>
      </c>
    </row>
    <row r="765" spans="1:40" x14ac:dyDescent="0.2">
      <c r="K765" s="28">
        <f>SUM(K2:K764)</f>
        <v>216651.19999999995</v>
      </c>
      <c r="L765" s="28">
        <f t="shared" ref="L765:Z765" si="0">SUM(L2:L764)</f>
        <v>31719</v>
      </c>
      <c r="M765" s="28">
        <f t="shared" si="0"/>
        <v>1999</v>
      </c>
      <c r="N765" s="28">
        <f t="shared" si="0"/>
        <v>472</v>
      </c>
      <c r="O765" s="28">
        <f t="shared" si="0"/>
        <v>770</v>
      </c>
      <c r="P765" s="28">
        <f t="shared" si="0"/>
        <v>1053</v>
      </c>
      <c r="Q765" s="28">
        <f t="shared" si="0"/>
        <v>1356</v>
      </c>
      <c r="R765" s="28">
        <f t="shared" si="0"/>
        <v>2159</v>
      </c>
      <c r="S765" s="28">
        <f t="shared" si="0"/>
        <v>2865</v>
      </c>
      <c r="T765" s="28">
        <f t="shared" si="0"/>
        <v>3471</v>
      </c>
      <c r="U765" s="28">
        <f t="shared" si="0"/>
        <v>3633</v>
      </c>
      <c r="V765" s="28">
        <f t="shared" si="0"/>
        <v>3699</v>
      </c>
      <c r="W765" s="28">
        <f t="shared" si="0"/>
        <v>3464</v>
      </c>
      <c r="X765" s="28">
        <f t="shared" si="0"/>
        <v>2723</v>
      </c>
      <c r="Y765" s="28">
        <f t="shared" si="0"/>
        <v>1962</v>
      </c>
      <c r="Z765" s="28">
        <f t="shared" si="0"/>
        <v>1208</v>
      </c>
      <c r="AA765" s="28">
        <f>SUM(AA2:AA764)</f>
        <v>885</v>
      </c>
    </row>
    <row r="768" spans="1:40" x14ac:dyDescent="0.2">
      <c r="D768" s="26"/>
      <c r="G768" s="26"/>
    </row>
  </sheetData>
  <autoFilter ref="A1:AN765" xr:uid="{00000000-0001-0000-0000-000000000000}">
    <sortState xmlns:xlrd2="http://schemas.microsoft.com/office/spreadsheetml/2017/richdata2" ref="A21:AN671">
      <sortCondition ref="D1:D76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Ekaterina Mochalova</cp:lastModifiedBy>
  <dcterms:created xsi:type="dcterms:W3CDTF">2025-12-14T13:18:17Z</dcterms:created>
  <dcterms:modified xsi:type="dcterms:W3CDTF">2025-12-14T15:44:05Z</dcterms:modified>
</cp:coreProperties>
</file>